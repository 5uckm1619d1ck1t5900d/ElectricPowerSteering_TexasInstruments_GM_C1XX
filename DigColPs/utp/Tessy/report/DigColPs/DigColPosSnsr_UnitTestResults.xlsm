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19440" windowHeight="7200" tabRatio="757"/>
  </bookViews>
  <sheets>
    <sheet name="Unit Test Information" sheetId="125" r:id="rId1"/>
    <sheet name="Embedded Files" sheetId="105" r:id="rId2"/>
    <sheet name="Module Definitions" sheetId="5" r:id="rId3"/>
    <sheet name="Variable Range" sheetId="6" state="hidden" r:id="rId4"/>
    <sheet name="DigColPs_Init1" sheetId="7" r:id="rId5"/>
    <sheet name="DigColPs_Init1() M" sheetId="81" r:id="rId6"/>
    <sheet name="DigColPs_Init1() P" sheetId="39" r:id="rId7"/>
    <sheet name="DigColPs_Init1() R" sheetId="38" r:id="rId8"/>
    <sheet name="ConstrainOneRev" sheetId="11" r:id="rId9"/>
    <sheet name="ConstrainOneRev() M" sheetId="82" r:id="rId10"/>
    <sheet name="ConstrainOneRev() P" sheetId="13" r:id="rId11"/>
    <sheet name="ConstrainOneRev() R" sheetId="12" r:id="rId12"/>
    <sheet name="ComputeRoughTurns" sheetId="14" r:id="rId13"/>
    <sheet name="ComputeRoughTurns() M" sheetId="83" r:id="rId14"/>
    <sheet name="ComputeRoughTurns() P" sheetId="16" r:id="rId15"/>
    <sheet name="ComputeRoughTurns() R" sheetId="15" r:id="rId16"/>
    <sheet name="OddParityFault" sheetId="19" r:id="rId17"/>
    <sheet name="OddParityFault() M" sheetId="84" r:id="rId18"/>
    <sheet name="OddParityFault() P" sheetId="20" r:id="rId19"/>
    <sheet name="OddParityFault() R" sheetId="21" r:id="rId20"/>
    <sheet name="DigColPs_SCom_CustSetTrim" sheetId="22" r:id="rId21"/>
    <sheet name="DigColPs_SCom_CustSetTrim() M" sheetId="85" r:id="rId22"/>
    <sheet name="DigColPs_SCom_CustSetTrim() R" sheetId="44" r:id="rId23"/>
    <sheet name="DigColPs_SCom_CustSetTrim() P" sheetId="43" r:id="rId24"/>
    <sheet name="VernierLookup" sheetId="25" r:id="rId25"/>
    <sheet name="VernierLookup() M" sheetId="86" r:id="rId26"/>
    <sheet name="VernierLookup() R" sheetId="27" r:id="rId27"/>
    <sheet name="VernierLookup() P" sheetId="26" r:id="rId28"/>
    <sheet name="DigColPs_Per1" sheetId="28" r:id="rId29"/>
    <sheet name="DigColPs_Per1() M" sheetId="170" r:id="rId30"/>
    <sheet name="DigColPs_Per1() P" sheetId="169" r:id="rId31"/>
    <sheet name="DigColPs_Per1() R" sheetId="168" r:id="rId32"/>
    <sheet name="DiagnosticThreshold" sheetId="31" r:id="rId33"/>
    <sheet name="DiagnosticThreshold() M" sheetId="89" r:id="rId34"/>
    <sheet name="DiagnosticThreshold() P" sheetId="33" r:id="rId35"/>
    <sheet name="DiagnosticThreshold() R" sheetId="32" r:id="rId36"/>
    <sheet name="DigColPs_SCom_CustClrTrim" sheetId="74" r:id="rId37"/>
    <sheet name="DigColPs_SCom_CustClrTrim() R" sheetId="107" r:id="rId38"/>
    <sheet name="DigColPs_SCom_NxtSetTrim" sheetId="108" r:id="rId39"/>
    <sheet name="DigColPs_SCom_NxtSetTrim() M" sheetId="111" r:id="rId40"/>
    <sheet name="DigColPs_SCom_NxtSetTrim() P" sheetId="110" r:id="rId41"/>
    <sheet name="DigColPs_SCom_NxtSetTrim() R" sheetId="109" r:id="rId42"/>
    <sheet name="DigColPs_SCom_NxtClrTrim" sheetId="112" r:id="rId43"/>
    <sheet name="DigColPs_SCom_NxtClrTrim() R" sheetId="113" r:id="rId44"/>
    <sheet name="DigColPs_Per3" sheetId="131" r:id="rId45"/>
    <sheet name="DigColPs_Per3() M" sheetId="133" r:id="rId46"/>
    <sheet name="DigColPs_Per3() R" sheetId="134" r:id="rId47"/>
    <sheet name="DigColPs_Per3() P" sheetId="135" r:id="rId48"/>
    <sheet name="ChkSkipStepError" sheetId="136" r:id="rId49"/>
    <sheet name="ChkSkipStepError() M" sheetId="153" r:id="rId50"/>
    <sheet name="ChkSkipStepError() R" sheetId="137" r:id="rId51"/>
    <sheet name="ChkSkipStepError() P" sheetId="152" r:id="rId52"/>
    <sheet name="ChkVernCorrlnError" sheetId="138" r:id="rId53"/>
    <sheet name="ChkVernCorrlnError() M" sheetId="155" r:id="rId54"/>
    <sheet name="ChkVernCorrlnError() P" sheetId="154" r:id="rId55"/>
    <sheet name="ChkVernCorrlnError() R" sheetId="140" r:id="rId56"/>
    <sheet name="VernCorrlnFltDiag" sheetId="141" r:id="rId57"/>
    <sheet name="VernCorrlnFltDiag() M" sheetId="158" r:id="rId58"/>
    <sheet name="VernCorrlnFltDiag() R" sheetId="142" r:id="rId59"/>
    <sheet name="VernCorrlnFltDiag() P" sheetId="157" r:id="rId60"/>
    <sheet name="SnsrFltDiag" sheetId="143" r:id="rId61"/>
    <sheet name="SnsrFltDiag() M" sheetId="160" r:id="rId62"/>
    <sheet name="SnsrFltDiag() P" sheetId="159" r:id="rId63"/>
    <sheet name="SnsrFltDiag() R" sheetId="144" r:id="rId64"/>
    <sheet name="I2CSnsrReInitMaxTry" sheetId="145" r:id="rId65"/>
    <sheet name="I2CSnsrReInitMaxTry() M" sheetId="162" r:id="rId66"/>
    <sheet name="I2CSnsrReInitMaxTry() P" sheetId="161" r:id="rId67"/>
    <sheet name="I2CSnsrReInitMaxTry() R" sheetId="146" r:id="rId68"/>
    <sheet name="I2CCommFltDiag" sheetId="147" r:id="rId69"/>
    <sheet name="I2CCommFltDiag() M" sheetId="166" r:id="rId70"/>
    <sheet name="I2CCommFltDiag() P" sheetId="165" r:id="rId71"/>
    <sheet name="I2CCommFltDiag() R" sheetId="148" r:id="rId72"/>
    <sheet name="I2CSnsrDataCheck" sheetId="149" r:id="rId73"/>
    <sheet name="I2CSnsrDataCheck() M" sheetId="164" r:id="rId74"/>
    <sheet name="I2CSnsrDataCheck() P" sheetId="163" r:id="rId75"/>
    <sheet name="I2CSnsrDataCheck() R" sheetId="150" r:id="rId76"/>
    <sheet name="DigColPs_Per2" sheetId="172" r:id="rId77"/>
    <sheet name="DigColPs_Per2() M" sheetId="175" r:id="rId78"/>
    <sheet name="DigColPs_Per2() P" sheetId="174" r:id="rId79"/>
    <sheet name="DigColPs_Per2() R" sheetId="173" r:id="rId80"/>
    <sheet name="Clarification Sheet" sheetId="121" r:id="rId81"/>
    <sheet name="Coverage_Analysis" sheetId="128" r:id="rId82"/>
    <sheet name="Metrics" sheetId="129" r:id="rId83"/>
  </sheets>
  <functionGroups builtInGroupCount="18"/>
  <externalReferences>
    <externalReference r:id="rId84"/>
  </externalReferences>
  <definedNames>
    <definedName name="_xlnm._FilterDatabase" localSheetId="78" hidden="1">'DigColPs_Per2() P'!$BU$1:$BW$21</definedName>
    <definedName name="_xlnm._FilterDatabase" localSheetId="79" hidden="1">'DigColPs_Per2() R'!$BU$1:$BW$98</definedName>
    <definedName name="_xlnm._FilterDatabase" localSheetId="22" hidden="1">'DigColPs_SCom_CustSetTrim() R'!$AP$1:$AP$34</definedName>
    <definedName name="DigColPs_SCom_ClearTrim">'[1]Module Definitions'!$B$12:$B$22</definedName>
    <definedName name="OLE_LINK29" localSheetId="2">'Module Definitions'!#REF!</definedName>
    <definedName name="OLE_LINK37" localSheetId="2">'Module Definitions'!#REF!</definedName>
    <definedName name="OLE_LINK72" localSheetId="2">'Module Definitions'!#REF!</definedName>
    <definedName name="OLE_LINK74" localSheetId="2">'Module Definitions'!#REF!</definedName>
    <definedName name="StubFunctionNameList">'Module Definitions'!$K$12:$K$26</definedName>
    <definedName name="TestFunctionNameList">'Module Definitions'!$B$12:$B$32</definedName>
    <definedName name="VariableNameList">'Module Definitions'!$G$13:$G$111</definedName>
  </definedNames>
  <calcPr calcId="152511"/>
</workbook>
</file>

<file path=xl/calcChain.xml><?xml version="1.0" encoding="utf-8"?>
<calcChain xmlns="http://schemas.openxmlformats.org/spreadsheetml/2006/main">
  <c r="B1" i="128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<sst xmlns="http://schemas.openxmlformats.org/spreadsheetml/2006/main" count="14325" uniqueCount="1006">
  <si>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</si>
  <si>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</si>
  <si>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</si>
  <si>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</si>
  <si>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</si>
  <si>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</si>
  <si>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</si>
  <si>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</si>
  <si>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</si>
  <si>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</si>
  <si>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</si>
  <si>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</si>
  <si>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</si>
  <si>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</si>
  <si>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</si>
  <si>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</si>
  <si>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</si>
  <si>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</si>
  <si>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</si>
  <si>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</si>
  <si>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</si>
  <si>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</si>
  <si>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</si>
  <si>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</si>
  <si>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</si>
  <si>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</si>
  <si>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</si>
  <si>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</si>
  <si>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</si>
  <si>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</si>
  <si>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</si>
  <si>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</si>
  <si>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</si>
  <si>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</si>
  <si>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</si>
  <si>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</si>
  <si>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</si>
  <si>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</si>
  <si>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</si>
  <si>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</si>
  <si>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</si>
  <si>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</si>
  <si>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</si>
  <si>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</si>
  <si>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</si>
  <si>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</si>
  <si>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</si>
  <si>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</si>
  <si>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</si>
  <si>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</si>
  <si>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</si>
  <si>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void</t>
  </si>
  <si>
    <t>(void)</t>
  </si>
  <si>
    <t>DisableI2CInterrupt</t>
  </si>
  <si>
    <t>EnableI2CInterrupt</t>
  </si>
  <si>
    <t>NxtrDiagMgr_SetNTCStatus</t>
  </si>
  <si>
    <t>EOLDigColPosCals_WriteBlock</t>
  </si>
  <si>
    <t>OddParityFault</t>
  </si>
  <si>
    <t>boolean</t>
  </si>
  <si>
    <t>(uint16 Input_Cnt_T_u16)</t>
  </si>
  <si>
    <t>DiagnosticThreshold</t>
  </si>
  <si>
    <t>(boolean FaultPresent_Cnt_T_lgc)</t>
  </si>
  <si>
    <t>VernierLookup</t>
  </si>
  <si>
    <t>ComputeRoughTurns</t>
  </si>
  <si>
    <t>ConstrainOneRev</t>
  </si>
  <si>
    <t>(float Input_Deg_T_f32)</t>
  </si>
  <si>
    <t>k_ColAngSenseLPFFc_Hz_f32</t>
  </si>
  <si>
    <t>k_SpurAngSenseLPFFc_Hz_f32</t>
  </si>
  <si>
    <t>I2CSensCommFlts_Cnt_M_u08</t>
  </si>
  <si>
    <t>I2CHwColAngle_Cnt_M_u16</t>
  </si>
  <si>
    <t>I2CHwSpurAngle_Cnt_M_u16</t>
  </si>
  <si>
    <t>I2CHwDataType_Cnt_M_u08</t>
  </si>
  <si>
    <t>ColSensorDiagFailed_Cnt_M_lgc</t>
  </si>
  <si>
    <t>SpurSensorDiagFailed_Cnt_M_lgc</t>
  </si>
  <si>
    <t>ColSensorFaultAcc_Cnt_M_u16</t>
  </si>
  <si>
    <t>SpurSensorFaultAcc_Cnt_M_u16</t>
  </si>
  <si>
    <t>PrevI2CHwColAngle_Cnt_M_u16</t>
  </si>
  <si>
    <t>PrevI2CHwSpurAngle_Cnt_M_u16</t>
  </si>
  <si>
    <t>PrevI2CHwColAngle_Deg_M_f32</t>
  </si>
  <si>
    <t>PrevI2CHwSpurAngle_Deg_M_f32</t>
  </si>
  <si>
    <t>ColRoughTurns_Cnt_M_s08</t>
  </si>
  <si>
    <t>SpurRoughTurns_Cnt_M_s08</t>
  </si>
  <si>
    <t>ColAngleLPFKSV_Cnt_M_str</t>
  </si>
  <si>
    <t>I2CColSensorFault_Cnt_M_lgc</t>
  </si>
  <si>
    <t>I2CSpurSensorFault_Cnt_M_lgc</t>
  </si>
  <si>
    <t>ColParityError_Cnt_M_lgc</t>
  </si>
  <si>
    <t>SpurParityError_Cnt_M_lgc</t>
  </si>
  <si>
    <t>I2CHwColAngleTrim_Deg_M_f32</t>
  </si>
  <si>
    <t>I2CHwSpurAngleTrim_Deg_M_f32</t>
  </si>
  <si>
    <t>ReqI2CSnsrDataType_Cnt_M_u08</t>
  </si>
  <si>
    <t>VernCorrDetectAcc_Cnt_M_u16</t>
  </si>
  <si>
    <t>PrevAngleDataAvailable_Cnt_M_lgc</t>
  </si>
  <si>
    <t>PrevVernierLevelNo_Cnt_M_u08</t>
  </si>
  <si>
    <t>SkipStepFltDetectAcc_Cnt_M_u16</t>
  </si>
  <si>
    <t>PrevColPos_Deg_M_f32</t>
  </si>
  <si>
    <t>k_StepDetect_Deg_f32</t>
  </si>
  <si>
    <t>I2CAbsHwPos_HwDeg_f32</t>
  </si>
  <si>
    <t>G</t>
  </si>
  <si>
    <t>I2CHwPosValid_Cnt_lgc</t>
  </si>
  <si>
    <t>M</t>
  </si>
  <si>
    <t>uint16</t>
  </si>
  <si>
    <t>ColParityErrorAcc_Cnt_M_u16</t>
  </si>
  <si>
    <t>SpurParityErrorAcc_Cnt_M_u16</t>
  </si>
  <si>
    <t>uint08</t>
  </si>
  <si>
    <t>PrevVernierLevelNo_Cnt_T_u08</t>
  </si>
  <si>
    <t>PrevAngleDataAvailable_Cnt_T_lgc</t>
  </si>
  <si>
    <t>VernierAngleOORange_Cnt_M_lgc</t>
  </si>
  <si>
    <t>SpurAngleLPFKSV_Cnt_M_str</t>
  </si>
  <si>
    <t>AbsVernDiagError_Deg_D_f32</t>
  </si>
  <si>
    <t>(float Delta_Deg_T_f32)</t>
  </si>
  <si>
    <t>Input_Cnt_T_u16</t>
  </si>
  <si>
    <t>FaultPresent_Cnt_T_lgc</t>
  </si>
  <si>
    <t>Level_Deg_T_f32</t>
  </si>
  <si>
    <t>Delta_Deg_T_f32</t>
  </si>
  <si>
    <t>Input_Deg_T_f32</t>
  </si>
  <si>
    <t>uint8</t>
  </si>
  <si>
    <t>float</t>
  </si>
  <si>
    <t>AccumulatorPtr_Cnt_T_u16</t>
  </si>
  <si>
    <t>k_SenseDetErrDiag_Cnt_str</t>
  </si>
  <si>
    <t>k_SenseParityErrDiag_Cnt_str</t>
  </si>
  <si>
    <t>DigColPosSnsrEOLType()-&gt;ColTrim_Deg_f32</t>
  </si>
  <si>
    <t>DigColPosSnsrEOLType().ColTrim_Deg_f32</t>
  </si>
  <si>
    <t>DigColPosSnsrEOL().ColTrim_Deg_f32</t>
  </si>
  <si>
    <t>IP_NTC</t>
  </si>
  <si>
    <t>IP_Param</t>
  </si>
  <si>
    <t>IP_Status</t>
  </si>
  <si>
    <t>ColRevPtr_Cnt_T_u08</t>
  </si>
  <si>
    <t>uitn8</t>
  </si>
  <si>
    <t>SpurRevPtr_Cnt_T_u08</t>
  </si>
  <si>
    <t>VernierLevel_Deg_T_f32</t>
  </si>
  <si>
    <t>DigColPosSnsrEOL().TrimComp_Cnt_lgc</t>
  </si>
  <si>
    <t>k_SelectFromColumn_Cnt_lgc</t>
  </si>
  <si>
    <t>k_VernCorrErrorThresh_Deg_f32</t>
  </si>
  <si>
    <t>k_VernCorrErrorDiag_Cnt_str</t>
  </si>
  <si>
    <t>k_SkipStepErrDiag_Cnt_str</t>
  </si>
  <si>
    <t>k_VernOORangeThresh_Deg_f32</t>
  </si>
  <si>
    <t>DigColPosSnsrEOL().SpurTrim_Deg_f32</t>
  </si>
  <si>
    <t>VernierLevelNo_Cnt_T_u08</t>
  </si>
  <si>
    <t>RoughTurnAccPtr_Cnt_T_s08</t>
  </si>
  <si>
    <t>ColAngleLPFKSV_Cnt_M_str.K</t>
  </si>
  <si>
    <t>ColAngleLPFKSV_Cnt_M_str.SV</t>
  </si>
  <si>
    <t>LPF32KSV_Str.float</t>
  </si>
  <si>
    <t>SpurAngleLPFKSV_Cnt_M_str.K</t>
  </si>
  <si>
    <t>SpurAngleLPFKSV_Cnt_M_str.SV</t>
  </si>
  <si>
    <t>Rte_Pim_DigColPosSnsrEOL.SpurTrim_Deg_f32</t>
  </si>
  <si>
    <t>Rte_Pim_DigColPosSnsrEOL.TrimComp_Cnt_lgc</t>
  </si>
  <si>
    <t>Rte_Pim_DigColPosSnsrEOL.ColTrim_Deg_f32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</si>
  <si>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</si>
  <si>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</si>
  <si>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</si>
  <si>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</si>
  <si>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</si>
  <si>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</si>
  <si>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</si>
  <si>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</si>
  <si>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</si>
  <si>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</si>
  <si>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</si>
  <si>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</si>
  <si>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</si>
  <si>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</si>
  <si>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All Min</t>
  </si>
  <si>
    <t>All Max</t>
  </si>
  <si>
    <t>k_ColAngSenseLPFFc_Hz_f32=Min</t>
  </si>
  <si>
    <t>k_ColAngSenseLPFFc_Hz_f32=Max</t>
  </si>
  <si>
    <t>k_ColAngSenseLPFFc_Hz_f32=pos</t>
  </si>
  <si>
    <t>k_SpurAngSenseLPFFc_Hz_f32=Min</t>
  </si>
  <si>
    <t>k_SpurAngSenseLPFFc_Hz_f32=Max</t>
  </si>
  <si>
    <t>k_SpurAngSenseLPFFc_Hz_f32=Pos</t>
  </si>
  <si>
    <t>Param</t>
  </si>
  <si>
    <t>Function
Return Val</t>
  </si>
  <si>
    <t>Expected
Return Val</t>
  </si>
  <si>
    <t>Input_Deg_T_f32=Min</t>
  </si>
  <si>
    <t>Input_Deg_T_f32=Max</t>
  </si>
  <si>
    <t>Input_Deg_T_f32=Pos</t>
  </si>
  <si>
    <t>Delta_Deg_T_f32=Min</t>
  </si>
  <si>
    <t>Delta_Deg_T_f32=Max</t>
  </si>
  <si>
    <t>Delta_Deg_T_f32=Pos</t>
  </si>
  <si>
    <t>k_StepDetect_Deg_f32=Min</t>
  </si>
  <si>
    <t>k_StepDetect_Deg_f32=Max</t>
  </si>
  <si>
    <t>k_StepDetect_Deg_f32=Pos</t>
  </si>
  <si>
    <t>if (Delta_Deg_T_f32 &gt; k_StepDetect_Deg_f32)=TRUE</t>
  </si>
  <si>
    <t>if (Delta_Deg_T_f32 &gt; k_StepDetect_Deg_f32)=FALSE
else if (Delta_Deg_T_f32 &lt; -k_StepDetect_Deg_f32)=FALSE</t>
  </si>
  <si>
    <t>T2_VernierLUT_Cnt_u16[3][17]</t>
  </si>
  <si>
    <t>TableSize_m</t>
  </si>
  <si>
    <t>DiagSettings_Cnt_T_str</t>
  </si>
  <si>
    <t>DiagSettings_Cnt_T_str.Threshold</t>
  </si>
  <si>
    <t>DiagSettings_Cnt_T_str.PStep</t>
  </si>
  <si>
    <t>DiagSettings_Cnt_T_str.NStep</t>
  </si>
  <si>
    <t>DiagSettings_Str.UINT16</t>
  </si>
  <si>
    <t>Input_Cnt_T_u16=Min</t>
  </si>
  <si>
    <t>Input_Cnt_T_u16=Max</t>
  </si>
  <si>
    <t>Input_Cnt_T_u16=Pos</t>
  </si>
  <si>
    <t>P</t>
  </si>
  <si>
    <t>VernierLookup() P</t>
  </si>
  <si>
    <t>Level_Deg_T_f32=Min</t>
  </si>
  <si>
    <t>Level_Deg_T_f32=Max</t>
  </si>
  <si>
    <t>Level_Deg_T_f32=Pos</t>
  </si>
  <si>
    <t>If (Level_Deg_T_f32 &lt;= T2_VernierLUT0_Cnt_u16(0)) =&gt;True</t>
  </si>
  <si>
    <t>Level_Deg_T_f32=Neg</t>
  </si>
  <si>
    <t>Level_Deg_T_f32=Zero</t>
  </si>
  <si>
    <t>If (Level_Deg_T_f32 &lt;= T2_VernierLUT0_Cnt_u16(0)) =&gt;False
For Search_Cnt_T_u08 = 0 To (TableSize_Cnt_T_u08 - 1)=&gt;True
If (MatchFound_Cnt_T_lgc = False)=&gt;True
If (Level_Deg_T_f32 &lt; T2_VernierLUT0_Cnt_u16(Search_Cnt_T_u08 + 1))=&gt;False
If (MatchFound_Cnt_T_lgc = False)=&gt;True</t>
  </si>
  <si>
    <t>If (Level_Deg_T_f32 &lt; T2_VernierLUT0_Cnt_u16(Search_Cnt_T_u08 + 1))=&gt;True
If (Level_Deg_T_f32 &lt; Middle_Cnt_T_f32)=&gt;True</t>
  </si>
  <si>
    <t>If (Level_Deg_T_f32 &lt; Middle_Cnt_T_f32)=&gt;False</t>
  </si>
  <si>
    <t>PassedParameter_1</t>
  </si>
  <si>
    <t>k_SenseDetErrDiag_Cnt_str.Threshold</t>
  </si>
  <si>
    <t>k_SenseDetErrDiag_Cnt_str.PStep</t>
  </si>
  <si>
    <t>k_SenseDetErrDiag_Cnt_str.NStep</t>
  </si>
  <si>
    <t>RoughTurnAccPtr_Cnt_T_s08n</t>
  </si>
  <si>
    <t xml:space="preserve">IP_NTC </t>
  </si>
  <si>
    <t>k_SkipStepErrDiag_Cnt_str.Threshold</t>
  </si>
  <si>
    <t>k_SkipStepErrDiag_Cnt_str.Nstep</t>
  </si>
  <si>
    <t>k_SkipStepErrDiag_Cnt_str.PStep</t>
  </si>
  <si>
    <t>FaultPresent_Cnt_T_lgc=Min</t>
  </si>
  <si>
    <t>FaultPresent_Cnt_T_lgc=Max</t>
  </si>
  <si>
    <t>AccumulatorPtr_Cnt_T_u16=Min</t>
  </si>
  <si>
    <t>AccumulatorPtr_Cnt_T_u16=Max</t>
  </si>
  <si>
    <t>AccumulatorPtr_Cnt_T_u16=Pos</t>
  </si>
  <si>
    <t>DiagSettings_Cnt_T_str.Threshold=Min</t>
  </si>
  <si>
    <t>DiagSettings_Cnt_T_str.Threshold=Max</t>
  </si>
  <si>
    <t>DiagSettings_Cnt_T_str.Threshold=Pos</t>
  </si>
  <si>
    <t>DiagSettings_Cnt_T_str.Pstep=Min</t>
  </si>
  <si>
    <t>DiagSettings_Cnt_T_str.Pstep=Max</t>
  </si>
  <si>
    <t>DiagSettings_Cnt_T_str.Pstep=Pos</t>
  </si>
  <si>
    <t>DiagSettings_Cnt_T_str.Nstep=Min</t>
  </si>
  <si>
    <t>DiagSettings_Cnt_T_str.Nstep=Max</t>
  </si>
  <si>
    <t>DiagSettings_Cnt_T_str.Nstep=Pos</t>
  </si>
  <si>
    <t>if (FaultPresent_Cnt_T_lgc == TRUE)=&gt;True
if (DiagFailed_m(*AccumulatorPtr_Cnt_T_u16, DiagSettings_Cnt_T_str) == TRUE)=&gt;True</t>
  </si>
  <si>
    <t>if (FaultPresent_Cnt_T_lgc == TRUE)=&gt;False</t>
  </si>
  <si>
    <t>if (FaultPresent_Cnt_T_lgc == TRUE)=&gt;True
if (DiagFailed_m(*AccumulatorPtr_Cnt_T_u16, DiagSettings_Cnt_T_str) == TRUE)=&gt;False</t>
  </si>
  <si>
    <t>k_VernCorrErrorDiag_Cnt_str.Threshold</t>
  </si>
  <si>
    <t>k_VernCorrErrorDiag_Cnt_str.PStep</t>
  </si>
  <si>
    <t>k_VernCorrErrorDiag_Cnt_str.Nstep</t>
  </si>
  <si>
    <t>k_VernCorrErrorDiag_Cnt_str.NStep</t>
  </si>
  <si>
    <t>k_SkipStepErrDiag_Cnt_str.NStep</t>
  </si>
  <si>
    <t>while (Input_Cnt_T_u16 &gt; 0U)=&gt;FALSE
if ((Parity_Cnt_T_u08 &amp; 1U) == 0U)=&gt;TRUE</t>
  </si>
  <si>
    <t>k_SenseParityErrDiag_Cnt_str.Threshold</t>
  </si>
  <si>
    <t>k_SenseParityErrDiag_Cnt_str.PStep</t>
  </si>
  <si>
    <t>k_SenseParityErrDiag_Cnt_str.NStep</t>
  </si>
  <si>
    <t>Func Stub
Return Val</t>
  </si>
  <si>
    <t>DigColPsInt_Init</t>
  </si>
  <si>
    <t>DigColPs_Init1</t>
  </si>
  <si>
    <t>DigColPs_Per1</t>
  </si>
  <si>
    <t>DigColPs_I2CSensCommFlts_Cnt_M_u08</t>
  </si>
  <si>
    <t>DigColPsInt_GetData</t>
  </si>
  <si>
    <t>DigColPs_I2CHwColAngle_Cnt_M_u16</t>
  </si>
  <si>
    <t>DigColPs_I2CHwSpurAngle_Cnt_M_u16</t>
  </si>
  <si>
    <t>DigColPs_I2CHwDataType_Cnt_M_u08</t>
  </si>
  <si>
    <t>DigColPs_ColSensorDiagFailed_Cnt_M_lgc</t>
  </si>
  <si>
    <t>DigColPs_SpurSensorDiagFailed_Cnt_M_lgc</t>
  </si>
  <si>
    <t>DigColPs_PrevI2CHwColAngle_Cnt_M_u16</t>
  </si>
  <si>
    <t>DigColPs_PrevI2CHwSpurAngle_Cnt_M_u16</t>
  </si>
  <si>
    <t>DigColPs_PrevI2CHwColAngle_Deg_M_f32</t>
  </si>
  <si>
    <t>DigColPs_PrevI2CHwSpurAngle_Deg_M_f32</t>
  </si>
  <si>
    <t>DigColPs_ColRoughTurns_Cnt_M_s08</t>
  </si>
  <si>
    <t>DigColPs_SpurRoughTurns_Cnt_M_s08</t>
  </si>
  <si>
    <t>DigColPs_ColAngleLPFKSV_Cnt_M_str</t>
  </si>
  <si>
    <t>DigColPs_SpurAngleLPFKSV_Cnt_M_str</t>
  </si>
  <si>
    <t>Rte_Pim_DigColPsEOL.ColTrim_Deg_f32</t>
  </si>
  <si>
    <t>Rte_Pim_DigColPsEOL.SpurTrim_Deg_f32</t>
  </si>
  <si>
    <t>DigColPs_ColSensorFaultAcc_Cnt_M_u16</t>
  </si>
  <si>
    <t>DigColPs_SpurSensorFaultAcc_Cnt_M_u16</t>
  </si>
  <si>
    <t>DigColPs_I2CColSensorFault_Cnt_M_lgc</t>
  </si>
  <si>
    <t>DigColPs_I2CSpurSensorFault_Cnt_M_lgc</t>
  </si>
  <si>
    <t>DigColPs_ColParityError_Cnt_M_lgc</t>
  </si>
  <si>
    <t>DigColPs_SpurParityError_Cnt_M_lgc</t>
  </si>
  <si>
    <t>DigColPs_I2CHwColAngleTrim_Deg_M_f32</t>
  </si>
  <si>
    <t>DigColPs_I2CHwSpurAngleTrim_Deg_M_f32</t>
  </si>
  <si>
    <t>DigColPsInt_StartRequest</t>
  </si>
  <si>
    <t>DigColPs_ReqI2CSnsrDataType_Cnt_M_u08</t>
  </si>
  <si>
    <t>DigColPs_Per2</t>
  </si>
  <si>
    <t>HwAVernCorrFault_Cnt_T_lgc</t>
  </si>
  <si>
    <t>GetResource</t>
  </si>
  <si>
    <t>ReleaseResource</t>
  </si>
  <si>
    <t>Rte_Pim_DigColPsEOL.TrimComp_Cnt_u16</t>
  </si>
  <si>
    <t>DigColPs_AbsVernDiagError_Deg_D_f32</t>
  </si>
  <si>
    <t>DigColPs_PrevAngleDataAvailable_Cnt_M_lgc</t>
  </si>
  <si>
    <t>DigColPs_SkipStepFltDetectAcc_Cnt_M_u16</t>
  </si>
  <si>
    <t>DigColPs_VernierAngleOORange_Cnt_M_lgc</t>
  </si>
  <si>
    <t>DigColPs_VernCorrDetectAcc_Cnt_M_u16</t>
  </si>
  <si>
    <t>DigColPs_PrevVernierLevelNo_Cnt_M_u08</t>
  </si>
  <si>
    <t>DigColPs_PrevColPos_Deg_M_f32</t>
  </si>
  <si>
    <t>DigColPsEOLType.float</t>
  </si>
  <si>
    <t>DigColPsEOLType.uint16</t>
  </si>
  <si>
    <t>DigColPsEOLType.uint32</t>
  </si>
  <si>
    <t>DigColPs_I2CHwColAngle_Deg_M_f32</t>
  </si>
  <si>
    <t>DigColPs_I2CHwSpurAngle_Deg_M_f32</t>
  </si>
  <si>
    <t>Rte_Pim_DigColPsEOL.R_ColTrim_Cnt_u32</t>
  </si>
  <si>
    <t>Rte_Pim_DigColPsEOL.R_SpurTrim_Cnt_u32</t>
  </si>
  <si>
    <t>Rte_Pim_DigColPsEOL.R_TrimCom_Cnt_u16</t>
  </si>
  <si>
    <t>DigColPs_ColParityErrorAcc_Cnt_M_u16</t>
  </si>
  <si>
    <t>DigColPs_SpurParityErrorAcc_Cnt_M_u16</t>
  </si>
  <si>
    <t>DigColPs_Per2_I2CHwAbsPosValid_Cnt_lgc</t>
  </si>
  <si>
    <t>DigColPs_Per2_I2CHwAbsPos_HwDeg_f32</t>
  </si>
  <si>
    <t>Rte_Pim_DigColPsEOL.TrimComp_Cnt_lgc</t>
  </si>
  <si>
    <t>Rte_Pim_DigColPsEOL.TrimCom_Cnt_lgc</t>
  </si>
  <si>
    <t>DigColPs_ColAngleLPFKSV_Cnt_M_str.K</t>
  </si>
  <si>
    <t>DigColPs_SpurAngleLPFKSV_Cnt_M_str.K</t>
  </si>
  <si>
    <t>DigColPs_Init1() P</t>
  </si>
  <si>
    <t>Rte_Pim_DigColPsEOL.ColTrim_Deg_f32=Min</t>
  </si>
  <si>
    <t>Rte_Pim_DigColPsEOL.ColTrim_Deg_f32=Max</t>
  </si>
  <si>
    <t>Rte_Pim_DigColPsEOL.ColTrim_Deg_f32=Pos</t>
  </si>
  <si>
    <t>Rte_Pim_DigColPsEOL.SpurTrim_Deg_f32=Min</t>
  </si>
  <si>
    <t>Rte_Pim_DigColPsEOL.SpurTrim_Deg_f32=Max</t>
  </si>
  <si>
    <t>Rte_Pim_DigColPsEOL.SpurTrim_Deg_f32=Pos</t>
  </si>
  <si>
    <t>Rte_Pim_DigColPsEOL.TrimComp_Cnt_u16=Min</t>
  </si>
  <si>
    <t>Rte_Pim_DigColPsEOL.TrimComp_Cnt_u16=Max</t>
  </si>
  <si>
    <t>Rte_Pim_DigColPsEOL.TrimComp_Cnt_u16=Pos</t>
  </si>
  <si>
    <t>Rte_Pim_DigColPsEOL.R_ColTrim_Cnt_u32=Min</t>
  </si>
  <si>
    <t>Rte_Pim_DigColPsEOL.R_ColTrim_Cnt_u32=Max</t>
  </si>
  <si>
    <t>Rte_Pim_DigColPsEOL.R_ColTrim_Cnt_u32=Pos</t>
  </si>
  <si>
    <t>Rte_Pim_DigColPsEOL.R_SpurTrim_Cnt_u32=Min</t>
  </si>
  <si>
    <t>Rte_Pim_DigColPsEOL.R_SpurTrim_Cnt_u32=Max</t>
  </si>
  <si>
    <t>Rte_Pim_DigColPsEOL.R_SpurTrim_Cnt_u32=Pos</t>
  </si>
  <si>
    <t>Rte_Pim_DigColPsEOL.R_TrimCom_Cnt_u16=Min</t>
  </si>
  <si>
    <t>Rte_Pim_DigColPsEOL.R_TrimCom_Cnt_u16=Max</t>
  </si>
  <si>
    <t>Rte_Pim_DigColPsEOL.R_TrimCom_Cnt_u16=Pos</t>
  </si>
  <si>
    <t>DigColPs_MDD.docx</t>
  </si>
  <si>
    <t>Sa_DigColPs.c</t>
  </si>
  <si>
    <t>DigColPs_ColAngleLPFKSV_Cnt_M_str.K=Min</t>
  </si>
  <si>
    <t>DigColPs_ColAngleLPFKSV_Cnt_M_str.K=Max</t>
  </si>
  <si>
    <t>DigColPs_ColAngleLPFKSV_Cnt_M_str.K=Pos</t>
  </si>
  <si>
    <t>DigColPs_SpurAngleLPFKSV_Cnt_M_str.K=Min</t>
  </si>
  <si>
    <t>DigColPs_SpurAngleLPFKSV_Cnt_M_str.K=Max</t>
  </si>
  <si>
    <t>DigColPs_SpurAngleLPFKSV_Cnt_M_str.K=Pos</t>
  </si>
  <si>
    <t>DigColPs_ColAngleLPFKSV_Cnt_M_str.SV</t>
  </si>
  <si>
    <t>DigColPs_SpurAngleLPFKSV_Cnt_M_str.SV</t>
  </si>
  <si>
    <t>DigColPs_I2CHwPosValid_Cnt_lgc</t>
  </si>
  <si>
    <t>DigColPs_I2CAbsHwPos_HwDeg_f32</t>
  </si>
  <si>
    <t>I2CHwAbsPosValid_Cnt_lgc</t>
  </si>
  <si>
    <t>I2CHwAbsPos_HwDeg_f32</t>
  </si>
  <si>
    <t>DiagnosticThreshold() P</t>
  </si>
  <si>
    <t>OddParityFault() P</t>
  </si>
  <si>
    <t>if (Delta_Deg_T_f32 &gt; k_StepDetect_Deg_f32)=FALSE
else if (Delta_Deg_T_f32 &lt; -k_StepDetect_Deg_f32)=TRUE</t>
  </si>
  <si>
    <t>Input_Deg_T_f32=Zero</t>
  </si>
  <si>
    <t>Input_Deg_T_f32=Neg</t>
  </si>
  <si>
    <t>(Input_Deg_T_f32 &gt; D_ONEREV_DEGREESPREV_F32)=&gt;TRUE
(Input_Deg_T_f32 &gt; D_ONEREV_DEGREESPREV_F32)=&gt;FALSE
(Input_Deg_T_f32 &lt; D_ZERO_ULS_F32)=&gt;FALSE</t>
  </si>
  <si>
    <t>(Input_Deg_T_f32 &lt; D_ZERO_ULS_F32)=&gt;TRUE</t>
  </si>
  <si>
    <t>Clear all the Trim variables</t>
  </si>
  <si>
    <t>i</t>
  </si>
  <si>
    <t>Call_count</t>
  </si>
  <si>
    <t>NxtrDiagMgr_Call_Count</t>
  </si>
  <si>
    <t>NxtrDiagMgr_NTC[3]</t>
  </si>
  <si>
    <t>NxtrDiagMgr_Param[3]</t>
  </si>
  <si>
    <t>NxtrDiagMgr_Status[3]</t>
  </si>
  <si>
    <t>( (Redundant_Format_1_m(*(uint32*)&amp;Rte_Pim_DigColPsEOL()-&gt;ColTrim_Deg_f32) != Rte_Pim_DigColPsEOL()-&gt;R_ColTrim_Cnt_u32) ||
   (Redundant_Format_1_m(*(uint32*)&amp;Rte_Pim_DigColPsEOL()-&gt;SpurTrim_Deg_f32) != Rte_Pim_DigColPsEOL()-&gt;R_SpurTrim_Cnt_u32) ||
   ((uint16)Redundant_Format_1_m(Rte_Pim_DigColPsEOL()-&gt;TrimComp_Cnt_u16) != Rte_Pim_DigColPsEOL()-&gt;R_TrimCom_Cnt_u16) )F</t>
  </si>
  <si>
    <t>Rev:2.7d</t>
  </si>
  <si>
    <t>Total FLASH Used (Bytes):</t>
  </si>
  <si>
    <t>Total RAM Used (Bytes):</t>
  </si>
  <si>
    <t>Total CALS Used (Bytes):</t>
  </si>
  <si>
    <t>DigColPs_ColLPFInitDone_Cnt_M_lgc</t>
  </si>
  <si>
    <t>DigColPs_SpurLPFInitDone_Cnt_M_lgc</t>
  </si>
  <si>
    <t>TrimCompEOL_Cnt_lgc</t>
  </si>
  <si>
    <t>DigColPs_Init1() M</t>
  </si>
  <si>
    <t>ConstrainOneRev() P</t>
  </si>
  <si>
    <t>ConstrainOneRev() M</t>
  </si>
  <si>
    <t>ComputeRoughTurns() P</t>
  </si>
  <si>
    <t>ComputeRoughTurns() M</t>
  </si>
  <si>
    <t>OddParityFault() M</t>
  </si>
  <si>
    <t>VernierLookup() M</t>
  </si>
  <si>
    <t>DigColPs_Per1() P</t>
  </si>
  <si>
    <t>DigColPs_Per1() M</t>
  </si>
  <si>
    <t>DiagnosticThreshold() M</t>
  </si>
  <si>
    <t>DigColPs_Per2() P</t>
  </si>
  <si>
    <t>DigColPs_Per2() M</t>
  </si>
  <si>
    <t xml:space="preserve">Longest Execution Path =&gt;
 (Redundant_Format_1_m(*(uint32*)&amp;Rte_Pim_DigColPsEOL()-&gt;ColTrim_Deg_f32) != Rte_Pim_DigColPsEOL()-&gt;R_ColTrim_Cnt_u32)=FALSE  ||
(Redundant_Format_1_m(*(uint32*)&amp;Rte_Pim_DigColPsEOL()-&gt;SpurTrim_Deg_f32) != Rte_Pim_DigColPsEOL()-&gt;R_SpurTrim_Cnt_u32)=FALSE ||((uint16)Redundant_Format_1_m(Rte_Pim_DigColPsEOL()-&gt;TrimComp_Cnt_u16) != Rte_Pim_DigColPsEOL()-&gt;R_TrimCom_Cnt_u16)=TRUE </t>
  </si>
  <si>
    <t>Shortest Execution Path =&gt;
 (Redundant_Format_1_m(*(uint32*)&amp;Rte_Pim_DigColPsEOL()-&gt;ColTrim_Deg_f32) != Rte_Pim_DigColPsEOL()-&gt;R_ColTrim_Cnt_u32)=FALSE  ||
(Redundant_Format_1_m(*(uint32*)&amp;Rte_Pim_DigColPsEOL()-&gt;SpurTrim_Deg_f32) != Rte_Pim_DigColPsEOL()-&gt;R_SpurTrim_Cnt_u32)=FALSE ||((uint16)Redundant_Format_1_m(Rte_Pim_DigColPsEOL()-&gt;TrimComp_Cnt_u16) != Rte_Pim_DigColPsEOL()-&gt;R_TrimCom_Cnt_u16)=FALSE</t>
  </si>
  <si>
    <t>((*AccumulatorPtr_Cnt_T_u16)&gt;( DiagSettings_Cnt_T_str.NStep))=&gt;TRUE</t>
  </si>
  <si>
    <t>Longest Execution Path =&gt;
if (FaultPresent_Cnt_T_lgc == TRUE)=&gt;True
if (DiagFailed_m(*AccumulatorPtr_Cnt_T_u16, DiagSettings_Cnt_T_str) == TRUE)=&gt;True</t>
  </si>
  <si>
    <t>Shortest Execution Path =&gt;
if (FaultPresent_Cnt_T_lgc == TRUE)=&gt;False</t>
  </si>
  <si>
    <t>Longest Execution Path =&gt;
while (Input_Cnt_T_u16 &gt; 0U)=&gt;TRUE
if ((Input_Cnt_T_u16 &amp; 1U) != 0U)=&gt;TRUE
if ((Parity_Cnt_T_u08 &amp; 1U) == 0U)=&gt;TRUE</t>
  </si>
  <si>
    <t>Shortest Execution Path =&gt;
while (Input_Cnt_T_u16 &gt; 0U)=&gt;FALSE
if ((Parity_Cnt_T_u08 &amp; 1U) == 0U)=&gt;TRUE</t>
  </si>
  <si>
    <t>Shortest Execution Path =&gt;
if (Delta_Deg_T_f32 &gt; k_StepDetect_Deg_f32)=TRUE</t>
  </si>
  <si>
    <t>Longest Execution Path =&gt;
if (Delta_Deg_T_f32 &gt; k_StepDetect_Deg_f32)=FALSE
else if (Delta_Deg_T_f32 &lt; -k_StepDetect_Deg_f32)=FALSE</t>
  </si>
  <si>
    <t>Longest Execution Path =&gt;
(Input_Deg_T_f32 &lt; D_ZERO_ULS_F32)=&gt;TRUE</t>
  </si>
  <si>
    <t>Shortest Execution Path =&gt;
(Input_Deg_T_f32 &gt; D_ONEREV_DEGREESPREV_F32)=&gt;FALSE
(Input_Deg_T_f32 &lt; D_ZERO_ULS_F32)=&gt;FALSE</t>
  </si>
  <si>
    <t>Longest Execution Path =&gt;
If (Level_Deg_T_f32 &lt;= T2_VernierLUT_Cnt_u16(D_VERNIERLEVEL_CNT_U08, 0))=&gt;FALSE
For Search_Cnt_T_u08 = 0 To (TableSize_Cnt_T_u08 - 2)=&gt;TRUE
If (MatchFound_Cnt_T_lgc = False)=&gt;TRUE
If (Level_Deg_T_f32 &lt; T2_VernierLUT_Cnt_u16(D_VERNIERLEVEL_CNT_U08, (Search_Cnt_T_u08 + 1)))=&gt;TRUE
If (Level_Deg_T_f32 &lt; Middle_Cnt_T_f32)=&gt;FALSE
If (MatchFound_Cnt_T_lgc = False)=&gt;FALSE</t>
  </si>
  <si>
    <t>Shortest Execution Path =&gt;
If (Level_Deg_T_f32 &lt;= T2_VernierLUT_Cnt_u16(D_VERNIERLEVEL_CNT_U08, 0)) =&gt;TRUE</t>
  </si>
  <si>
    <t>Delta_Deg_T_f32=Neg</t>
  </si>
  <si>
    <t>Delta_Deg_T_f32=Zero</t>
  </si>
  <si>
    <t>DigColPs_ColTrimStatic_Deg_M_f32</t>
  </si>
  <si>
    <t>DigColPs_SpurTrimStatic_Deg_M_f32</t>
  </si>
  <si>
    <t>DigColPs_TrimCompStatic_Cnt_M_u16</t>
  </si>
  <si>
    <t>DigColPs_ColRoughTurns_Cnt_M_s16</t>
  </si>
  <si>
    <t>SINT16</t>
  </si>
  <si>
    <t>DigColPs_SpurRoughTurns_Cnt_M_s16</t>
  </si>
  <si>
    <t>DigColPs_ColAngle_Deg_D_f32</t>
  </si>
  <si>
    <t>DigColPs_SpurAngle_Deg_D_f32</t>
  </si>
  <si>
    <t>MecState_Cnt_enum</t>
  </si>
  <si>
    <t>ManufModeType.uint8</t>
  </si>
  <si>
    <t>DigColPs_VernierLevel_Deg_D_f32</t>
  </si>
  <si>
    <t>DigColPs_VernDiagError_Deg_D_f32</t>
  </si>
  <si>
    <t>DigColPs_HwAVernCorrFault_Cnt_M_lgc</t>
  </si>
  <si>
    <t>TrimComp_Cnt_lgc</t>
  </si>
  <si>
    <t>DigColPsEOL_ColTrimStatic_Deg_M_f32</t>
  </si>
  <si>
    <t>DigColPsEOL_SpurTrimStatic_Deg_M_f32</t>
  </si>
  <si>
    <t>DigColPsEOL_TrimCompStatic_Cnt_M_u16</t>
  </si>
  <si>
    <t>RoughTurnAccPtr_Cnt_T_s16</t>
  </si>
  <si>
    <t>DigColPs_SCom_CustSetTrim</t>
  </si>
  <si>
    <t>DigColPs_SCom_CustSetTrim() P</t>
  </si>
  <si>
    <t>DigColPs_SCom_CustSetTrim() M</t>
  </si>
  <si>
    <t>DigColPs_SCom_CustClrTrim</t>
  </si>
  <si>
    <t>DigColPs_SCom_NxtClrTrim</t>
  </si>
  <si>
    <t>DigColPs_SCom_NxtSetTrim</t>
  </si>
  <si>
    <t>DigColPs_SCom_NxtSetTrim() P</t>
  </si>
  <si>
    <t>DigColPs_SCom_NxtSetTrim() M</t>
  </si>
  <si>
    <t>DigColPs_I2CColSensorFault_Cnt_M_lgc=&gt;Min</t>
  </si>
  <si>
    <t>DigColPs_I2CColSensorFault_Cnt_M_lgc=&gt;Max</t>
  </si>
  <si>
    <t>DigColPs_I2CSpurSensorFault_Cnt_M_lgc=&gt;Min</t>
  </si>
  <si>
    <t>DigColPs_I2CSpurSensorFault_Cnt_M_lgc=&gt;Max</t>
  </si>
  <si>
    <t>DigColPs_I2CHwColAngle_Deg_M_f32=&gt;Min</t>
  </si>
  <si>
    <t>DigColPs_I2CHwColAngle_Deg_M_f32=&gt;Max</t>
  </si>
  <si>
    <t>DigColPs_I2CHwColAngle_Deg_M_f32=&gt;Pos</t>
  </si>
  <si>
    <t>DigColPs_I2CHwSpurAngle_Deg_M_f32=&gt;Min</t>
  </si>
  <si>
    <t>DigColPs_I2CHwSpurAngle_Deg_M_f32=&gt;Max</t>
  </si>
  <si>
    <t>DigColPs_I2CHwSpurAngle_Deg_M_f32=&gt;Pos</t>
  </si>
  <si>
    <t>Clear All The Trim Variables</t>
  </si>
  <si>
    <t>RoughTurnAccPtr_Cnt_T_s16=Min</t>
  </si>
  <si>
    <t>RoughTurnAccPtr_Cnt_T_s16=Max</t>
  </si>
  <si>
    <t>RoughTurnAccPtr_Cnt_T_s16=Zero</t>
  </si>
  <si>
    <t>RoughTurnAccPtr_Cnt_T_s16=Pos</t>
  </si>
  <si>
    <t>RoughTurnAccPtr_Cnt_T_s16=Neg</t>
  </si>
  <si>
    <t>DigColPs_I2CHwColAngleForTrim_Deg_M_f32</t>
  </si>
  <si>
    <t>DigColPs_I2CHwCustData_Uls_M_u16</t>
  </si>
  <si>
    <t>DigColPs_I2CHwTrimTransCnts_Uls_M_u08</t>
  </si>
  <si>
    <t>DigColPsInt_GetCustData</t>
  </si>
  <si>
    <t>DigColPs_I2CHwColAngleForTrim_Deg_M_f32=&gt;Min</t>
  </si>
  <si>
    <t>DigColPs_I2CHwColAngleForTrim_Deg_M_f32=&gt;Max</t>
  </si>
  <si>
    <t>DigColPs_I2CHwColAngleForTrim_Deg_M_f32=&gt;Pos</t>
  </si>
  <si>
    <t>Rte_Pim_DigColPsEOL.TrimComp_Cnt_u16=&gt;Min</t>
  </si>
  <si>
    <t>Rte_Pim_DigColPsEOL.TrimComp_Cnt_u16=&gt;Max</t>
  </si>
  <si>
    <t>Rte_Pim_DigColPsEOL.TrimComp_Cnt_u16=&gt;Pos</t>
  </si>
  <si>
    <t>DigColPsInt_GetCustData=&gt;Min</t>
  </si>
  <si>
    <t>DigColPsInt_GetCustData=&gt;Max</t>
  </si>
  <si>
    <t>DigColPsInt_GetCustData=&gt;Pos</t>
  </si>
  <si>
    <t>if ( (I2CColSensorFault_Cnt_T_lgc == FALSE) &amp;&amp; (I2CSpurSensorFault_Cnt_T_lgc == FALSE)
  &amp;&amp; (DigColPs_I2CHwCustData_Uls_M_u16 != D_I2CHWCUSTDATAUNKWN_CNT_U16)
  &amp;&amp; (DigColPs_TrimCompStatic_Cnt_M_u16 != D_TRIMCOMPLETE_CNT_U16)
  &amp;&amp; (Rte_Pim_DigColPsEOL()-&gt;TrimComp_Cnt_u16 != D_TRIMCOMPLETE_CNT_U16) )=&gt;TRUE;
( (DigColPs_I2CHwCustData_Uls_M_u16 &amp; D_I2CHWTRIMINSENSOR_CNT_U16) != D_I2CHWTRIMINSENSOR_CNT_U16 ) ==&gt; TRUE;
(DigColPs_TrimCompStatic_Cnt_M_u16 == D_TRIMCOMPLETE_CNT_U16) ==&gt;TRUE</t>
  </si>
  <si>
    <t>if ( (I2CColSensorFault_Cnt_T_lgc == FALSE) &amp;&amp; (I2CSpurSensorFault_Cnt_T_lgc == FALSE)
  &amp;&amp; (DigColPs_I2CHwCustData_Uls_M_u16 != D_I2CHWCUSTDATAUNKWN_CNT_U16)
  &amp;&amp; (DigColPs_TrimCompStatic_Cnt_M_u16 != D_TRIMCOMPLETE_CNT_U16)
  &amp;&amp; (Rte_Pim_DigColPsEOL()-&gt;TrimComp_Cnt_u16 != D_TRIMCOMPLETE_CNT_U16) )=&gt;TRUE;
( (DigColPs_I2CHwCustData_Uls_M_u16 &amp; D_I2CHWTRIMINSENSOR_CNT_U16) != D_I2CHWTRIMINSENSOR_CNT_U16 ) ==&gt; FALSE;
(I2CHwTrimColOffset_Deg_T_f32 &gt;= 0.0f) ==&gt; FALSE</t>
  </si>
  <si>
    <t xml:space="preserve"> ((I2CColSensorFault_Cnt_T_lgc == FALSE)==&gt; TRUE) &amp;&amp; ((I2CSpurSensorFault_Cnt_T_lgc == FALSE)==&gt;TRUE)
  &amp;&amp;( (DigColPs_I2CHwCustData_Uls_M_u16 != D_I2CHWCUSTDATAUNKWN_CNT_U16)==&gt;TRUE)
  &amp;&amp; ((DigColPs_TrimCompStatic_Cnt_M_u16 != D_TRIMCOMPLETE_CNT_U16)==&gt;TRUE)
  &amp;&amp;((Rte_Pim_DigColPsEOL()-&gt;TrimComp_Cnt_u16 != D_TRIMCOMPLETE_CNT_U16)==&gt;FALSE) </t>
  </si>
  <si>
    <t xml:space="preserve"> ((I2CColSensorFault_Cnt_T_lgc == FALSE)==&gt; TRUE) &amp;&amp; ((I2CSpurSensorFault_Cnt_T_lgc == FALSE)==&gt;FALSE)
  &amp;&amp;( (DigColPs_I2CHwCustData_Uls_M_u16 != D_I2CHWCUSTDATAUNKWN_CNT_U16)==&gt;FALSE)
  &amp;&amp; ((DigColPs_TrimCompStatic_Cnt_M_u16 != D_TRIMCOMPLETE_CNT_U16)==&gt;FALSE)
  &amp;&amp;((Rte_Pim_DigColPsEOL()-&gt;TrimComp_Cnt_u16 != D_TRIMCOMPLETE_CNT_U16)==&gt;FALSE) </t>
  </si>
  <si>
    <t xml:space="preserve"> ((I2CColSensorFault_Cnt_T_lgc == FALSE)==&gt; FALSE) &amp;&amp; ((I2CSpurSensorFault_Cnt_T_lgc == FALSE)==&gt;FALSE)
  &amp;&amp;( (DigColPs_I2CHwCustData_Uls_M_u16 != D_I2CHWCUSTDATAUNKWN_CNT_U16)==&gt;FALSE)
  &amp;&amp; ((DigColPs_TrimCompStatic_Cnt_M_u16 != D_TRIMCOMPLETE_CNT_U16)==&gt;FALSE)
  &amp;&amp;((Rte_Pim_DigColPsEOL()-&gt;TrimComp_Cnt_u16 != D_TRIMCOMPLETE_CNT_U16)==&gt;FALSE) </t>
  </si>
  <si>
    <t>if ( (I2CColSensorFault_Cnt_T_lgc == FALSE) &amp;&amp; (I2CSpurSensorFault_Cnt_T_lgc == FALSE)
  &amp;&amp; (DigColPs_I2CHwCustData_Uls_M_u16 != D_I2CHWCUSTDATAUNKWN_CNT_U16)
  &amp;&amp; (DigColPs_TrimCompStatic_Cnt_M_u16 != D_TRIMCOMPLETE_CNT_U16)
  &amp;&amp; (Rte_Pim_DigColPsEOL()-&gt;TrimComp_Cnt_u16 != D_TRIMCOMPLETE_CNT_U16) )=&gt;TRUE;
( (DigColPs_I2CHwCustData_Uls_M_u16 &amp; D_I2CHWTRIMINSENSOR_CNT_U16) != D_I2CHWTRIMINSENSOR_CNT_U16 ) ==&gt; FALSE;
(I2CHwTrimColOffset_Deg_T_f32 &gt;= 0.0f) ==&gt; TRUE;</t>
  </si>
  <si>
    <t xml:space="preserve"> ((I2CColSensorFault_Cnt_T_lgc == FALSE)==&gt; TRUE) &amp;&amp; ((I2CSpurSensorFault_Cnt_T_lgc == FALSE)==&gt;TRUE)
  &amp;&amp;( (DigColPs_I2CHwCustData_Uls_M_u16 != D_I2CHWCUSTDATAUNKWN_CNT_U16)==&gt;FALSE)</t>
  </si>
  <si>
    <t xml:space="preserve"> ((I2CColSensorFault_Cnt_T_lgc == FALSE)==&gt; TRUE) &amp;&amp; ((I2CSpurSensorFault_Cnt_T_lgc == FALSE)==&gt;TRUE)
  &amp;&amp;( (DigColPs_I2CHwCustData_Uls_M_u16 != D_I2CHWCUSTDATAUNKWN_CNT_U16)==&gt;TRUE)
  &amp;&amp; ((DigColPs_TrimCompStatic_Cnt_M_u16 != D_TRIMCOMPLETE_CNT_U16)==&gt;FALSE)</t>
  </si>
  <si>
    <t>Longest Execution Path:
((I2CColSensorFault_Cnt_T_lgc = False) And (I2CSpurSensorFault_Cnt_T_lgc = False) _
    And (DigColPs_I2CHwCustData_Uls_M_u16 &lt;&gt; D_I2CHWCUSTDATAUNKWN_CNT_U16) _
    And (DigColPs_TrimCompStatic_Cnt_M_u16 &lt;&gt; D_TRIMCOMPLETE_CNT_U16) _
    And (Rte_Pim_DigColPsEOL.TrimComp_Cnt_u16 &lt;&gt; D_TRIMCOMPLETE_CNT_U16)) ==&gt; TRUE;
(BitwiseAND(DigColPs_I2CHwCustData_Uls_M_u16, D_I2CHWTRIMINSENSOR_CNT_U16) &lt;&gt; D_I2CHWTRIMINSENSOR_CNT_U16) ==&gt; FALSE;
(I2CHwTrimColOffset_Deg_T_f32 &gt;= 0) ==&gt; TRUE;
(DigColPs_TrimCompStatic_Cnt_M_u16 = D_TRIMCOMPLETE_CNT_U16) ==&gt; TRUE</t>
  </si>
  <si>
    <t>Shortest Execution Path:
((I2CColSensorFault_Cnt_T_lgc = False) And (I2CSpurSensorFault_Cnt_T_lgc = False) _
    And (DigColPs_I2CHwCustData_Uls_M_u16 &lt;&gt; D_I2CHWCUSTDATAUNKWN_CNT_U16) _
    And (DigColPs_TrimCompStatic_Cnt_M_u16 &lt;&gt; D_TRIMCOMPLETE_CNT_U16) _
    And (Rte_Pim_DigColPsEOL.TrimComp_Cnt_u16 &lt;&gt; D_TRIMCOMPLETE_CNT_U16)) ==&gt; FALSE;
(DigColPs_TrimCompStatic_Cnt_M_u16 = D_TRIMCOMPLETE_CNT_U16) ==&gt; FALSE</t>
  </si>
  <si>
    <t>DigColPs_I2CHwColAngleForTrim_Deg_M_f32=Min</t>
  </si>
  <si>
    <t>DigColPs_I2CHwColAngleForTrim_Deg_M_f32=Max</t>
  </si>
  <si>
    <t>DigColPs_I2CHwColAngleForTrim_Deg_M_f32=Pos</t>
  </si>
  <si>
    <t>DigColPs_TrimCompStatic_Cnt_M_u16=Min</t>
  </si>
  <si>
    <t>DigColPs_TrimCompStatic_Cnt_M_u16=Max</t>
  </si>
  <si>
    <t>DigColPs_TrimCompStatic_Cnt_M_u16=Pos</t>
  </si>
  <si>
    <t>DigColPsInt_GetCustData=Min</t>
  </si>
  <si>
    <t>DigColPsInt_GetCustData=Max</t>
  </si>
  <si>
    <t>DigColPsInt_GetCustData=Pos</t>
  </si>
  <si>
    <t>(I2CColSensorFault_Cnt_T_lgc = False)=&gt;TRUE And (I2CSpurSensorFault_Cnt_T_lgc = False)=&gt;FALSE  &amp;&amp;  (Rte_Pim_DigColPsEOL.TrimComp_Cnt_u16 &lt;&gt; D_TRIMCOMPLETE_CNT_U16)==&gt;True</t>
  </si>
  <si>
    <t>(I2CColSensorFault_Cnt_T_lgc = False)=&gt;FALSE And (I2CSpurSensorFault_Cnt_T_lgc = False)=&gt;FALSE  &amp;&amp;  (Rte_Pim_DigColPsEOL.TrimComp_Cnt_u16 &lt;&gt; D_TRIMCOMPLETE_CNT_U16)==&gt;False</t>
  </si>
  <si>
    <t>((I2CColSensorFault_Cnt_T_lgc = False) And (I2CSpurSensorFault_Cnt_T_lgc = False) _
        And (DigColPs_I2CHwCustData_Uls_M_u16 &lt;&gt; D_I2CHWCUSTDATAUNKWN_CNT_U16) _
        And (DigColPs_TrimCompStatic_Cnt_M_u16 &lt;&gt; D_TRIMCOMPLETE_CNT_U16) _
        And (Rte_Pim_DigColPsEOL.TrimComp_Cnt_u16 &lt;&gt; D_TRIMCOMPLETE_CNT_U16))=&gt;TRUE  &amp;&amp;  (BitwiseAND(DigColPs_I2CHwCustData_Uls_M_u16, D_I2CHWTRIMINSENSOR_CNT_U16) &lt;&gt; D_I2CHWTRIMINSENSOR_CNT_U16)==&gt;True</t>
  </si>
  <si>
    <t>( (I2CColSensorFault_Cnt_T_lgc == FALSE) &amp;&amp; (I2CSpurSensorFault_Cnt_T_lgc == FALSE)
  &amp;&amp; (DigColPs_I2CHwCustData_Uls_M_u16 != D_I2CHWCUSTDATAUNKWN_CNT_U16) 
  &amp;&amp; (DigColPs_TrimCompStatic_Cnt_M_u16 != D_TRIMCOMPLETE_CNT_U16)
  &amp;&amp; (Rte_Pim_DigColPsEOL()-&gt;TrimComp_Cnt_u16 != D_TRIMCOMPLETE_CNT_U16) ) ==&gt;True  &amp;&amp;  ( (DigColPs_I2CHwCustData_Uls_M_u16 &amp; D_I2CHWTRIMINSENSOR_CNT_U16) != D_I2CHWTRIMINSENSOR_CNT_U16 )==&gt;False  &amp;&amp;  (I2CHwTrimColOffset_Deg_T_f32 &gt;= 0)==&gt;False</t>
  </si>
  <si>
    <t>( (I2CColSensorFault_Cnt_T_lgc == FALSE) &amp;&amp; (I2CSpurSensorFault_Cnt_T_lgc == FALSE)
  &amp;&amp; (DigColPs_I2CHwCustData_Uls_M_u16 != D_I2CHWCUSTDATAUNKWN_CNT_U16) 
  &amp;&amp; (DigColPs_TrimCompStatic_Cnt_M_u16 != D_TRIMCOMPLETE_CNT_U16)
  &amp;&amp; (Rte_Pim_DigColPsEOL()-&gt;TrimComp_Cnt_u16 != D_TRIMCOMPLETE_CNT_U16) ) ==&gt;True  &amp;&amp;  ( (DigColPs_I2CHwCustData_Uls_M_u16 &amp; D_I2CHWTRIMINSENSOR_CNT_U16) != D_I2CHWTRIMINSENSOR_CNT_U16 )==&gt;False  &amp;&amp;  (I2CHwTrimColOffset_Deg_T_f32 &gt;= 0)==&gt;True</t>
  </si>
  <si>
    <t>((I2CColSensorFault_Cnt_T_lgc = False)==&gt;TRUE And (I2CSpurSensorFault_Cnt_T_lgc = False)==&gt;TRUE _
        And (DigColPs_I2CHwCustData_Uls_M_u16 &lt;&gt; D_I2CHWCUSTDATAUNKWN_CNT_U16)==&gt;TRUE _
        And (DigColPs_TrimCompStatic_Cnt_M_u16 &lt;&gt; D_TRIMCOMPLETE_CNT_U16)==&gt;TRUE _
        And (Rte_Pim_DigColPsEOL.TrimComp_Cnt_u16 &lt;&gt; D_TRIMCOMPLETE_CNT_U16)==&gt;FALSE)</t>
  </si>
  <si>
    <t>((I2CColSensorFault_Cnt_T_lgc = False)==&gt;TRUE And (I2CSpurSensorFault_Cnt_T_lgc = False)==&gt;TRUE _
        And (DigColPs_I2CHwCustData_Uls_M_u16 &lt;&gt; D_I2CHWCUSTDATAUNKWN_CNT_U16)==&gt;TRUE _
        And (DigColPs_TrimCompStatic_Cnt_M_u16 &lt;&gt; D_TRIMCOMPLETE_CNT_U16)==&gt;FALSE _
        And (Rte_Pim_DigColPsEOL.TrimComp_Cnt_u16 &lt;&gt; D_TRIMCOMPLETE_CNT_U16))</t>
  </si>
  <si>
    <t>((I2CColSensorFault_Cnt_T_lgc = False)==&gt;TRUE And (I2CSpurSensorFault_Cnt_T_lgc = False)==&gt;TRUE _
        And (DigColPs_I2CHwCustData_Uls_M_u16 &lt;&gt; D_I2CHWCUSTDATAUNKWN_CNT_U16)==&gt;FALSE _
        And (DigColPs_TrimCompStatic_Cnt_M_u16 &lt;&gt; D_TRIMCOMPLETE_CNT_U16) _
        And (Rte_Pim_DigColPsEOL.TrimComp_Cnt_u16 &lt;&gt; D_TRIMCOMPLETE_CNT_U16))</t>
  </si>
  <si>
    <t>Shortest Execution Path =&gt;
((I2CColSensorFault_Cnt_T_lgc = False) And (I2CSpurSensorFault_Cnt_T_lgc = False) _
        And (DigColPs_I2CHwCustData_Uls_M_u16 &lt;&gt; D_I2CHWCUSTDATAUNKWN_CNT_U16) _
        And (DigColPs_TrimCompStatic_Cnt_M_u16 &lt;&gt; D_TRIMCOMPLETE_CNT_U16) _
        And (Rte_Pim_DigColPsEOL.TrimComp_Cnt_u16 &lt;&gt; D_TRIMCOMPLETE_CNT_U16))=&gt;FALSE;
(Rte_Pim_DigColPsEOL.TrimComp_Cnt_u16 &lt;&gt; D_TRIMCOMPLETE_CNT_U16) ==&gt; TRUE</t>
  </si>
  <si>
    <t>Longest ExecutionPath =&gt;
((I2CColSensorFault_Cnt_T_lgc = False) And (I2CSpurSensorFault_Cnt_T_lgc = False) _
        And (DigColPs_I2CHwCustData_Uls_M_u16 &lt;&gt; D_I2CHWCUSTDATAUNKWN_CNT_U16) _
        And (DigColPs_TrimCompStatic_Cnt_M_u16 &lt;&gt; D_TRIMCOMPLETE_CNT_U16) _
        And (Rte_Pim_DigColPsEOL.TrimComp_Cnt_u16 &lt;&gt; D_TRIMCOMPLETE_CNT_U16))=&gt;TRUE;
(I2CHwTrimColOffset_Deg_T_f32 &gt;= 0)==&gt;TRUE;
(Rte_Pim_DigColPsEOL.TrimComp_Cnt_u16 &lt;&gt; D_TRIMCOMPLETE_CNT_U16) ==&gt; FALSE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</si>
  <si>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</si>
  <si>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</si>
  <si>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</si>
  <si>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</si>
  <si>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</si>
  <si>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</si>
  <si>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</si>
  <si>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</si>
  <si>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</si>
  <si>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DigColPs_I2CHwColAngleTrim_Deg_D_f32</t>
  </si>
  <si>
    <t>DigColPs_I2CHwSpurAngleTrim_Deg_D_f32</t>
  </si>
  <si>
    <t>DigColPs_I2CHWSpurPos_HwDeg_D_f32</t>
  </si>
  <si>
    <t>VernierLUT_Cnt_T_s16[]</t>
  </si>
  <si>
    <t>LookupTableXSize_Cnt_T_u08</t>
  </si>
  <si>
    <t>VernierLUT_Cnt_T_s16[1]</t>
  </si>
  <si>
    <t>VernierLUT_Cnt_T_s161</t>
  </si>
  <si>
    <t>VernierLUT_Cnt_T_s1617</t>
  </si>
  <si>
    <t>VernierLUT_Cnt_T_s167</t>
  </si>
  <si>
    <t>(uint8 LookupTableXSize_Cnt_T_u08, float Level_Deg_T_f32)</t>
  </si>
  <si>
    <t>VernierLUT_Cnt_T_s16(7)</t>
  </si>
  <si>
    <t>VernierLUT_Cnt_T_s16[7]</t>
  </si>
  <si>
    <t xml:space="preserve">sint16 </t>
  </si>
  <si>
    <t>VernierLUT_Cnt_T_s16[6]</t>
  </si>
  <si>
    <t>VernierLUT_Cnt_T_s16[52]</t>
  </si>
  <si>
    <t>VernierLUT_Cnt_T_s16[256]</t>
  </si>
  <si>
    <t>VernierLUT_Cnt_T_s16[90]</t>
  </si>
  <si>
    <t>VernierLUT_Cnt_T_s16[85]</t>
  </si>
  <si>
    <t>VernierLUT_Cnt_T_s16[80]</t>
  </si>
  <si>
    <t>VernierLUT_Cnt_T_s16[75]</t>
  </si>
  <si>
    <t>VernierLUT_Cnt_T_s16[70]</t>
  </si>
  <si>
    <t>VernierLUT_Cnt_T_s16[60]</t>
  </si>
  <si>
    <t>VernierLUT_Cnt_T_s16[40]</t>
  </si>
  <si>
    <t>VernierLUT_Cnt_T_s16[8]</t>
  </si>
  <si>
    <t>VernierLUT_Cnt_T_s16[20]</t>
  </si>
  <si>
    <t>VernierLUT_Cnt_T_s16[67]</t>
  </si>
  <si>
    <t>LookupTableXSize_Cnt_T_u08=Min</t>
  </si>
  <si>
    <t>LookupTableXSize_Cnt_T_u08=Max</t>
  </si>
  <si>
    <t>VernierLUT_Cnt_T_s16[84]</t>
  </si>
  <si>
    <t>VernierLUT_Cnt_T_s16[88]</t>
  </si>
  <si>
    <t>-396, -360, -324, -288, -252, -216, -180, -144, -108,  -72, -36,0, 36, 72,  108, 144, 180, 216, 252, 288,   324, 360,9,  0,   1,   2 , 3,    4,     5,   6,    7,     8,    9,    0,     1, 2,  3,  4,  5,   6,   7,   8,     9, 0,0,  1,   2,   3,   4,    5,     6,   7,    8,     9,   10,    0,     1, 2,  3,  4,  5,   6,   7,   8,     9,    10,22,     2,    4,    6,   8,   10,   12,   14,   16,   18,    20,   1,     3,    5,   7,     9,  11,  13,  15,  17,    19,   21</t>
  </si>
  <si>
    <t>-163, -131,  -99,  -66,  -33,   0,  32,  65,  98, 130, 163, 196, 229, 261, 294, 327, 359,0,    4,    3,    2,    1,   0,   4,   3,   2,   1,   0,   4,   3,   2,   1,   0,   4,0,    8,    6,    4,    2,   0,   9,   7,   5,   3,   1,  10,   8,   6,   4,   2,  10,1,   14,   11,    8,    5,   2,  15,  12,   9,   6,   3,  16,  13,  10,   7,   4,  17,0,0,0,0,0,0,0,0,0,0,0,0,0,0,0,0,0,0,0,0</t>
  </si>
  <si>
    <t>VernierLUT_Cnt_T_s16[87]</t>
  </si>
  <si>
    <t>-396, -360,-324, -288, -252, -216, -180, -144, -108,  -72, -36,0, 36, 72,  108, 144, 180, 216, 252, 288,   324, 360,9,  0,   1,   2 , 3,    4,     5,   6,    7,     8,    9,    0,     1, 2,  3,  4,  5,   6,   7,   8,     9, 0, 0,  1,   2,   3,   4,    5,     6,   7,    8,     9,   10,    0,     1, 2,  3,  4,  5,   6,   7,   8,     9,    10,22,     2,    4,    6,   8,   10,   12,   14,   16,   18,    20,   1,     3,    5,   7,     9,  11,  13,  15,  17,    19,   21</t>
  </si>
  <si>
    <t>Rte_Pim_DigColPsEOL.ColTrim_Deg_f32=Zero</t>
  </si>
  <si>
    <t>Rte_Pim_DigColPsEOL.ColTrim_Deg_f32=Neg</t>
  </si>
  <si>
    <t>Rte_Pim_DigColPsEOL.SpurTrim_Deg_f32=Neg</t>
  </si>
  <si>
    <t>Rte_Pim_DigColPsEOL.SpurTrim_Deg_f32=Zero</t>
  </si>
  <si>
    <t>-163, -131,  -99,  -66,  -33,   0,  32,  65,  98, 130, 163, 196, 229, 261, 294, 327, 359,0,    4,    3,    2,    1,   0,   4,   3,   2,   1,   0,   4,   3,   2,   1,   0,   4,0,    8,    6,    4,    2,   0,   9,   7,   5,   3,   1,  10,   8,   6,   4,   2,  10,1,   14,   11,    8,    5,   2,  15,  12,   9,   6,   3,  16,  13,  10,   7,   4,  17,-163, -131,  -99,  -66,  -33,   0,  32,  65,  98, 130, 163, 196, 229, 261, 294, 327, 359,0,    4,    3</t>
  </si>
  <si>
    <t>Function : VernierLookup
Pointer variable “VernierLevelNo_Cnt_T_u08” is going out of range.
MDD range: 0 to 19
Suggested range: -396 to 360
Analysis:
Variable 'VernierLevelNo_Cnt_T_u08' is updating @line no. 1961 which is as below:
   *VernierLevelNo_Cnt_T_u08 = (uint8)VernierLUT_Cnt_T_s16[(D_VERNIERLEVELNO_CNT_U08 * LookupTableXSize_Cnt_T_u08) + Index_Cnt_T_u08]; 
where,
As “VernierLUT_Cnt_T_s16” is updating pointer variable “VernierLevelNo_Cnt_T_u08 “ and range of “VernierLUT_Cnt_T_s16” is given as -396 to 360.So pointer variable “VernierLevelNo_Cnt_T_u08” is going out of range.</t>
  </si>
  <si>
    <t>Selva Kumar Sengottaiyan</t>
  </si>
  <si>
    <t>Date</t>
  </si>
  <si>
    <t>Component name</t>
  </si>
  <si>
    <t>DigColPs</t>
  </si>
  <si>
    <t>Component Version</t>
  </si>
  <si>
    <t>Component Developer</t>
  </si>
  <si>
    <t>Component Tester</t>
  </si>
  <si>
    <t>C0</t>
  </si>
  <si>
    <t>C1</t>
  </si>
  <si>
    <t>MCC</t>
  </si>
  <si>
    <t>MC/DC</t>
  </si>
  <si>
    <t>Total test case</t>
  </si>
  <si>
    <t>Passed</t>
  </si>
  <si>
    <t>Failed</t>
  </si>
  <si>
    <t>Coverage Overview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</si>
  <si>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</si>
  <si>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</si>
  <si>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</si>
  <si>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</si>
  <si>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</si>
  <si>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</si>
  <si>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</si>
  <si>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</si>
  <si>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</si>
  <si>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</si>
  <si>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</si>
  <si>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</si>
  <si>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</si>
  <si>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 xml:space="preserve">Function: </t>
  </si>
  <si>
    <t>Periodicity</t>
  </si>
  <si>
    <t>2 ms</t>
  </si>
  <si>
    <t>4 ms</t>
  </si>
  <si>
    <t>Over all Metrics</t>
  </si>
  <si>
    <t>Flash</t>
  </si>
  <si>
    <t>Cals</t>
  </si>
  <si>
    <t>RAM</t>
  </si>
  <si>
    <r>
      <rPr>
        <b/>
        <sz val="12"/>
        <color rgb="FF000000"/>
        <rFont val="Times New Roman"/>
        <family val="1"/>
      </rPr>
      <t>1.</t>
    </r>
    <r>
      <rPr>
        <sz val="12"/>
        <color rgb="FF000000"/>
        <rFont val="Times New Roman"/>
        <family val="1"/>
      </rPr>
      <t>Function Name: DigColPs_SCom_CustSetTrim
Variable ‘</t>
    </r>
    <r>
      <rPr>
        <b/>
        <sz val="12"/>
        <color rgb="FF000000"/>
        <rFont val="Times New Roman"/>
        <family val="1"/>
      </rPr>
      <t>Rte_Pim_DigColPsEOL()-&gt;ColTrim_Deg_f32</t>
    </r>
    <r>
      <rPr>
        <sz val="12"/>
        <color rgb="FF000000"/>
        <rFont val="Times New Roman"/>
        <family val="1"/>
      </rPr>
      <t>’ is going out of range.
DD range : 0 to 360
Suggested range: -180 to 360
Analysis:
Variable 'Rte_Pim_DigColPsEOL()-&gt;ColTrim_Deg_f32' is updating @ Src code line no. 1598 which is as below:
     Rte_Pim_DigColPsEOL()-&gt;ColTrim_Deg_f32 = I2CHwColAngle_Deg_T_f32;  
And temporary variable 'I2CHwColAngle_Deg_T_f32' is updating @ Src code line no. 1552 and 1568 which is as below:
     I2CHwColAngle_Deg_T_f32 = DigColPs_I2CHwColAngle_Deg_M_f32;
    I2CHwColAngle_Deg_T_f32 = I2CHwColAngle_Deg_T_f32 - D_HWANGLEATCENTER_DEG_F32
Here,
DD range of 'DigColPs_I2CHwColAngle_Deg_M_f32 = 0 to 360
D_HWANGLEATCENTER_DEG_F32 = 180 
So whenever "I2CHwColAngle_Deg_T_f32" gets smaller value than 180, it gives output as negative value.
Similarly ‘</t>
    </r>
    <r>
      <rPr>
        <b/>
        <sz val="12"/>
        <color rgb="FF000000"/>
        <rFont val="Times New Roman"/>
        <family val="1"/>
      </rPr>
      <t>Rte_Pim_DigColPsEOL()-&gt;SpurTrim_Deg_f32</t>
    </r>
    <r>
      <rPr>
        <sz val="12"/>
        <color rgb="FF000000"/>
        <rFont val="Times New Roman"/>
        <family val="1"/>
      </rPr>
      <t xml:space="preserve">’ is going out of range.
DD range : 0 to 360
Suggested range:-180 to 360
</t>
    </r>
    <r>
      <rPr>
        <b/>
        <sz val="12"/>
        <color rgb="FF000000"/>
        <rFont val="Times New Roman"/>
        <family val="1"/>
      </rPr>
      <t>2.</t>
    </r>
    <r>
      <rPr>
        <sz val="12"/>
        <color rgb="FF000000"/>
        <rFont val="Times New Roman"/>
        <family val="1"/>
      </rPr>
      <t>In the functions DigColPs_Init1() and DigColPs_SCom_CustSetTrim() extra code has been added for the macro 'Redundant_Format_1_m' to imitate the source code and , extra temporary variables are added in VBA for the implementation of 'Redundant_Format_1_m' macro in DigColPs_Init1().</t>
    </r>
  </si>
  <si>
    <r>
      <rPr>
        <b/>
        <sz val="12"/>
        <color rgb="FF000000"/>
        <rFont val="Times New Roman"/>
        <family val="1"/>
      </rPr>
      <t>1</t>
    </r>
    <r>
      <rPr>
        <sz val="12"/>
        <color rgb="FF000000"/>
        <rFont val="Times New Roman"/>
        <family val="1"/>
      </rPr>
      <t>. Function : DigColPs_SCom_NxtSetTrim
Module internal variable ‘</t>
    </r>
    <r>
      <rPr>
        <b/>
        <sz val="12"/>
        <color rgb="FF000000"/>
        <rFont val="Times New Roman"/>
        <family val="1"/>
      </rPr>
      <t>DigColPs_ColTrimStatic_Deg_M_f32</t>
    </r>
    <r>
      <rPr>
        <sz val="12"/>
        <color rgb="FF000000"/>
        <rFont val="Times New Roman"/>
        <family val="1"/>
      </rPr>
      <t>’ is going out of range.
DD range : 0 to 360
Suggested range: -360 to 360
Analysis:
Variable 'DigColPs_ColTrimStatic_Deg_M_f32' is updating @ Src code line no. 1755 which is as below:
              DigColPs_ColTrimStatic_Deg_M_f32 = I2CHwColAngle_Deg_T_f32;
And temporary variable 'I2CHwColAngle_Deg_T_f32' is updating @ Src code line no. 1745 which is as below:
               I2CHwColAngle_Deg_T_f32 = ConstrainOneRev(Snsr1Trimoffset_Deg_T_f32) - D_ONEREV_DEGREESPREV_F32;
Value of constant 'D_ONEREV_DEGREESPREV_F32' = 360
And temporary variable 'Snsr1Trimoffset_Deg_T_f32' is updating @ Src code line no. 1730 which is as below:
              Snsr1Trimoffset_Deg_T_f32 = I2CHwTrimColOffset_Deg_T_f32;
And temporary variable 'I2CHwTrimColOffset_Deg_T_f32' is updating@ Src code line no. 1726 which is as below:
            I2CHwTrimColOffset_Deg_T_f32 = I2CHwColAngleForTrim_Deg_T_f32 - D_VERNIERANGLECENTEROFF_DEG_F32;
Temporary variable 'I2CHwColAngleForTrim_Deg_T_f32' is updating by variable 'DigColPs_I2CHwColAngleForTrim_Deg_M_f32'  (Range in DD 0 to 1800) @line no. 1708 as below:
            I2CHwColAngleForTrim_Deg_T_f32 = DigColPs_I2CHwColAngleForTrim_Deg_M_f32;
And value of constant 'D_VERNIERANGLECENTEROFF_DEG_F32' = 900
When “I2CHwColAngleForTrim_Deg_T_f32” becomes 0 (e.g. 900-900) ultimately  'Snsr1Trimoffset_Deg_T_f32'  becomes 0 and DigColPs_ColTrimStatic_Deg_M_f32 becomes -360
Similarly variable '</t>
    </r>
    <r>
      <rPr>
        <b/>
        <sz val="12"/>
        <color rgb="FF000000"/>
        <rFont val="Times New Roman"/>
        <family val="1"/>
      </rPr>
      <t>DigColPs_SpurTrimStatic_Deg_M_f32</t>
    </r>
    <r>
      <rPr>
        <sz val="12"/>
        <color rgb="FF000000"/>
        <rFont val="Times New Roman"/>
        <family val="1"/>
      </rPr>
      <t xml:space="preserve">’is going out of range.
DD range : 0 to 360
Suggested range: -360 to 360
</t>
    </r>
  </si>
  <si>
    <t xml:space="preserve">Function : DigColPs_Per2
Module internal variable “DigColPs_VernCorrDetectAcc_Cnt_M_u16” is going out of range.
DD range : 0 to 20
Suggested range: 0 to 70
Analysis:
In this function, "DiagnosticThreshold" function is being called in which "DigColPs_VernCorrDetectAcc_Cnt_M_u16" gets updated due to "DiagPStep_m" macro as below @line no. 1250 and 1864 respectively.
              VernCorrDetect_Cnt_T_lgc = DiagnosticThreshold(VernCorrDetect_Cnt_T_lgc, k_VernCorrErrorDiag_Cnt_str, &amp;DigColPs_VernCorrDetectAcc_Cnt_M_u16);
            *AccumulatorPtr_Cnt_T_u16 = DiagPStep_m(*AccumulatorPtr_Cnt_T_u16, DiagSettings_Cnt_T_str);
The body of inline function  ‘DiagPStep_m is as follows:
If Acc &lt; Settings.Threshold - Settings.PStep Then
    DiagPStep_m = Acc + Settings.PStep
Else
    DiagPStep_m = Settings.Threshold
End If            
Here 'DiagSettings_Cnt_T_str.Threshold' is updating by 'k_VernCorrErrorDiag_Cnt_str.PStep' (DD range: 0 to 50).
Value of Acc is updating by 'DigColPs_VernCorrDetectAcc_Cnt_M_u16' in i/p (DD range: 0 to 20)
which after addition gives output out of range as 0 to 70.
2. Module internal variable “DigColPs_SkipStepFltDetectAcc_Cnt_M_u16” is going out of range 
DD range : 0 to 21
Suggested range: 0 to 141
Analysis:
At src code line no. 1258 which is as below:
DigColPs_SkipStepFltDetectAcc_Cnt_M_u16 = DiagPStep_m(DigColPs_SkipStepFltDetectAcc_Cnt_M_u16, k_SkipStepErrDiag_Cnt_str);
The body of inline function  ‘DiagPStep_m is as follows:
If Acc &lt; Settings.Threshold - Settings.PStep Then
    DiagPStep_m = Acc + Settings.PStep
Else
    DiagPStep_m = Settings.Threshold
End If
Here 'DiagSettings_Cnt_T_str.Threshold' is updating by 'k_SkipStepErrDiag_Cnt_str.PStep' (DD range: 0 to 50).
Value of Acc is updating by 'DigColPs_SkipStepFltDetectAcc_Cnt_M_u16' in i/p (DD range: 0 to 21)
       DigColPs_SkipStepFltDetectAcc_Cnt_M_u16 = 21 + 50 = 71
which after addition with variable 'DigColPs_VernCorrDetectAcc_Cnt_M_u16' @line no. 1265
       DigColPs_SkipStepFltDetectAcc_Cnt_M_u16 += DigColPs_VernCorrDetectAcc_Cnt_M_u16; 
which is also going out of range(0 to 70) as mentioned above gives output out of range as 0 to 141.
</t>
  </si>
  <si>
    <t xml:space="preserve"> Selva : OK. I updated the DD 
</t>
  </si>
  <si>
    <t xml:space="preserve">  Selva :OK. I updated the DD </t>
  </si>
  <si>
    <t xml:space="preserve">Selva :MDD is updated for the ranges. The new range is  0-22
</t>
  </si>
  <si>
    <t>Selva :Look for new ranges in the attached DD.</t>
  </si>
  <si>
    <t>k_ColAngSenseLPFFc_Hz_f32=Default</t>
  </si>
  <si>
    <t>k_SpurAngSenseLPFFc_Hz_f32=Default</t>
  </si>
  <si>
    <t>k_StepDetect_Deg_f32=Default</t>
  </si>
  <si>
    <t>Nexteer EPS Unit Test Tool 2.7d/EPS Library 1.32</t>
  </si>
  <si>
    <t>JK</t>
  </si>
  <si>
    <t>DC</t>
  </si>
  <si>
    <t>Task Number</t>
  </si>
  <si>
    <t>DigColPs_SnsrReInitInProgs_Cnt_M_lgc</t>
  </si>
  <si>
    <t>DigColPs_I2CHwCustDataReadComplete_Cnt_M_lgc</t>
  </si>
  <si>
    <t>DigColPs_SnsrSampleOk_Cnt_M_lgc</t>
  </si>
  <si>
    <t>DigColPs_ColSnsrErr_Cnt_M_lgc</t>
  </si>
  <si>
    <t>DigColPs_SpurSnsrErr_Cnt_M_lgc</t>
  </si>
  <si>
    <t>DigColPs_PrevTrimComplete_Cnt_M_lgc</t>
  </si>
  <si>
    <t>DigColPs_PrevI2CHwPosValid_Cnt_M_lgc</t>
  </si>
  <si>
    <t>k_ReInitMaxTryCntr_Cnt_u08</t>
  </si>
  <si>
    <t>DigColPs_SnsrReInitMaxTryCntr_Cnt_M_u08</t>
  </si>
  <si>
    <t>Rte_Call_SystemTime_GetSystemTime_mS_u32</t>
  </si>
  <si>
    <t>uint32</t>
  </si>
  <si>
    <t>DigColPs_SnsrReInitTmr_mS_M_u32</t>
  </si>
  <si>
    <t>Rte_Call_SystemTime_DtrmnElapsedTime_mS_u16</t>
  </si>
  <si>
    <t>DigColPs_SnsrReInitElapsedTime_mS_M_u16</t>
  </si>
  <si>
    <t>I2CSnsrDataCheck</t>
  </si>
  <si>
    <t>(uint16 I2CHwColAngle_Cnt_T_u16, uint16 I2CHwSpurAngle_Cnt_T_u16)</t>
  </si>
  <si>
    <t>I2CHwColAngle_Cnt_T_u16</t>
  </si>
  <si>
    <t>I2CHwSpurAngle_Cnt_T_u16</t>
  </si>
  <si>
    <t>I2CCommFltDiag</t>
  </si>
  <si>
    <t>I2CSnsrReInitMaxTry</t>
  </si>
  <si>
    <t>SnsrFltDiag</t>
  </si>
  <si>
    <t>VernCorrlnFltDiag</t>
  </si>
  <si>
    <t>(boolean VernCorrDetect_Cnt_T_lgc, boolean SkipStepFltDetect_Cnt_T_lgc)</t>
  </si>
  <si>
    <t>ColSensorFault1_Cnt_T_lgc</t>
  </si>
  <si>
    <t>SpurSensorFault1_Cnt_T_lgc</t>
  </si>
  <si>
    <t>ColRegisterFaultCnt1_T_lgc</t>
  </si>
  <si>
    <t>SpurRegisterFaultCnt1_T_lgc</t>
  </si>
  <si>
    <t>(uint8 I2CSensCommFlts_Cnt_T_u08)</t>
  </si>
  <si>
    <t>I2CSensCommFlts_Cnt_T_u08</t>
  </si>
  <si>
    <t>I2CSensCommFlts1_Cnt_T_u08</t>
  </si>
  <si>
    <t>I2CHwColAngle1_Cnt_T_u16</t>
  </si>
  <si>
    <t>I2CHwDataType_Cnt_T_u08</t>
  </si>
  <si>
    <t>ColSnsrErr_Cnt_T_lgc</t>
  </si>
  <si>
    <t>SpurSnsrErr_Cnt_T_lgc</t>
  </si>
  <si>
    <t>VernCorrDetect_Cnt_T_lgc</t>
  </si>
  <si>
    <t>SkipStepFltDetect_Cnt_T_lgc</t>
  </si>
  <si>
    <t>I2CHwSpurAngle1_Cnt_T_u16</t>
  </si>
  <si>
    <t>(uint16 I2CHwColAngle1_Cnt_T_u16, uint16 I2CHwSpurAngle1_Cnt_T_u16, uint8 I2CHwDataType_Cnt_T_u08, uint8 I2CSensCommFlts1_Cnt_T_u08, boolean ColSnsrErr_Cnt_T_lgc, boolean SpurSnsrErr_Cnt_T_lgc)</t>
  </si>
  <si>
    <t>(uint8 I2CSensCommFlts2_Cnt_T_u08)</t>
  </si>
  <si>
    <t>I2CSensCommFlts2_Cnt_T_u08</t>
  </si>
  <si>
    <t>DigColPs_I2CHwColAngleMdfy_Cnt_M_u16</t>
  </si>
  <si>
    <t>DigColPs_I2CHwSpurAngleMdfy_Cnt_M_u16</t>
  </si>
  <si>
    <t>DigColPs_I2CHwDataTypeMdfy_Cnt_M_u08</t>
  </si>
  <si>
    <t>DigColPs_I2CSensCommFltsMdfy_Cnt_M_u08</t>
  </si>
  <si>
    <t>DigColPsInt_Reset</t>
  </si>
  <si>
    <t>ChkVernCorrlnError</t>
  </si>
  <si>
    <t>ChkSkipStepError</t>
  </si>
  <si>
    <t>VernDiagError_Deg_T_f32</t>
  </si>
  <si>
    <t>TrimComplete_Cnt_T_lgc</t>
  </si>
  <si>
    <t>AbsVernLevelDiff_Cnt_T_u08</t>
  </si>
  <si>
    <t>(uint8 AbsVernLevelDiff_Cnt_T_u08, boolean TrimComplete1_Cnt_T_lgc)</t>
  </si>
  <si>
    <t>TrimComplete1_Cnt_T_lgc</t>
  </si>
  <si>
    <t>(uint8 VernierLevelNo2_Cnt_T_u08, float32 VernDiagError_Deg_T_f32, boolean TrimComplete_Cnt_T_lgc)</t>
  </si>
  <si>
    <t>VernierLevelNo2_Cnt_T_u08</t>
  </si>
  <si>
    <t>DigColPs_Per3</t>
  </si>
  <si>
    <t>DigColPs_PrevI2CAbsHwPos_HwDeg_M_f32</t>
  </si>
  <si>
    <t>DigColPs_Per3() M</t>
  </si>
  <si>
    <t>DigColPs_Per3() P</t>
  </si>
  <si>
    <t>Rte_Pim_DigColPsEOL.TrimComp_Cnt_u16 =&gt;Min</t>
  </si>
  <si>
    <t>Rte_Pim_DigColPsEOL.TrimComp_Cnt_u16 =&gt;Max</t>
  </si>
  <si>
    <t>Rte_Pim_DigColPsEOL.TrimComp_Cnt_u16 =&gt;Pos</t>
  </si>
  <si>
    <t>if (Rte_Pim_DigColPsEOL()-&gt;TrimComp_Cnt_u16 != D_TRIMCOMPLETE_CNT_U16)=True</t>
  </si>
  <si>
    <t>if (Rte_Pim_DigColPsEOL()-&gt;TrimComp_Cnt_u16 != D_TRIMCOMPLETE_CNT_U16)=False</t>
  </si>
  <si>
    <t>Shortest Execution Path: if (Rte_Pim_DigColPsEOL()-&gt;TrimComp_Cnt_u16 != D_TRIMCOMPLETE_CNT_U16)=True</t>
  </si>
  <si>
    <t>Longest Execution Path:if (Rte_Pim_DigColPsEOL()-&gt;TrimComp_Cnt_u16 != D_TRIMCOMPLETE_CNT_U16)=False</t>
  </si>
  <si>
    <t>k_SkipStepErrDiag_Cnt_str.Pstep=&gt;Defaut/Mid</t>
  </si>
  <si>
    <t>k_SkipStepErrDiag_Cnt_str.NStep=&gt;Defaut/Mid</t>
  </si>
  <si>
    <t>k_SkipStepErrDiag_Cnt_str.Threshold=&gt;Defaut/Mid</t>
  </si>
  <si>
    <t>VernierLevelNo2_Cnt_T_u08==&gt;Min</t>
  </si>
  <si>
    <t>VernierLevelNo2_Cnt_T_u08==&gt;Max</t>
  </si>
  <si>
    <t>VernierLevelNo2_Cnt_T_u08==&gt;Pos</t>
  </si>
  <si>
    <t>VernDiagError_Deg_T_f32==&gt;Min</t>
  </si>
  <si>
    <t>VernDiagError_Deg_T_f32==&gt;Max</t>
  </si>
  <si>
    <t>VernDiagError_Deg_T_f32==&gt;Pos</t>
  </si>
  <si>
    <t>TrimComplete_Cnt_T_lgc==&gt;Min</t>
  </si>
  <si>
    <t>TrimComplete_Cnt_T_lgc==&gt;Max</t>
  </si>
  <si>
    <t>k_VernCorrErrorThresh_Deg_f32==&gt;Min</t>
  </si>
  <si>
    <t>k_VernCorrErrorThresh_Deg_f32==&gt;Max</t>
  </si>
  <si>
    <t>k_VernCorrErrorThresh_Deg_f32==&gt;Pos</t>
  </si>
  <si>
    <t>k_VernCorrErrorDiag_Cnt_str.Threshold==&gt;Min</t>
  </si>
  <si>
    <t>k_VernCorrErrorDiag_Cnt_str.Threshold==&gt;Max</t>
  </si>
  <si>
    <t>k_VernCorrErrorDiag_Cnt_str.PStep==&gt;Min</t>
  </si>
  <si>
    <t>k_VernCorrErrorDiag_Cnt_str.PStep==&gt;Max</t>
  </si>
  <si>
    <t>k_VernCorrErrorDiag_Cnt_str.NStep==&gt;Min</t>
  </si>
  <si>
    <t>k_VernCorrErrorDiag_Cnt_str.NStep==&gt;Max</t>
  </si>
  <si>
    <t>DigColPs_VernCorrDetectAcc_Cnt_M_u16==&gt;Min</t>
  </si>
  <si>
    <t>DigColPs_VernCorrDetectAcc_Cnt_M_u16==&gt;Max</t>
  </si>
  <si>
    <t>DigColPs_VernCorrDetectAcc_Cnt_M_u16==&gt;Pos</t>
  </si>
  <si>
    <t>VernDiagError_Deg_T_f32==&gt;Zero</t>
  </si>
  <si>
    <t>VernDiagError_Deg_T_f32==&gt;Neg</t>
  </si>
  <si>
    <t>k_VernCorrErrorDiag_Cnt_str.Threshold==&gt;Pos/Default</t>
  </si>
  <si>
    <t>k_VernCorrErrorDiag_Cnt_str.PStep==&gt;Pos/Default</t>
  </si>
  <si>
    <t>k_VernCorrErrorDiag_Cnt_str.NStep==&gt;Pos/Default</t>
  </si>
  <si>
    <t>VernCorrDetect_Cnt_T_lgc==&gt;Min</t>
  </si>
  <si>
    <t>VernCorrDetect_Cnt_T_lgc==&gt;Max</t>
  </si>
  <si>
    <t>SkipStepFltDetect_Cnt_T_lgc==&gt;Min</t>
  </si>
  <si>
    <t>SkipStepFltDetect_Cnt_T_lgc==&gt;Max</t>
  </si>
  <si>
    <t>DigColPs_I2CHwTrimTransCnts_Uls_M_u08==&gt;Min</t>
  </si>
  <si>
    <t>DigColPs_I2CHwTrimTransCnts_Uls_M_u08==&gt;Max</t>
  </si>
  <si>
    <t>DigColPs_I2CHwTrimTransCnts_Uls_M_u08==&gt;Pos</t>
  </si>
  <si>
    <t>DigColPs_VernierAngleOORange_Cnt_M_lgc==&gt;Min</t>
  </si>
  <si>
    <t>DigColPs_VernierAngleOORange_Cnt_M_lgc==&gt;Max</t>
  </si>
  <si>
    <t>DigColPs_SkipStepFltDetectAcc_Cnt_M_u16==&gt;Min</t>
  </si>
  <si>
    <t>DigColPs_SkipStepFltDetectAcc_Cnt_M_u16==&gt;Max</t>
  </si>
  <si>
    <t>DigColPs_SkipStepFltDetectAcc_Cnt_M_u16==&gt;Pos</t>
  </si>
  <si>
    <t>I2CHwColAngle1_Cnt_T_u16==&gt;Min</t>
  </si>
  <si>
    <t>I2CHwColAngle1_Cnt_T_u16==&gt;Max</t>
  </si>
  <si>
    <t>I2CHwColAngle1_Cnt_T_u16==&gt;Pos</t>
  </si>
  <si>
    <t>I2CHwSpurAngle1_Cnt_T_u16==&gt;Min</t>
  </si>
  <si>
    <t>I2CHwSpurAngle1_Cnt_T_u16==&gt;Max</t>
  </si>
  <si>
    <t>I2CHwSpurAngle1_Cnt_T_u16==&gt;Pos</t>
  </si>
  <si>
    <t>I2CHwDataType_Cnt_T_u08==&gt;Min</t>
  </si>
  <si>
    <t>I2CHwDataType_Cnt_T_u08==&gt;Max</t>
  </si>
  <si>
    <t>I2CHwDataType_Cnt_T_u08==&gt;Pos</t>
  </si>
  <si>
    <t>I2CSensCommFlts1_Cnt_T_u08==&gt;Min</t>
  </si>
  <si>
    <t>I2CSensCommFlts1_Cnt_T_u08==&gt;Max</t>
  </si>
  <si>
    <t>I2CSensCommFlts1_Cnt_T_u08==&gt;Pos</t>
  </si>
  <si>
    <t>ColSnsrErr_Cnt_T_lgc==&gt;Min</t>
  </si>
  <si>
    <t>ColSnsrErr_Cnt_T_lgc==&gt;Max</t>
  </si>
  <si>
    <t>SpurSnsrErr_Cnt_T_lgc==&gt;Min</t>
  </si>
  <si>
    <t>SpurSnsrErr_Cnt_T_lgc==&gt;Max</t>
  </si>
  <si>
    <t xml:space="preserve">All Min </t>
  </si>
  <si>
    <t>I2CSensCommFlts2_Cnt_T_u08==&gt;Min</t>
  </si>
  <si>
    <t>I2CSensCommFlts2_Cnt_T_u08==&gt;Max</t>
  </si>
  <si>
    <t>I2CSensCommFlts2_Cnt_T_u08==&gt;Pos</t>
  </si>
  <si>
    <t>DigColPs_I2CHwDataType_Cnt_M_u08==&gt;Min</t>
  </si>
  <si>
    <t>DigColPs_I2CHwDataType_Cnt_M_u08==&gt;Max</t>
  </si>
  <si>
    <t>DigColPs_I2CHwDataType_Cnt_M_u08==&gt;Pos</t>
  </si>
  <si>
    <t>DigColPs_SnsrReInitMaxTryCntr_Cnt_M_u08==&gt;Min</t>
  </si>
  <si>
    <t>DigColPs_SnsrReInitMaxTryCntr_Cnt_M_u08==&gt;Max</t>
  </si>
  <si>
    <t>DigColPs_SnsrReInitMaxTryCntr_Cnt_M_u08==&gt;Pos</t>
  </si>
  <si>
    <t>DigColPs_SnsrReInitInProgs_Cnt_M_lgc==&gt;Min</t>
  </si>
  <si>
    <t>DigColPs_SnsrReInitInProgs_Cnt_M_lgc==&gt;Max</t>
  </si>
  <si>
    <t>I2CSensCommFlts_Cnt_T_u08==&gt;Min</t>
  </si>
  <si>
    <t>I2CSensCommFlts_Cnt_T_u08==&gt;Max</t>
  </si>
  <si>
    <t>I2CSensCommFlts_Cnt_T_u08==&gt;Pos</t>
  </si>
  <si>
    <t>I2CHwColAngle_Cnt_T_u16==&gt;Min</t>
  </si>
  <si>
    <t>I2CHwSpurAngle_Cnt_T_u16==&gt;Min</t>
  </si>
  <si>
    <t>I2CHwColAngle_Cnt_T_u16==&gt;Max</t>
  </si>
  <si>
    <t>I2CHwSpurAngle_Cnt_T_u16==&gt;Max</t>
  </si>
  <si>
    <t>I2CHwColAngle_Cnt_T_u16==&gt;Pos</t>
  </si>
  <si>
    <t>I2CHwSpurAngle_Cnt_T_u16==&gt;Pos</t>
  </si>
  <si>
    <t>ChkSkipStepError() P</t>
  </si>
  <si>
    <t>ChkSkipStepError() M</t>
  </si>
  <si>
    <t>ChkVernCorrlnError() P</t>
  </si>
  <si>
    <t>ChkVernCorrlnError() M</t>
  </si>
  <si>
    <t>VernCorrlnFltDiag() P</t>
  </si>
  <si>
    <t>VernCorrlnFltDiag() M</t>
  </si>
  <si>
    <t>SnsrFltDiag() P</t>
  </si>
  <si>
    <t>SnsrFltDiag() M</t>
  </si>
  <si>
    <t>((ErrorDataReady_Cnt_T_lgc == TRUE)=True &amp;&amp;(ParityOrCommFault_Cnt_T_lgc == FALSE)=True  &amp;&amp;(SpurSnsrErr_Cnt_T_lgc == TRUE)=False )</t>
  </si>
  <si>
    <t>I2CSnsrReInitMaxTry() P</t>
  </si>
  <si>
    <t>I2CSnsrReInitMaxTry() M</t>
  </si>
  <si>
    <t>I2CSnsrDataCheck() P</t>
  </si>
  <si>
    <t>I2CSnsrDataCheck() M</t>
  </si>
  <si>
    <t>R</t>
  </si>
  <si>
    <t>I2CCommFltDiag() R</t>
  </si>
  <si>
    <t>I2CCommFltDiag() P</t>
  </si>
  <si>
    <t>I2CCommFltDiag() M</t>
  </si>
  <si>
    <t>DigColPs_ColSnsrErr_Cnt_M_lgc=Min</t>
  </si>
  <si>
    <t>DigColPs_ColSnsrErr_Cnt_M_lgc=Max</t>
  </si>
  <si>
    <t>DigColPs_ColSnsrErr_Cnt_M_lgc=Pos</t>
  </si>
  <si>
    <t>DigColPs_SpurSnsrErr_Cnt_M_lgc=Min</t>
  </si>
  <si>
    <t>DigColPs_SpurSnsrErr_Cnt_M_lgc=Max</t>
  </si>
  <si>
    <t>DigColPs_SpurSnsrErr_Cnt_M_lgc=Pos</t>
  </si>
  <si>
    <t>k_ReInitMaxTryCntr_Cnt_u08=Pos/Default</t>
  </si>
  <si>
    <t>k_ReInitMaxTryCntr_Cnt_u08=Min</t>
  </si>
  <si>
    <t>k_ReInitMaxTryCntr_Cnt_u08=Max</t>
  </si>
  <si>
    <t>Rte_Call_SystemTime_GetSystemTime_mS_u32=Min</t>
  </si>
  <si>
    <t>Rte_Call_SystemTime_GetSystemTime_mS_u32=Max</t>
  </si>
  <si>
    <t>Rte_Call_SystemTime_GetSystemTime_mS_u32=Pos</t>
  </si>
  <si>
    <t>DigColPs_I2CHwColAngle_Cnt_M_u16==&gt;Min</t>
  </si>
  <si>
    <t>DigColPs_I2CHwColAngle_Cnt_M_u16==&gt;Max</t>
  </si>
  <si>
    <t>DigColPs_I2CHwColAngle_Cnt_M_u16==&gt;Pos</t>
  </si>
  <si>
    <t>DigColPs_I2CHwSpurAngle_Cnt_M_u16==&gt;Min</t>
  </si>
  <si>
    <t>DigColPs_I2CHwSpurAngle_Cnt_M_u16==&gt;Max</t>
  </si>
  <si>
    <t>DigColPs_I2CHwSpurAngle_Cnt_M_u16==&gt;Pos</t>
  </si>
  <si>
    <t>DigColPs_I2CSensCommFlts_Cnt_M_u08==&gt;Min</t>
  </si>
  <si>
    <t>DigColPs_I2CSensCommFlts_Cnt_M_u08==&gt;Max</t>
  </si>
  <si>
    <t>DigColPs_I2CSensCommFlts_Cnt_M_u08==&gt;Pos</t>
  </si>
  <si>
    <t>DigColPs_ColRoughTurns_Cnt_M_s16==&gt;Min</t>
  </si>
  <si>
    <t>DigColPs_ColRoughTurns_Cnt_M_s16==&gt;Max</t>
  </si>
  <si>
    <t>DigColPs_ColRoughTurns_Cnt_M_s16==&gt;Pos</t>
  </si>
  <si>
    <t>DigColPs_ColRoughTurns_Cnt_M_s16==&gt;Zero</t>
  </si>
  <si>
    <t>DigColPs_ColRoughTurns_Cnt_M_s16==&gt;Neg</t>
  </si>
  <si>
    <t>DigColPs_SpurRoughTurns_Cnt_M_s16==&gt;Min</t>
  </si>
  <si>
    <t>DigColPs_SpurRoughTurns_Cnt_M_s16==&gt;Max</t>
  </si>
  <si>
    <t>DigColPs_SpurRoughTurns_Cnt_M_s16==&gt;Pos</t>
  </si>
  <si>
    <t>DigColPs_SpurRoughTurns_Cnt_M_s16==&gt;Zero</t>
  </si>
  <si>
    <t>DigColPs_SpurRoughTurns_Cnt_M_s16==&gt;Neg</t>
  </si>
  <si>
    <t>DigColPs_ColAngleLPFKSV_Cnt_M_str.K==&gt;Min</t>
  </si>
  <si>
    <t>DigColPs_ColAngleLPFKSV_Cnt_M_str.K==&gt;Max</t>
  </si>
  <si>
    <t>DigColPs_ColAngleLPFKSV_Cnt_M_str.K==&gt;Pos</t>
  </si>
  <si>
    <t>DigColPs_ColAngleLPFKSV_Cnt_M_str.SV==&gt;Min</t>
  </si>
  <si>
    <t>DigColPs_ColAngleLPFKSV_Cnt_M_str.SV==&gt;Max</t>
  </si>
  <si>
    <t>DigColPs_ColAngleLPFKSV_Cnt_M_str.SV==&gt;Pos</t>
  </si>
  <si>
    <t>DigColPs_ColAngleLPFKSV_Cnt_M_str.SV==&gt;Zero</t>
  </si>
  <si>
    <t>DigColPs_ColAngleLPFKSV_Cnt_M_str.SV==&gt;Neg</t>
  </si>
  <si>
    <t>k_StepDetect_Deg_f32==&gt;Min</t>
  </si>
  <si>
    <t>k_StepDetect_Deg_f32==&gt;Max</t>
  </si>
  <si>
    <t>k_StepDetect_Deg_f32==&gt;Pos</t>
  </si>
  <si>
    <t>DigColPs_PrevI2CHwSpurAngle_Deg_M_f32==&gt;Min</t>
  </si>
  <si>
    <t>DigColPs_PrevI2CHwSpurAngle_Deg_M_f32==&gt;Max</t>
  </si>
  <si>
    <t>DigColPs_PrevI2CHwSpurAngle_Deg_M_f32==&gt;Pos</t>
  </si>
  <si>
    <t>DigColPs_ColLPFInitDone_Cnt_M_lgc==&gt;Min</t>
  </si>
  <si>
    <t>DigColPs_ColLPFInitDone_Cnt_M_lgc==&gt;Max</t>
  </si>
  <si>
    <t>DigColPs_SpurLPFInitDone_Cnt_M_lgc==&gt;Min</t>
  </si>
  <si>
    <t>DigColPs_SpurLPFInitDone_Cnt_M_lgc==&gt;Max</t>
  </si>
  <si>
    <t>DigColPs_PrevI2CHwColAngle_Deg_M_f32==&gt;Min</t>
  </si>
  <si>
    <t>DigColPs_PrevI2CHwColAngle_Deg_M_f32==&gt;Max</t>
  </si>
  <si>
    <t>DigColPs_PrevI2CHwColAngle_Deg_M_f32==&gt;Pos</t>
  </si>
  <si>
    <t>DigColPs_I2CHwCustDataReadComplete_Cnt_M_lgc==&gt;Min</t>
  </si>
  <si>
    <t>DigColPs_I2CHwCustDataReadComplete_Cnt_M_lgc==&gt;Max</t>
  </si>
  <si>
    <t>DigColPs_I2CHwCustData_Uls_M_u16==&gt;Min</t>
  </si>
  <si>
    <t>DigColPs_I2CHwCustData_Uls_M_u16==&gt;Max</t>
  </si>
  <si>
    <t>DigColPs_I2CHwCustData_Uls_M_u16==&gt;Pos</t>
  </si>
  <si>
    <t>DigColPs_SnsrReInitElapsedTime_mS_M_u16==&gt;Min</t>
  </si>
  <si>
    <t>DigColPs_SnsrReInitElapsedTime_mS_M_u16==&gt;Max</t>
  </si>
  <si>
    <t>DigColPs_SnsrReInitElapsedTime_mS_M_u16==&gt;Pos</t>
  </si>
  <si>
    <t>k_ReInitMaxTryCntr_Cnt_u08==&gt;Min</t>
  </si>
  <si>
    <t>k_ReInitMaxTryCntr_Cnt_u08==&gt;Max</t>
  </si>
  <si>
    <t>DigColPsInt_GetData==&gt;Min</t>
  </si>
  <si>
    <t>DigColPsInt_GetData==&gt;Max</t>
  </si>
  <si>
    <t>DigColPsInt_GetData==&gt;Pos</t>
  </si>
  <si>
    <t>DigColPsInt_GetCustData==&gt;Min</t>
  </si>
  <si>
    <t>DigColPsInt_GetCustData==&gt;Max</t>
  </si>
  <si>
    <t>DigColPsInt_GetCustData==&gt;Pos</t>
  </si>
  <si>
    <t>Rte_Call_SystemTime_DtrmnElapsedTime_mS_u16==&gt;Min</t>
  </si>
  <si>
    <t>Rte_Call_SystemTime_DtrmnElapsedTime_mS_u16==&gt;Max</t>
  </si>
  <si>
    <t>Rte_Call_SystemTime_DtrmnElapsedTime_mS_u16==&gt;Pos</t>
  </si>
  <si>
    <t>Rte_Call_SystemTime_GetSystemTime_mS_u32==&gt;Min</t>
  </si>
  <si>
    <t>Rte_Call_SystemTime_GetSystemTime_mS_u32==&gt;Max</t>
  </si>
  <si>
    <t>Rte_Call_SystemTime_GetSystemTime_mS_u32==&gt;Pos</t>
  </si>
  <si>
    <t>k_ReInitMaxTryCntr_Cnt_u08==&gt;Pos/Default</t>
  </si>
  <si>
    <t>k_StepDetect_Deg_f32==&gt; Default</t>
  </si>
  <si>
    <t>DigColPs_SpurAngleLPFKSV_Cnt_M_str.K==&gt;Min</t>
  </si>
  <si>
    <t>DigColPs_SpurAngleLPFKSV_Cnt_M_str.SV==&gt;Min</t>
  </si>
  <si>
    <t>DigColPs_SpurAngleLPFKSV_Cnt_M_str.K==&gt;Max</t>
  </si>
  <si>
    <t>DigColPs_SpurAngleLPFKSV_Cnt_M_str.SV==&gt;Max</t>
  </si>
  <si>
    <t>DigColPs_SpurAngleLPFKSV_Cnt_M_str.K==&gt;Pos</t>
  </si>
  <si>
    <t>DigColPs_SpurAngleLPFKSV_Cnt_M_str.SV==&gt;Pos</t>
  </si>
  <si>
    <t>DigColPs_SpurAngleLPFKSV_Cnt_M_str.SV==&gt;Zero</t>
  </si>
  <si>
    <t>DigColPs_SpurAngleLPFKSV_Cnt_M_str.SV==&gt;Neg</t>
  </si>
  <si>
    <t>DigColPs_ColSnsrErr_Cnt_M_lgc==&gt;Min</t>
  </si>
  <si>
    <t>DigColPs_ColSnsrErr_Cnt_M_lgc==&gt;Max</t>
  </si>
  <si>
    <t>DigColPs_SpurSnsrErr_Cnt_M_lgc==&gt;Min</t>
  </si>
  <si>
    <t>DigColPs_SpurSnsrErr_Cnt_M_lgc==&gt;Max</t>
  </si>
  <si>
    <t>DigColPs_SnsrSampleOk_Cnt_M_lgc==&gt;Min</t>
  </si>
  <si>
    <t>DigColPs_SnsrSampleOk_Cnt_M_lgc==&gt;Max</t>
  </si>
  <si>
    <t>DigColPs_PrevAngleDataAvailable_Cnt_M_lgc==&gt;Min</t>
  </si>
  <si>
    <t>DigColPs_PrevAngleDataAvailable_Cnt_M_lgc==&gt;Max</t>
  </si>
  <si>
    <t>DigColPs_HwAVernCorrFault_Cnt_M_lgc==&gt;Min</t>
  </si>
  <si>
    <t>DigColPs_HwAVernCorrFault_Cnt_M_lgc==&gt;Max</t>
  </si>
  <si>
    <t>DigColPs_HwAVernCorrFault_Cnt_M_lgc==&gt;Pos</t>
  </si>
  <si>
    <t>k_SelectFromColumn_Cnt_lgc==&gt;Max</t>
  </si>
  <si>
    <t>DigColPs_PrevI2CHwPosValid_Cnt_M_lgc==&gt;Min</t>
  </si>
  <si>
    <t>DigColPs_PrevI2CHwPosValid_Cnt_M_lgc==&gt;Max</t>
  </si>
  <si>
    <t>DigColPs_PrevTrimComplete_Cnt_M_lgc==&gt;Min</t>
  </si>
  <si>
    <t>DigColPs_PrevTrimComplete_Cnt_M_lgc==&gt;Max</t>
  </si>
  <si>
    <t>DigColPs_I2CHwColAngleMdfy_Cnt_M_u16==&gt;Min</t>
  </si>
  <si>
    <t>DigColPs_I2CHwColAngleMdfy_Cnt_M_u16==&gt;Max</t>
  </si>
  <si>
    <t>DigColPs_I2CHwColAngleMdfy_Cnt_M_u16==&gt;Pos</t>
  </si>
  <si>
    <t>DigColPs_I2CHwSpurAngleMdfy_Cnt_M_u16==&gt;Min</t>
  </si>
  <si>
    <t>DigColPs_I2CHwSpurAngleMdfy_Cnt_M_u16==&gt;Max</t>
  </si>
  <si>
    <t>DigColPs_I2CHwSpurAngleMdfy_Cnt_M_u16==&gt;Pos</t>
  </si>
  <si>
    <t>DigColPs_I2CHwColAngle_Deg_M_f32==&gt;Min</t>
  </si>
  <si>
    <t>DigColPs_I2CHwColAngle_Deg_M_f32==&gt;Max</t>
  </si>
  <si>
    <t>DigColPs_I2CHwColAngle_Deg_M_f32==&gt;Pos</t>
  </si>
  <si>
    <t>DigColPs_I2CHwSpurAngle_Deg_M_f32==&gt;Min</t>
  </si>
  <si>
    <t>DigColPs_I2CHwSpurAngle_Deg_M_f32==&gt;Max</t>
  </si>
  <si>
    <t>DigColPs_I2CHwSpurAngle_Deg_M_f32==&gt;Pos</t>
  </si>
  <si>
    <t>DigColPs_I2CHwDataTypeMdfy_Cnt_M_u08==&gt;Min</t>
  </si>
  <si>
    <t>DigColPs_I2CHwDataTypeMdfy_Cnt_M_u08==&gt;Max</t>
  </si>
  <si>
    <t>DigColPs_I2CHwDataTypeMdfy_Cnt_M_u08==&gt;Pos</t>
  </si>
  <si>
    <t>DigColPs_I2CSensCommFltsMdfy_Cnt_M_u08==&gt;Min</t>
  </si>
  <si>
    <t>DigColPs_I2CSensCommFltsMdfy_Cnt_M_u08==&gt;Max</t>
  </si>
  <si>
    <t>DigColPs_I2CSensCommFltsMdfy_Cnt_M_u08==&gt;Pos</t>
  </si>
  <si>
    <t>Rte_Pim_DigColPsEOL.TrimComp_Cnt_u16==&gt;Min</t>
  </si>
  <si>
    <t>Rte_Pim_DigColPsEOL.TrimComp_Cnt_u16==&gt;Max</t>
  </si>
  <si>
    <t>Rte_Pim_DigColPsEOL.TrimComp_Cnt_u16==&gt;Pos</t>
  </si>
  <si>
    <t>Rte_Pim_DigColPsEOL.ColTrim_Deg_f32==&gt;Min</t>
  </si>
  <si>
    <t>Rte_Pim_DigColPsEOL.ColTrim_Deg_f32==&gt;Max</t>
  </si>
  <si>
    <t>Rte_Pim_DigColPsEOL.ColTrim_Deg_f32==&gt;Pos</t>
  </si>
  <si>
    <t>Rte_Pim_DigColPsEOL.SpurTrim_Deg_f32==&gt;Min</t>
  </si>
  <si>
    <t>Rte_Pim_DigColPsEOL.SpurTrim_Deg_f32==&gt;Max</t>
  </si>
  <si>
    <t>Rte_Pim_DigColPsEOL.SpurTrim_Deg_f32==&gt;Pos</t>
  </si>
  <si>
    <t>DigColPs_ColTrimStatic_Deg_M_f32==&gt;Min</t>
  </si>
  <si>
    <t>DigColPs_ColTrimStatic_Deg_M_f32==&gt;Max</t>
  </si>
  <si>
    <t>DigColPs_ColTrimStatic_Deg_M_f32==&gt;Pos</t>
  </si>
  <si>
    <t>DigColPs_ColTrimStatic_Deg_M_f32==&gt;Zero</t>
  </si>
  <si>
    <t>DigColPs_ColTrimStatic_Deg_M_f32==&gt;Neg</t>
  </si>
  <si>
    <t>DigColPs_SpurTrimStatic_Deg_M_f32==&gt;Min</t>
  </si>
  <si>
    <t>DigColPs_SpurTrimStatic_Deg_M_f32==&gt;Max</t>
  </si>
  <si>
    <t>DigColPs_SpurTrimStatic_Deg_M_f32==&gt;Pos</t>
  </si>
  <si>
    <t>DigColPs_SpurTrimStatic_Deg_M_f32==&gt;Zero</t>
  </si>
  <si>
    <t>DigColPs_SpurTrimStatic_Deg_M_f32==&gt;Neg</t>
  </si>
  <si>
    <t>DigColPs_TrimCompStatic_Cnt_M_u16==&gt;Min</t>
  </si>
  <si>
    <t>DigColPs_TrimCompStatic_Cnt_M_u16==&gt;Max</t>
  </si>
  <si>
    <t>DigColPs_TrimCompStatic_Cnt_M_u16==&gt;Pos</t>
  </si>
  <si>
    <t>DigColPs_PrevVernierLevelNo_Cnt_M_u08==&gt;Min</t>
  </si>
  <si>
    <t>DigColPs_PrevVernierLevelNo_Cnt_M_u08==&gt;Max</t>
  </si>
  <si>
    <t>DigColPs_PrevVernierLevelNo_Cnt_M_u08==&gt;Pos</t>
  </si>
  <si>
    <t>DigColPs_PrevColPos_Deg_M_f32==&gt;Min</t>
  </si>
  <si>
    <t>DigColPs_PrevColPos_Deg_M_f32==&gt;Max</t>
  </si>
  <si>
    <t>DigColPs_PrevColPos_Deg_M_f32==&gt;Pos</t>
  </si>
  <si>
    <t>k_VernOORangeThresh_Deg_f32==&gt;Min</t>
  </si>
  <si>
    <t>k_VernOORangeThresh_Deg_f32==&gt;Max</t>
  </si>
  <si>
    <t>DigColPs_PrevI2CAbsHwPos_HwDeg_M_f32==&gt;Min</t>
  </si>
  <si>
    <t>DigColPs_PrevI2CAbsHwPos_HwDeg_M_f32==&gt;Max</t>
  </si>
  <si>
    <t>DigColPs_PrevI2CAbsHwPos_HwDeg_M_f32==&gt;Pos</t>
  </si>
  <si>
    <t>MecState_Cnt_enum==&gt;ProductionMode</t>
  </si>
  <si>
    <t>MecState_Cnt_enum==&gt;ManufacturingMode</t>
  </si>
  <si>
    <t>MecState_Cnt_enum==&gt;EngineeringMode</t>
  </si>
  <si>
    <t>k_SelectFromColumn_Cnt_lgc==&gt;Min/Default</t>
  </si>
  <si>
    <t>Rte_Pim_DigColPsEOL.ColTrim_Deg_f32==&gt;Zero</t>
  </si>
  <si>
    <t>DigColPs_PrevI2CHwPosValid_Cnt_M_lgc==&gt;Neg</t>
  </si>
  <si>
    <t>Rte_Pim_DigColPsEOL.SpurTrim_Deg_f32==&gt;Zero</t>
  </si>
  <si>
    <t>k_VernOORangeThresh_Deg_f32==&gt; Default</t>
  </si>
  <si>
    <t>k_VernOORangeThresh_Deg_f32==&gt; Pos</t>
  </si>
  <si>
    <t>DigColPs_PrevI2CAbsHwPos_HwDeg_M_f32==&gt;Zero</t>
  </si>
  <si>
    <t>DigColPs_PrevI2CAbsHwPos_HwDeg_M_f32==&gt;Neg</t>
  </si>
  <si>
    <t>Komal Sharma</t>
  </si>
  <si>
    <t>TMS470_4.9.5</t>
  </si>
  <si>
    <t>NxtrDiagMgr_Call_Count[3]</t>
  </si>
  <si>
    <t>1.]Range of variable "DigColPs_PrevI2CAbsHwPos_HwDeg_M_f32" is not present in DD/MDD
Observed range : [-900 to 900]
In DD range range of one temporary "DigColPs_PrevI2CAbsHwPos_HwDeg_T_f32" is given [-900 to 900].
2.]Range of return of function "I2CSnsrReInitMaxTry" is not given in MDD.
Observed range [0 to 4]</t>
  </si>
  <si>
    <t>07/06/2016:
1. Developer will change the name of variable from "DigColPs_PrevI2CAbsHwPos_HwDeg_T_f32" to "DigColPs_PrevI2CAbsHwPos_HwDeg_M_f32", so consider the same variable range [-900 to 900 ] for testing. Increase DD version in Reports , While submitting reports add comment in summary regarding name change required in DD with variable details
2.  Developer will update the return range for "I2CSnsrReInitMaxTry" function from 0 to 4. 
Increase MDD version in Reports , While submitting reports add comment in summary regarding MDD update required with the details.</t>
  </si>
  <si>
    <t>Function : DigColPs_Per1 and DigColPs_Per2
Range of following variables is not in DD/MDD:
1.]DigColPs_I2CHwCustData_Uls_M_u16
Observed range [0 to 511]
2.]DigColPs_SnsrReInitElapsedTime_mS_M_u16 
Observed range [0 to 65535]</t>
  </si>
  <si>
    <t>"07/12/2016:
Developer will update the return range for ""]DigColPs_I2CHwCustData_Uls_M_u16
as observed range while testing that is [0 to 511]. 
Developer will update the return range for ""]DigColPs_SnsrReInitElapsedTime_mS_M_u16
as observed range while testing that is [0 to 65535].</t>
  </si>
  <si>
    <t>Function : DigColPs_Per1 
Variable "DigColPs_I2CSensCommFltsMdfy_Cnt_M_u08" is going out of range
Range in DD : [0 to 4]
Observed range [0 to 81]
Variable "DigColPs_I2CSensCommFltsMdfy_Cnt_M_u08" is going out of range which is updating @line no. 1023 as below:
DigColPs_I2CSensCommFltsMdfy_Cnt_M_u08 = I2CSensCommFlts_Cnt_T_u08;
Temporary variable "I2CSensCommFlts_Cnt_T_u08" is updating @line no. 949 as below:
 I2CSensCommFlts_Cnt_T_u08 |=  ((uint8)(SpurSnsrErr_Cnt_T_lgc &lt;&lt; 6U));
Here because of "BitwiseOR" and "LeftShift" operator it is getting out of range value.</t>
  </si>
  <si>
    <t>07/13/2016
Please use the range  [0 to 255]
increse the DD version in reports , make sure in summry email you mention that DD update required with details .</t>
  </si>
  <si>
    <t>Function : DigColPs_Per1 
It is not possible to cover MC/DC and MCC coverage @line no. 962 of source code as below: 
if((I2CSensCommFlts_Cnt_T_u08 == 0U) &amp;&amp;
     (DigColPs_SnsrReInitInProgs_Cnt_M_lgc == FALSE) &amp;&amp;
     (I2CHwDataType_Cnt_T_u08 == D_ANGLEDATA_CNT_U08))
It is not possible to make condition (DigColPs_SnsrReInitInProgs_Cnt_M_lgc == FALSE) = False 
As to reach condition @line no. 962 variable "DigColPs_SnsrReInitInProgs_Cnt_M_lgc" should be equal to "FALSE" @line no. 911 of source code.</t>
  </si>
  <si>
    <t>DigColPs_Init1() R</t>
  </si>
  <si>
    <t>ConstrainOneRev() R</t>
  </si>
  <si>
    <t>ComputeRoughTurns() R</t>
  </si>
  <si>
    <t>OddParityFault() R</t>
  </si>
  <si>
    <t>DigColPs_SCom_CustSetTrim() R</t>
  </si>
  <si>
    <t>VernierLookup() R</t>
  </si>
  <si>
    <t>DigColPs_Per1() R</t>
  </si>
  <si>
    <t>DiagnosticThreshold() R</t>
  </si>
  <si>
    <t>DigColPs_SCom_CustClrTrim() R</t>
  </si>
  <si>
    <t>DigColPs_SCom_NxtSetTrim() R</t>
  </si>
  <si>
    <t>DigColPs_SCom_NxtClrTrim() R</t>
  </si>
  <si>
    <t>DigColPs_Per3() R</t>
  </si>
  <si>
    <t>ChkSkipStepError() R</t>
  </si>
  <si>
    <t>ChkVernCorrlnError() R</t>
  </si>
  <si>
    <t>VernCorrlnFltDiag() R</t>
  </si>
  <si>
    <t>SnsrFltDiag() R</t>
  </si>
  <si>
    <t>I2CSnsrReInitMaxTry() R</t>
  </si>
  <si>
    <t>I2CSnsrDataCheck() R</t>
  </si>
  <si>
    <t>DigColPs_Per2() R</t>
  </si>
  <si>
    <t>NxtrDiagMgr_Call_Count[4]</t>
  </si>
  <si>
    <t>NxtrDiagMgr_NTC[4]</t>
  </si>
  <si>
    <t>NxtrDiagMgr_Param[4]</t>
  </si>
  <si>
    <t>NxtrDiagMgr_Status[4]</t>
  </si>
  <si>
    <t>NxtrDiagMgr_Call_Count[10]</t>
  </si>
  <si>
    <t>NxtrDiagMgr_NTC[10]</t>
  </si>
  <si>
    <t>NxtrDiagMgr_Param[10]</t>
  </si>
  <si>
    <t>NxtrDiagMgr_Status[10]</t>
  </si>
  <si>
    <t>m</t>
  </si>
  <si>
    <t>0,0,0</t>
  </si>
  <si>
    <t>504, 0, 0</t>
  </si>
  <si>
    <t>1, 0, 0</t>
  </si>
  <si>
    <t>0, 0, 0</t>
  </si>
  <si>
    <t>if ((AbsVernLevelDiff_Cnt_T_u08 &gt; 1U)&amp;&amp;(TrimComplete_Cnt_T_lgc == TRUE))=False</t>
  </si>
  <si>
    <t>if ((AbsVernLevelDiff_Cnt_T_u08 &gt; 1U)&amp;&amp;(TrimComplete_Cnt_T_lgc == TRUE))=True</t>
  </si>
  <si>
    <t>if (DiagFailed_m(DigColPs_SkipStepFltDetectAcc_Cnt_M_u16, k_SkipStepErrDiag_Cnt_str) == TRUE)=False</t>
  </si>
  <si>
    <t>if (DiagFailed_m(DigColPs_SkipStepFltDetectAcc_Cnt_M_u16, k_SkipStepErrDiag_Cnt_str) == TRUE)=True</t>
  </si>
  <si>
    <t>110, 111, 0</t>
  </si>
  <si>
    <t>0, 68, 0</t>
  </si>
  <si>
    <t>0, 1, 0</t>
  </si>
  <si>
    <t>127, 84, 0</t>
  </si>
  <si>
    <t>1, 1, 0</t>
  </si>
  <si>
    <t>Note 1 : Inline functions defined in GlobalMacro.h are not unit tested.
Note 2 : In Function "DigColPs_Per1" it is not possible to cover MC/DC and MCC coverage for below combination @line no. 962
"if((I2CSensCommFlts_Cnt_T_u08 == 0U) =&gt; TRUE &amp;&amp;(DigColPs_SnsrReInitInProgs_Cnt_M_lgc == FALSE) =&gt; FALSE &amp;&amp;
(I2CHwDataType_Cnt_T_u08 == D_ANGLEDATA_CNT_U08))" As control will not reach at line no. 962 if the variable "DigColPs_SnsrReInitInProgs_Cnt_M_lgc = TRUE".
Note 3 : In the functions DigColPs_Init1() and DigColPs_SCom_CustSetTrim() extra codehas been added for the macro 'Redundant_Format_1_m' to imitate the source code.
Note 4 : "CBD_Sandbox_dbg.map" map file is embedded for reference.
Note 5 : In "DigColPs_Init1()" function, extra temporary variables are added in VBA for the implementation of 'Redundant_Format_1_m' macro.</t>
  </si>
  <si>
    <t>EA3#11</t>
  </si>
  <si>
    <t>In Function "DigColPs_Per1" it is not possible to cover MC/DC and MCC coverage for below combination @line no. 962
"if((I2CSensCommFlts_Cnt_T_u08 == 0U) =&gt; TRUE &amp;&amp;(DigColPs_SnsrReInitInProgs_Cnt_M_lgc == FALSE) =&gt; FALSE &amp;&amp;
(I2CHwDataType_Cnt_T_u08 == D_ANGLEDATA_CNT_U08))" As control will not reach at line no. 962 if the variable "DigColPs_SnsrReInitInProgs_Cnt_M_lgc = TRUE".</t>
  </si>
  <si>
    <t>Function DigColPs_Per1
Source line no.  962</t>
  </si>
  <si>
    <t>108, 110, 111</t>
  </si>
  <si>
    <t>10, 0, 0</t>
  </si>
  <si>
    <t>12, 0, 0</t>
  </si>
  <si>
    <t>14, 0, 0</t>
  </si>
  <si>
    <t>6, 0, 0</t>
  </si>
  <si>
    <t>2, 0, 0</t>
  </si>
  <si>
    <t xml:space="preserve">07/14/2016
Please add a propper comment regarding low path coverage issue for this MCDC /MCC coverage issue </t>
  </si>
  <si>
    <t>Shortest Execution Path:if ((AbsVernLevelDiff_Cnt_T_u08 &gt; 1U)&amp;&amp;(TrimComplete_Cnt_T_lgc == TRUE))=False
if (DiagFailed_m(DigColPs_SkipStepFltDetectAcc_Cnt_M_u16, k_SkipStepErrDiag_Cnt_str) == TRUE)=False</t>
  </si>
  <si>
    <t>Longest Execution Path:if ((AbsVernLevelDiff_Cnt_T_u08 &gt; 1U)&amp;&amp;(TrimComplete_Cnt_T_lgc == TRUE))=True
if (DiagFailed_m(DigColPs_SkipStepFltDetectAcc_Cnt_M_u16, k_SkipStepErrDiag_Cnt_str) == TRUE)=True</t>
  </si>
  <si>
    <t>if ((Abs_f32_m(VernDiagError_Deg_T_f32) &gt; k_VernCorrErrorThresh_Deg_f32) &amp;&amp; (TrimComplete_Cnt_T_lgc == TRUE))=False</t>
  </si>
  <si>
    <t>if ((Abs_f32_m(VernDiagError_Deg_T_f32) &gt; k_VernCorrErrorThresh_Deg_f32) &amp;&amp; (TrimComplete_Cnt_T_lgc == TRUE))=True</t>
  </si>
  <si>
    <t>Shortest Execution Path: if ((Abs_f32_m(VernDiagError_Deg_T_f32) &gt; k_VernCorrErrorThresh_Deg_f32) &amp;&amp; (TrimComplete_Cnt_T_lgc == TRUE))=False</t>
  </si>
  <si>
    <t>Longest Execution Path:if ((Abs_f32_m(VernDiagError_Deg_T_f32) &gt; k_VernCorrErrorThresh_Deg_f32) &amp;&amp; (TrimComplete_Cnt_T_lgc == TRUE))=True</t>
  </si>
  <si>
    <t>if(DigColPs_I2CHwCustData_Uls_M_u16 != D_I2CHWCUSTDATAUNKWN_CNT_U16)=False</t>
  </si>
  <si>
    <t>if(DigColPs_SnsrReInitElapsedTime_mS_M_u16 &gt;= D_SNSRREINITTIME_MS_U32)=False
if(DigColPs_SnsrReInitInProgs_Cnt_M_lgc == FALSE)=False</t>
  </si>
  <si>
    <t>if (I2CHwDataType_Cnt_T_u08 != D_ANGLEDATA_CNT_U08)=False</t>
  </si>
  <si>
    <t>if(DigColPs_I2CHwCustDataReadComplete_Cnt_M_lgc == FALSE)=False
if(DigColPs_SnsrReInitInProgs_Cnt_M_lgc == TRUE)=True
if(DigColPs_SnsrReInitElapsedTime_mS_M_u16 &gt;= D_SNSRREINITTIME_MS_U32)=True  if((I2CSensCommFlts_Cnt_T_u08 == 0U)&amp;&amp;(DigColPs_SnsrReInitInProgs_Cnt_M_lgc == FALSE)&amp;&amp;(I2CHwDataType_Cnt_T_u08 == D_ANGLEDATA_CNT_U08))=False</t>
  </si>
  <si>
    <t>if(DigColPs_SnsrReInitMaxTryCntr_Cnt_M_u08 &lt; k_ReInitMaxTryCntr_Cnt_u08)=False</t>
  </si>
  <si>
    <t>if(DigColPs_I2CHwCustDataReadComplete_Cnt_M_lgc == FALSE)=True 
if(DigColPs_I2CHwCustData_Uls_M_u16 != D_I2CHWCUSTDATAUNKWN_CNT_U16)=True if(DigColPs_SnsrReInitInProgs_Cnt_M_lgc == TRUE)=False 
if(DigColPs_SnsrReInitInProgs_Cnt_M_lgc == FALSE)=True if (I2CHwDataType_Cnt_T_u08 != D_ANGLEDATA_CNT_U08)=True
 if((I2CSensCommFlts_Cnt_T_u08 == 0U)=True &amp;&amp;(DigColPs_SnsrReInitInProgs_Cnt_M_lgc == FALSE)=True &amp;&amp;(I2CHwDataType_Cnt_T_u08 == D_ANGLEDATA_CNT_U08))=False
if(SnsrSampleOK_Cnt_T_lgc == TRUE)=False</t>
  </si>
  <si>
    <t xml:space="preserve"> if((I2CSensCommFlts_Cnt_T_u08 == 0U)=True &amp;&amp;(DigColPs_SnsrReInitInProgs_Cnt_M_lgc == FALSE)=True &amp;&amp;(I2CHwDataType_Cnt_T_u08 == D_ANGLEDATA_CNT_U08))=True
if(DigColPs_SnsrReInitMaxTryCntr_Cnt_M_u08 &lt; k_ReInitMaxTryCntr_Cnt_u08)=True if(SnsrSampleOK_Cnt_T_lgc == TRUE)=True if (DigColPs_ColLPFInitDone_Cnt_M_lgc == FALSE)=True
if (DigColPs_SpurLPFInitDone_Cnt_M_lgc == FALSE)=True</t>
  </si>
  <si>
    <t>if (DigColPs_ColLPFInitDone_Cnt_M_lgc == FALSE)=False
if (DigColPs_SpurLPFInitDone_Cnt_M_lgc == FALSE)=False</t>
  </si>
  <si>
    <t>Shortest Execution Path: if(DigColPs_I2CHwCustDataReadComplete_Cnt_M_lgc == FALSE)=True
if(DigColPs_I2CHwCustData_Uls_M_u16 != D_I2CHWCUSTDATAUNKWN_CNT_U16)=True
 if(DigColPs_SnsrReInitInProgs_Cnt_M_lgc == TRUE)=True
  if(DigColPs_SnsrReInitElapsedTime_mS_M_u16 &gt;= D_SNSRREINITTIME_MS_U32)=False
 if(DigColPs_SnsrReInitInProgs_Cnt_M_lgc == FALSE)=False</t>
  </si>
  <si>
    <t>Longest Execution Path:   if(DigColPs_I2CHwCustDataReadComplete_Cnt_M_lgc == FALSE)=True
if(DigColPs_I2CHwCustData_Uls_M_u16 != D_I2CHWCUSTDATAUNKWN_CNT_U16)=True
 if(DigColPs_SnsrReInitInProgs_Cnt_M_lgc == TRUE)=False
if(DigColPs_SnsrReInitInProgs_Cnt_M_lgc == FALSE)=True if (I2CHwDataType_Cnt_T_u08 != D_ANGLEDATA_CNT_U08)=False
if((I2CSensCommFlts_Cnt_T_u08 == 0U) &amp;&amp;
     (DigColPs_SnsrReInitInProgs_Cnt_M_lgc == FALSE) &amp;&amp;
     (I2CHwDataType_Cnt_T_u08 == D_ANGLEDATA_CNT_U08))=True
if(DigColPs_SnsrReInitMaxTryCntr_Cnt_M_u08 &lt; k_ReInitMaxTryCntr_Cnt_u08)=True
if(SnsrSampleOK_Cnt_T_lgc == TRUE)=True if (DigColPs_ColLPFInitDone_Cnt_M_lgc == FALSE)=False
 if (DigColPs_SpurLPFInitDone_Cnt_M_lgc == FALSE)=False</t>
  </si>
  <si>
    <t>if(DigColPs_SnsrReInitInProgs_Cnt_M_lgc == FALSE)=False</t>
  </si>
  <si>
    <t>if(DigColPs_SnsrReInitInProgs_Cnt_M_lgc == FALSE)=True if(SnsrSampleOk_Cnt_T_lgc == TRUE)=False</t>
  </si>
  <si>
    <t>if (I2CHwCustData_Uls_T_u16 != D_I2CHWDUALSPURSENSOR_CNT_U16)=Falseif (DigColPs_I2CHwCustData_Uls_M_u16 == D_I2CHWDUALSPURSENSOR_CNT_U16)=True</t>
  </si>
  <si>
    <t>if (Rte_Pim_DigColPsEOL()-&gt;TrimComp_Cnt_u16 == D_TRIMCOMPLETE_CNT_U16)=True
if ((Rte_Pim_DigColPsEOL()-&gt;TrimComp_Cnt_u16 == D_TRIMCOMPLETE_CNT_U16) ||
    (DigColPs_TrimCompStatic_Cnt_M_u16 == D_TRIMCOMPLETE_CNT_U16))=True</t>
  </si>
  <si>
    <t>AbsVernLevelDiff_Cnt_T_u08 = (uint8)Abs_s16_m((sint16)VernierLevelNo_Cnt_T_u08 - (sint16)DigColPs_PrevVernierLevelNo_Cnt_M_u08)=True</t>
  </si>
  <si>
    <t xml:space="preserve"> if ((AbsColPosDiff_Deg_T_f32 &gt; k_VernOORangeThresh_Deg_f32) =True &amp;&amp;
    (TrimComplete_Cnt_T_lgc == TRUE)=True  &amp;&amp;
    (DigColPs_PrevAngleDataAvailable_Cnt_M_lgc == TRUE)= False  &amp;&amp;
    (MecState_Cnt_T_enum != ManufacturingMode))
if ((TrimComplete_Cnt_T_lgc == TRUE) &amp;&amp; (DigColPs_HwAVernCorrFault_Cnt_M_lgc == FALSE))=True</t>
  </si>
  <si>
    <t>if (k_SelectFromColumn_Cnt_lgc == TRUE)=False</t>
  </si>
  <si>
    <t>if(SnsrSampleOk_Cnt_T_lgc == TRUE)=True if (Rte_Pim_DigColPsEOL()-&gt;TrimComp_Cnt_u16 == D_TRIMCOMPLETE_CNT_U16)=False
if (I2CHwCustData_Uls_T_u16 != D_I2CHWDUALSPURSENSOR_CNT_U16)=True
if (DigColPs_I2CHwCustData_Uls_M_u16 == D_I2CHWDUALSPURSENSOR_CNT_U16)=False
if ((Rte_Pim_DigColPsEOL()-&gt;TrimComp_Cnt_u16 == D_TRIMCOMPLETE_CNT_U16) ||
    (DigColPs_TrimCompStatic_Cnt_M_u16 == D_TRIMCOMPLETE_CNT_U16))=False if ((TrimComplete_Cnt_T_lgc == TRUE) &amp;&amp; (DigColPs_HwAVernCorrFault_Cnt_M_lgc == FALSE))=False
if (k_SelectFromColumn_Cnt_lgc == TRUE)=True</t>
  </si>
  <si>
    <t>Shortest Execution Path:  if(DigColPs_SnsrReInitInProgs_Cnt_M_lgc == FALSE)=False
I2CAbsHwPos_HwDeg_T_f32 = Limit_m(I2CAbsHwPos_HwDeg_T_f32, -D_MAXHWPOS_HWDEG_F32, D_MAXHWPOS_HWDEG_F32)=True</t>
  </si>
  <si>
    <t>Longest Execution Path: if(DigColPs_SnsrReInitInProgs_Cnt_M_lgc == FALSE)=True if(SnsrSampleOk_Cnt_T_lgc == TRUE)=False
if (I2CHwCustData_Uls_T_u16 != D_I2CHWDUALSPURSENSOR_CNT_U16)=True if (DigColPs_I2CHwCustData_Uls_M_u16 == D_I2CHWDUALSPURSENSOR_CNT_U16)=False if ((Rte_Pim_DigColPsEOL()-&gt;TrimComp_Cnt_u16 == D_TRIMCOMPLETE_CNT_U16) ||
 (DigColPs_TrimCompStatic_Cnt_M_u16 == D_TRIMCOMPLETE_CNT_U16))=False if ((AbsColPosDiff_Deg_T_f32 &gt; k_VernOORangeThresh_Deg_f32) &amp;&amp; (TrimComplete_Cnt_T_lgc == TRUE) &amp;&amp; (DigColPs_PrevAngleDataAvailable_Cnt_M_lgc == TRUE) &amp;&amp;(MecState_Cnt_T_enum != ManufacturingMode))=False
 if ((TrimComplete_Cnt_T_lgc == TRUE) &amp;&amp; (DigColPs_HwAVernCorrFault_Cnt_M_lgc == FALSE))=False I2CAbsHwPos_HwDeg_T_f32 = Limit_m(I2CAbsHwPos_HwDeg_T_f32, -D_MAXHWPOS_HWDEG_F32, D_MAXHWPOS_HWDEG_F32)=False
if (k_SelectFromColumn_Cnt_lgc == TRUE)=True</t>
  </si>
  <si>
    <t>if(DigColPs_SnsrReInitInProgs_Cnt_M_lgc == FALSE)=True
if(I2CSensCommFlts_Cnt_T_u08 != 0U)=False</t>
  </si>
  <si>
    <t>if(I2CSensCommFlts_Cnt_T_u08 != 0U)=True</t>
  </si>
  <si>
    <t>Shortest Execution Path: if(DigColPs_SnsrReInitInProgs_Cnt_M_lgc == FALSE)=False</t>
  </si>
  <si>
    <t>Longest Execution Path: if(DigColPs_SnsrReInitInProgs_Cnt_M_lgc == FALSE)=True if(I2CSensCommFlts_Cnt_T_u08 != 0U)=True</t>
  </si>
  <si>
    <t xml:space="preserve"> if ((I2CHwColAngle_Cnt_T_u16 &amp; D_SNSRERRORBIT_CNT_U16) != 0U)=False
if ((I2CHwSpurAngle_Cnt_T_u16 &amp; D_SNSRERRORBIT_CNT_U16) != 0U)=False
if ((I2CHwColAngle_Cnt_T_u16 &amp; D_ANGREGIDBIT_CNT_U16) != 0U)=False
if ((I2CHwSpurAngle_Cnt_T_u16 &amp; D_ANGREGIDBIT_CNT_U16) != 0U)=False</t>
  </si>
  <si>
    <t xml:space="preserve"> if ((I2CHwColAngle_Cnt_T_u16 &amp; D_SNSRERRORBIT_CNT_U16) != 0U)=True
if ((I2CHwSpurAngle_Cnt_T_u16 &amp; D_SNSRERRORBIT_CNT_U16) != 0U)=True
if ((I2CHwColAngle_Cnt_T_u16 &amp; D_ANGREGIDBIT_CNT_U16) != 0U)=True
if ((I2CHwSpurAngle_Cnt_T_u16 &amp; D_ANGREGIDBIT_CNT_U16) != 0U)=True</t>
  </si>
  <si>
    <t>Longest Execution Path: if ((I2CHwColAngle_Cnt_T_u16 &amp; D_SNSRERRORBIT_CNT_U16) != 0U)=True
if ((I2CHwSpurAngle_Cnt_T_u16 &amp; D_SNSRERRORBIT_CNT_U16) != 0U)=True
if ((I2CHwColAngle_Cnt_T_u16 &amp; D_ANGREGIDBIT_CNT_U16) != 0U)=True
if ((I2CHwSpurAngle_Cnt_T_u16 &amp; D_ANGREGIDBIT_CNT_U16) != 0U)=True</t>
  </si>
  <si>
    <t>Shortest Execution Path:  if ((I2CHwColAngle_Cnt_T_u16 &amp; D_SNSRERRORBIT_CNT_U16) != 0U)=False
if ((I2CHwSpurAngle_Cnt_T_u16 &amp; D_SNSRERRORBIT_CNT_U16) != 0U)=False
if ((I2CHwColAngle_Cnt_T_u16 &amp; D_ANGREGIDBIT_CNT_U16) != 0U)=False
if ((I2CHwSpurAngle_Cnt_T_u16 &amp; D_ANGREGIDBIT_CNT_U16) != 0U)=False</t>
  </si>
  <si>
    <t xml:space="preserve"> if(I2CSensCommFlts_Cnt_T_u08 != 0U)=False</t>
  </si>
  <si>
    <t>if(DigColPs_SnsrReInitMaxTryCntr_Cnt_M_u08 != 0U)=True</t>
  </si>
  <si>
    <t>if(I2CSensCommFlts_Cnt_T_u08 != 0U)=True
if(DigColPs_SnsrReInitMaxTryCntr_Cnt_M_u08 != 0U)=False</t>
  </si>
  <si>
    <t>Longest Execution Path: if(I2CSensCommFlts_Cnt_T_u08 != 0U)=True
if(DigColPs_SnsrReInitMaxTryCntr_Cnt_M_u08 != 0U)=True</t>
  </si>
  <si>
    <t>Shortest Execution Path: if(I2CSensCommFlts_Cnt_T_u08 != 0U)=False</t>
  </si>
  <si>
    <t>if((ParityOrCommFault_Cnt_T_lgc == TRUE)=false||(ColSnsrErr_Cnt_T_lgc == TRUE)=true ||(SpurSnsrErr_Cnt_T_lgc == TRUE))</t>
  </si>
  <si>
    <t>if((ParityOrCommFault_Cnt_T_lgc == TRUE)||(ColSnsrErr_Cnt_T_lgc == TRUE) ||(SpurSnsrErr_Cnt_T_lgc == TRUE))=True</t>
  </si>
  <si>
    <t xml:space="preserve"> if ((I2CHwDataType_Cnt_T_u08 == D_ERRORREG_CNT_U08) ||(I2CHwDataType_Cnt_T_u08 == D_EXTERRORREG_CNT_U08))=True 
((ErrorDataReady_Cnt_T_lgc == TRUE) &amp;&amp;(ParityOrCommFault_Cnt_T_lgc == FALSE) &amp;&amp;(ColSnsrErr_Cnt_T_lgc == TRUE))=True</t>
  </si>
  <si>
    <t xml:space="preserve"> if ((I2CHwDataType_Cnt_T_u08 == D_ERRORREG_CNT_U08) ||(I2CHwDataType_Cnt_T_u08 == D_EXTERRORREG_CNT_U08))=False
 if (I2CSensCommFlts_Cnt_T_u08 != 0U)=False  if (ErrorDataReady_Cnt_T_lgc == TRUE)=False ((ErrorDataReady_Cnt_T_lgc == TRUE) &amp;&amp;(ParityOrCommFault_Cnt_T_lgc == FALSE) &amp;&amp;(ColSnsrErr_Cnt_T_lgc == TRUE))=False</t>
  </si>
  <si>
    <t xml:space="preserve"> if (I2CSensCommFlts_Cnt_T_u08 != 0U)=True
 if (ErrorDataReady_Cnt_T_lgc == TRUE)=True
((ErrorDataReady_Cnt_T_lgc == TRUE) =True &amp;&amp; (ParityOrCommFault_Cnt_T_lgc == FALSE) =False &amp;&amp;(SpurSnsrErr_Cnt_T_lgc == TRUE))</t>
  </si>
  <si>
    <t>((ErrorDataReady_Cnt_T_lgc == TRUE)  &amp;&amp; (ParityOrCommFault_Cnt_T_lgc == FALSE)  &amp;&amp;(SpurSnsrErr_Cnt_T_lgc == TRUE))=True</t>
  </si>
  <si>
    <t>if((ParityOrCommFault_Cnt_T_lgc == TRUE)=False|| (ColSnsrErr_Cnt_T_lgc == TRUE)=False || (SpurSnsrErr_Cnt_T_lgc == TRUE)=True)</t>
  </si>
  <si>
    <t>Longest Execution Path: if ((I2CHwDataType_Cnt_T_u08 == D_ERRORREG_CNT_U08) ||(I2CHwDataType_Cnt_T_u08 == D_EXTERRORREG_CNT_U08))=False
if (I2CSensCommFlts_Cnt_T_u08 != 0U)=False  if (ErrorDataReady_Cnt_T_lgc == TRUE)=False else if((ParityOrCommFault_Cnt_T_lgc == TRUE)||
 (ColSnsrErr_Cnt_T_lgc == TRUE) ||(SpurSnsrErr_Cnt_T_lgc == TRUE))=False  if ((ErrorDataReady_Cnt_T_lgc == TRUE) &amp;&amp;(ParityOrCommFault_Cnt_T_lgc == FALSE) &amp;&amp;(ColSnsrErr_Cnt_T_lgc == TRUE))=False  if ((ErrorDataReady_Cnt_T_lgc == TRUE) &amp;&amp; (ParityOrCommFault_Cnt_T_lgc == FALSE) &amp;&amp; (SpurSnsrErr_Cnt_T_lgc == TRUE))=False</t>
  </si>
  <si>
    <t>Shortest Execution Path: if ((I2CHwDataType_Cnt_T_u08 == D_ERRORREG_CNT_U08) ||(I2CHwDataType_Cnt_T_u08 == D_EXTERRORREG_CNT_U08)=True)
if (I2CSensCommFlts_Cnt_T_u08 != 0U)=True  if (ErrorDataReady_Cnt_T_lgc == TRUE)= True  if ((ErrorDataReady_Cnt_T_lgc == TRUE) =true &amp;&amp;(ParityOrCommFault_Cnt_T_lgc == FALSE)=False &amp;&amp;(ColSnsrErr_Cnt_T_lgc == TRUE)) if ((ErrorDataReady_Cnt_T_lgc == TRUE)=True &amp;&amp; (ParityOrCommFault_Cnt_T_lgc == FALSE)=False &amp;&amp; (SpurSnsrErr_Cnt_T_lgc == TRUE))=False</t>
  </si>
  <si>
    <t>if (DigColPs_I2CHwTrimTransCnts_Uls_M_u08 &gt; 0U)=True
 ((VernCorrDetect_Cnt_T_lgc == TRUE) ||
  (SkipStepFltDetect_Cnt_T_lgc == TRUE) ||
  (DigColPs_VernierAngleOORange_Cnt_M_lgc == TRUE))=True</t>
  </si>
  <si>
    <t xml:space="preserve"> ((VernCorrDetect_Cnt_T_lgc == TRUE)=False ||
  (SkipStepFltDetect_Cnt_T_lgc == TRUE)=False ||
  (DigColPs_VernierAngleOORange_Cnt_M_lgc == TRUE)=True)</t>
  </si>
  <si>
    <t xml:space="preserve"> ((VernCorrDetect_Cnt_T_lgc == TRUE)=False ||
  (SkipStepFltDetect_Cnt_T_lgc == TRUE) =True||
  (DigColPs_VernierAngleOORange_Cnt_M_lgc == TRUE))</t>
  </si>
  <si>
    <t>if ((DigColPs_VernCorrDetectAcc_Cnt_M_u16 == 0U) &amp;&amp; (DigColPs_SkipStepFltDetectAcc_Cnt_M_u16 == 0U))=False</t>
  </si>
  <si>
    <t>if (DigColPs_I2CHwTrimTransCnts_Uls_M_u08 &gt; 0U)=False
 ((VernCorrDetect_Cnt_T_lgc == TRUE) || (SkipStepFltDetect_Cnt_T_lgc == TRUE) ||
  (DigColPs_VernierAngleOORange_Cnt_M_lgc == TRUE))=False
if ((DigColPs_VernCorrDetectAcc_Cnt_M_u16 == 0U) &amp;&amp; (DigColPs_SkipStepFltDetectAcc_Cnt_M_u16 == 0U))=True</t>
  </si>
  <si>
    <t>if ((DigColPs_VernCorrDetectAcc_Cnt_M_u16 == 0U) =True &amp;&amp; (DigColPs_SkipStepFltDetectAcc_Cnt_M_u16 == 0U)=False)</t>
  </si>
  <si>
    <t>Longest Execution Path: if (DigColPs_I2CHwTrimTransCnts_Uls_M_u08 &gt; 0U)=False ((VernCorrDetect_Cnt_T_lgc == TRUE) ||
  (SkipStepFltDetect_Cnt_T_lgc == TRUE) ||(DigColPs_VernierAngleOORange_Cnt_M_lgc == TRUE))=False  if ((DigColPs_VernCorrDetectAcc_Cnt_M_u16 == 0U) &amp;&amp; (DigColPs_SkipStepFltDetectAcc_Cnt_M_u16 == 0U))=False</t>
  </si>
  <si>
    <t>Shortest Execution Path: if (DigColPs_I2CHwTrimTransCnts_Uls_M_u08 &gt; 0U)=True
((VernCorrDetect_Cnt_T_lgc == TRUE) ||(SkipStepFltDetect_Cnt_T_lgc == TRUE) || (DigColPs_VernierAngleOORange_Cnt_M_lgc == TRUE))=True</t>
  </si>
  <si>
    <t>EA3#13</t>
  </si>
  <si>
    <t>100 ms</t>
  </si>
  <si>
    <t xml:space="preserve">Snapshot of low path coverage is present in SVN @below location:
https://kchjsvni01.kpit.com/svn/R0011924/NEXTEER/UNIT_TESTING/Work_Packets/EA3_0_2016/DigColPs_ES20D/DigColPs_ES20D_016.0_NoUTP/DigColPs/Task_4102_EA3_UTP_DigColPs_ES20D_016.0_NoUTP_C1xx 
UncoveredPath_DigColPos_Per1.png </t>
  </si>
  <si>
    <t>ES20D_017.0_NoUTP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</si>
</sst>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Segoe UI"/>
      <family val="2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color theme="1"/>
      <name val="Trebuchet MS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9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6" fillId="0" borderId="0"/>
  </cellStyleXfs>
  <cellXfs count="28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3" fillId="10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9" fillId="0" borderId="23" xfId="0" applyNumberFormat="1" applyFont="1" applyFill="1" applyBorder="1" applyAlignment="1" applyProtection="1">
      <alignment horizontal="center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 wrapText="1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0" fillId="2" borderId="11" xfId="0" applyNumberFormat="1" applyFont="1" applyFill="1" applyBorder="1" applyAlignment="1" applyProtection="1">
      <alignment horizontal="center" wrapText="1"/>
      <protection locked="0"/>
    </xf>
    <xf numFmtId="0" fontId="10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10" borderId="11" xfId="0" applyNumberFormat="1" applyFont="1" applyFill="1" applyBorder="1" applyAlignment="1" applyProtection="1">
      <alignment horizontal="center" textRotation="180"/>
      <protection locked="0"/>
    </xf>
    <xf numFmtId="0" fontId="10" fillId="11" borderId="11" xfId="0" applyNumberFormat="1" applyFont="1" applyFill="1" applyBorder="1" applyAlignment="1" applyProtection="1">
      <alignment horizontal="center" textRotation="180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0" fillId="0" borderId="0" xfId="0" applyAlignment="1">
      <alignment horizontal="left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10" fillId="9" borderId="11" xfId="0" applyNumberFormat="1" applyFont="1" applyFill="1" applyBorder="1" applyAlignment="1" applyProtection="1">
      <alignment horizontal="center" textRotation="180"/>
      <protection locked="0"/>
    </xf>
    <xf numFmtId="0" fontId="19" fillId="0" borderId="0" xfId="0" applyFont="1"/>
    <xf numFmtId="0" fontId="13" fillId="12" borderId="25" xfId="0" applyNumberFormat="1" applyFont="1" applyFill="1" applyBorder="1" applyAlignment="1">
      <alignment horizontal="center"/>
    </xf>
    <xf numFmtId="0" fontId="13" fillId="12" borderId="11" xfId="0" applyNumberFormat="1" applyFont="1" applyFill="1" applyBorder="1" applyAlignment="1">
      <alignment horizontal="center"/>
    </xf>
    <xf numFmtId="0" fontId="20" fillId="2" borderId="21" xfId="0" applyFont="1" applyFill="1" applyBorder="1" applyAlignment="1">
      <alignment horizontal="center" vertical="top"/>
    </xf>
    <xf numFmtId="0" fontId="20" fillId="2" borderId="37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horizontal="left" wrapText="1"/>
    </xf>
    <xf numFmtId="0" fontId="13" fillId="12" borderId="11" xfId="0" applyNumberFormat="1" applyFont="1" applyFill="1" applyBorder="1" applyAlignment="1">
      <alignment horizontal="center" textRotation="180" wrapText="1"/>
    </xf>
    <xf numFmtId="0" fontId="10" fillId="12" borderId="11" xfId="0" applyNumberFormat="1" applyFont="1" applyFill="1" applyBorder="1" applyAlignment="1">
      <alignment horizontal="center" textRotation="180"/>
    </xf>
    <xf numFmtId="0" fontId="0" fillId="8" borderId="38" xfId="0" applyNumberFormat="1" applyFill="1" applyBorder="1" applyAlignment="1">
      <alignment horizontal="center"/>
    </xf>
    <xf numFmtId="0" fontId="1" fillId="12" borderId="39" xfId="0" applyNumberFormat="1" applyFont="1" applyFill="1" applyBorder="1" applyAlignment="1">
      <alignment horizontal="center"/>
    </xf>
    <xf numFmtId="0" fontId="0" fillId="0" borderId="39" xfId="0" applyNumberFormat="1" applyFill="1" applyBorder="1" applyAlignment="1">
      <alignment horizontal="center"/>
    </xf>
    <xf numFmtId="0" fontId="0" fillId="0" borderId="40" xfId="0" applyNumberFormat="1" applyFill="1" applyBorder="1" applyAlignment="1">
      <alignment horizontal="center"/>
    </xf>
    <xf numFmtId="0" fontId="0" fillId="14" borderId="11" xfId="0" applyNumberFormat="1" applyFill="1" applyBorder="1" applyAlignment="1" applyProtection="1">
      <alignment horizontal="center"/>
      <protection locked="0"/>
    </xf>
    <xf numFmtId="0" fontId="0" fillId="14" borderId="23" xfId="0" applyNumberFormat="1" applyFill="1" applyBorder="1" applyAlignment="1" applyProtection="1">
      <alignment horizontal="center"/>
      <protection locked="0"/>
    </xf>
    <xf numFmtId="0" fontId="13" fillId="12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center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9" fillId="0" borderId="23" xfId="0" quotePrefix="1" applyNumberFormat="1" applyFont="1" applyFill="1" applyBorder="1" applyAlignment="1" applyProtection="1">
      <alignment horizontal="center"/>
      <protection locked="0"/>
    </xf>
    <xf numFmtId="0" fontId="0" fillId="16" borderId="11" xfId="0" applyFill="1" applyBorder="1"/>
    <xf numFmtId="0" fontId="0" fillId="17" borderId="11" xfId="0" applyFill="1" applyBorder="1"/>
    <xf numFmtId="0" fontId="24" fillId="16" borderId="11" xfId="0" applyFont="1" applyFill="1" applyBorder="1" applyAlignment="1">
      <alignment horizontal="right"/>
    </xf>
    <xf numFmtId="14" fontId="24" fillId="16" borderId="11" xfId="0" applyNumberFormat="1" applyFont="1" applyFill="1" applyBorder="1"/>
    <xf numFmtId="0" fontId="0" fillId="19" borderId="11" xfId="0" applyFill="1" applyBorder="1"/>
    <xf numFmtId="0" fontId="0" fillId="21" borderId="11" xfId="0" applyFill="1" applyBorder="1"/>
    <xf numFmtId="0" fontId="0" fillId="21" borderId="11" xfId="0" applyFill="1" applyBorder="1" applyAlignment="1">
      <alignment horizontal="left"/>
    </xf>
    <xf numFmtId="0" fontId="0" fillId="21" borderId="11" xfId="0" applyFill="1" applyBorder="1" applyAlignment="1">
      <alignment horizontal="left" vertical="top"/>
    </xf>
    <xf numFmtId="9" fontId="0" fillId="21" borderId="11" xfId="0" applyNumberFormat="1" applyFill="1" applyBorder="1" applyAlignment="1">
      <alignment horizontal="left"/>
    </xf>
    <xf numFmtId="0" fontId="1" fillId="22" borderId="11" xfId="0" applyFont="1" applyFill="1" applyBorder="1"/>
    <xf numFmtId="0" fontId="0" fillId="23" borderId="5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3" borderId="20" xfId="0" applyFill="1" applyBorder="1"/>
    <xf numFmtId="0" fontId="0" fillId="23" borderId="19" xfId="0" applyFill="1" applyBorder="1"/>
    <xf numFmtId="0" fontId="0" fillId="0" borderId="25" xfId="0" applyBorder="1" applyAlignment="1">
      <alignment horizontal="center" vertical="center"/>
    </xf>
    <xf numFmtId="0" fontId="0" fillId="23" borderId="22" xfId="0" applyFill="1" applyBorder="1"/>
    <xf numFmtId="0" fontId="0" fillId="18" borderId="20" xfId="0" applyFill="1" applyBorder="1"/>
    <xf numFmtId="0" fontId="1" fillId="18" borderId="21" xfId="0" applyFont="1" applyFill="1" applyBorder="1"/>
    <xf numFmtId="0" fontId="0" fillId="0" borderId="11" xfId="0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0" fillId="0" borderId="0" xfId="0" applyFont="1"/>
    <xf numFmtId="0" fontId="16" fillId="0" borderId="21" xfId="0" applyFont="1" applyFill="1" applyBorder="1" applyAlignment="1">
      <alignment horizontal="center" vertical="center"/>
    </xf>
    <xf numFmtId="0" fontId="16" fillId="0" borderId="23" xfId="0" applyFont="1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5" borderId="0" xfId="0" applyFill="1" applyBorder="1"/>
    <xf numFmtId="0" fontId="16" fillId="15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1" fillId="18" borderId="24" xfId="0" applyFont="1" applyFill="1" applyBorder="1"/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24" borderId="24" xfId="0" applyFill="1" applyBorder="1" applyAlignment="1">
      <alignment horizontal="center" vertical="center"/>
    </xf>
    <xf numFmtId="0" fontId="0" fillId="24" borderId="26" xfId="0" applyFill="1" applyBorder="1" applyAlignment="1">
      <alignment horizontal="center" vertical="center"/>
    </xf>
    <xf numFmtId="0" fontId="0" fillId="24" borderId="21" xfId="0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  <xf numFmtId="0" fontId="0" fillId="0" borderId="11" xfId="0" applyNumberFormat="1" applyFill="1" applyBorder="1" applyAlignment="1" applyProtection="1">
      <alignment horizontal="left" vertical="top" wrapText="1"/>
      <protection locked="0"/>
    </xf>
    <xf numFmtId="0" fontId="0" fillId="0" borderId="23" xfId="0" applyNumberFormat="1" applyFill="1" applyBorder="1" applyAlignment="1" applyProtection="1">
      <alignment horizontal="left" vertical="top" wrapText="1"/>
      <protection locked="0"/>
    </xf>
    <xf numFmtId="0" fontId="0" fillId="0" borderId="11" xfId="0" applyNumberFormat="1" applyFill="1" applyBorder="1" applyAlignment="1" applyProtection="1">
      <alignment horizontal="left" vertical="top"/>
      <protection locked="0"/>
    </xf>
    <xf numFmtId="0" fontId="0" fillId="0" borderId="23" xfId="0" applyNumberFormat="1" applyFill="1" applyBorder="1" applyAlignment="1" applyProtection="1">
      <alignment horizontal="left" vertical="top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57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3" fillId="4" borderId="73" xfId="0" applyFont="1" applyFill="1" applyBorder="1" applyAlignment="1">
      <alignment horizontal="center" vertic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5" fillId="15" borderId="18" xfId="0" applyFont="1" applyFill="1" applyBorder="1" applyAlignment="1" applyProtection="1">
      <alignment horizontal="center" vertical="center"/>
      <protection locked="0"/>
    </xf>
    <xf numFmtId="0" fontId="5" fillId="1" borderId="77" xfId="0" applyFont="1" applyFill="1" applyBorder="1" applyAlignment="1" applyProtection="1">
      <alignment horizontal="center" vertical="center"/>
      <protection locked="0"/>
    </xf>
    <xf numFmtId="0" fontId="25" fillId="0" borderId="0" xfId="0" applyFont="1"/>
    <xf numFmtId="0" fontId="25" fillId="0" borderId="0" xfId="0" applyFont="1" applyAlignment="1">
      <alignment horizontal="left" vertical="top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0" fontId="5" fillId="15" borderId="13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3" fillId="4" borderId="80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3" fillId="4" borderId="82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21" fillId="0" borderId="11" xfId="0" applyFont="1" applyBorder="1" applyAlignment="1">
      <alignment horizontal="left" vertical="top"/>
    </xf>
    <xf numFmtId="0" fontId="21" fillId="0" borderId="11" xfId="0" applyFont="1" applyBorder="1" applyAlignment="1">
      <alignment horizontal="left" vertical="top" wrapText="1"/>
    </xf>
    <xf numFmtId="0" fontId="0" fillId="0" borderId="0" xfId="0" quotePrefix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83" xfId="0" applyFont="1" applyFill="1" applyBorder="1" applyAlignment="1">
      <alignment horizontal="center" vertical="center"/>
    </xf>
    <xf numFmtId="0" fontId="3" fillId="4" borderId="84" xfId="0" applyFont="1" applyFill="1" applyBorder="1" applyAlignment="1">
      <alignment horizontal="center" vertical="center"/>
    </xf>
    <xf numFmtId="0" fontId="3" fillId="4" borderId="85" xfId="0" applyFont="1" applyFill="1" applyBorder="1" applyAlignment="1">
      <alignment horizontal="center" vertical="center"/>
    </xf>
    <xf numFmtId="0" fontId="3" fillId="4" borderId="86" xfId="0" applyFont="1" applyFill="1" applyBorder="1" applyAlignment="1">
      <alignment horizontal="center" vertical="center"/>
    </xf>
    <xf numFmtId="0" fontId="3" fillId="4" borderId="87" xfId="0" applyFont="1" applyFill="1" applyBorder="1" applyAlignment="1">
      <alignment horizontal="center" vertical="center"/>
    </xf>
    <xf numFmtId="0" fontId="3" fillId="4" borderId="88" xfId="0" applyFont="1" applyFill="1" applyBorder="1" applyAlignment="1">
      <alignment horizontal="center" vertical="center"/>
    </xf>
    <xf numFmtId="0" fontId="3" fillId="4" borderId="89" xfId="0" applyFont="1" applyFill="1" applyBorder="1" applyAlignment="1">
      <alignment horizontal="center" vertical="center"/>
    </xf>
    <xf numFmtId="0" fontId="3" fillId="4" borderId="90" xfId="0" applyFont="1" applyFill="1" applyBorder="1" applyAlignment="1">
      <alignment horizontal="center" vertical="center"/>
    </xf>
    <xf numFmtId="0" fontId="3" fillId="4" borderId="91" xfId="0" applyFont="1" applyFill="1" applyBorder="1" applyAlignment="1">
      <alignment horizontal="center" vertical="center"/>
    </xf>
    <xf numFmtId="0" fontId="3" fillId="4" borderId="92" xfId="0" applyFont="1" applyFill="1" applyBorder="1" applyAlignment="1">
      <alignment horizontal="center" vertical="center"/>
    </xf>
    <xf numFmtId="0" fontId="9" fillId="15" borderId="11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1" fillId="8" borderId="20" xfId="1" quotePrefix="1" applyNumberFormat="1" applyFont="1" applyFill="1" applyBorder="1" applyAlignment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0" fillId="0" borderId="11" xfId="0" applyBorder="1" applyAlignment="1">
      <alignment horizontal="left" wrapText="1"/>
    </xf>
    <xf numFmtId="0" fontId="0" fillId="19" borderId="11" xfId="0" applyFill="1" applyBorder="1" applyAlignment="1">
      <alignment horizontal="left"/>
    </xf>
    <xf numFmtId="0" fontId="0" fillId="20" borderId="11" xfId="0" applyFill="1" applyBorder="1" applyAlignment="1">
      <alignment horizontal="center" vertical="center"/>
    </xf>
    <xf numFmtId="0" fontId="0" fillId="23" borderId="20" xfId="0" applyFill="1" applyBorder="1" applyAlignment="1">
      <alignment horizontal="center" vertical="center"/>
    </xf>
    <xf numFmtId="0" fontId="0" fillId="23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1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14</xdr:row>
          <xdr:rowOff>171450</xdr:rowOff>
        </xdr:from>
        <xdr:to>
          <xdr:col>3</xdr:col>
          <xdr:colOff>466725</xdr:colOff>
          <xdr:row>17</xdr:row>
          <xdr:rowOff>114300</xdr:rowOff>
        </xdr:to>
        <xdr:sp macro="" textlink="">
          <xdr:nvSpPr>
            <xdr:cNvPr id="72711" name="Object 7" hidden="1">
              <a:extLst>
                <a:ext uri="{63B3BB69-23CF-44E3-9099-C40C66FF867C}">
                  <a14:compatExt spid="_x0000_s72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8</xdr:row>
          <xdr:rowOff>180975</xdr:rowOff>
        </xdr:from>
        <xdr:to>
          <xdr:col>3</xdr:col>
          <xdr:colOff>285750</xdr:colOff>
          <xdr:row>11</xdr:row>
          <xdr:rowOff>123825</xdr:rowOff>
        </xdr:to>
        <xdr:sp macro="" textlink="">
          <xdr:nvSpPr>
            <xdr:cNvPr id="72712" name="Object 8" hidden="1">
              <a:extLst>
                <a:ext uri="{63B3BB69-23CF-44E3-9099-C40C66FF867C}">
                  <a14:compatExt spid="_x0000_s72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nergy_Work_Area\CBD_DigColPos_I2C\DigColPos_I2C\utp\Tessy\report\DigColPosSnsr_I2C_kom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DigColPs_Init1"/>
      <sheetName val="DigColPs_Init1() P"/>
      <sheetName val="DigColPs_Init1() B"/>
      <sheetName val="Test Vector Description"/>
      <sheetName val="ConstrainOneRev"/>
      <sheetName val="ConstrainOneRev() p"/>
      <sheetName val="ConstrainOneRev() b"/>
      <sheetName val="ComputeRoughTurns"/>
      <sheetName val="ComputeRoughTurns() p"/>
      <sheetName val="ComputeRoughTurns() b"/>
      <sheetName val="DigColPs_SCom_ClearTrim"/>
      <sheetName val="DigColPs_SCom_ClearTrim() p"/>
      <sheetName val="OddParityFault"/>
      <sheetName val="OddParityFault() b"/>
      <sheetName val="OddParityFault() p"/>
      <sheetName val="DigColPs_SCom_SetTrim"/>
      <sheetName val="DigColPs_SCom_SetTrim() b"/>
      <sheetName val="DigColPs_SCom_SetTrim() p"/>
      <sheetName val="DigColPosSnsr_SCom_SetTrim() b"/>
      <sheetName val="DigColPosSnsr_SCom_SetTrim() p"/>
      <sheetName val="VernierLookup"/>
      <sheetName val="VernierLookup() B"/>
      <sheetName val="DigColPs_Per1"/>
      <sheetName val="DigColPs_Per1() p"/>
      <sheetName val="DigColPs_Per1() b"/>
      <sheetName val="VernierLookup() P"/>
      <sheetName val="DigColPosSnsr_Per1() p"/>
      <sheetName val="DigColPosSnsr_Per1() b"/>
      <sheetName val="DiagnosticThreshold"/>
      <sheetName val="DiagnosticThreshold() p"/>
      <sheetName val="DiagnosticThreshold() b"/>
      <sheetName val="DigColPs_Per2"/>
      <sheetName val="DigColPs_Per2() p"/>
      <sheetName val="DigColPs_Per2() b"/>
      <sheetName val="DigColPosSnsr_Per2() p"/>
      <sheetName val="DigColPosSnsr_Per2() b"/>
    </sheetNames>
    <sheetDataSet>
      <sheetData sheetId="0" refreshError="1"/>
      <sheetData sheetId="1">
        <row r="13">
          <cell r="B13" t="str">
            <v>DigColPs_Init1</v>
          </cell>
        </row>
        <row r="14">
          <cell r="B14" t="str">
            <v>DigColPs_Per1</v>
          </cell>
        </row>
        <row r="15">
          <cell r="B15" t="str">
            <v>DigColPs_Per2</v>
          </cell>
        </row>
        <row r="16">
          <cell r="B16" t="str">
            <v>DigColPs_SCom_ClearTrim</v>
          </cell>
        </row>
        <row r="17">
          <cell r="B17" t="str">
            <v>DigColPs_SCom_SetTrim</v>
          </cell>
        </row>
        <row r="18">
          <cell r="B18" t="str">
            <v>OddParityFault</v>
          </cell>
        </row>
        <row r="19">
          <cell r="B19" t="str">
            <v>DiagnosticThreshold</v>
          </cell>
        </row>
        <row r="20">
          <cell r="B20" t="str">
            <v>VernierLookup</v>
          </cell>
        </row>
        <row r="21">
          <cell r="B21" t="str">
            <v>ComputeRoughTurns</v>
          </cell>
        </row>
        <row r="22">
          <cell r="B22" t="str">
            <v>ConstrainOneRev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09"/>
  <sheetViews>
    <sheetView tabSelected="1" workbookViewId="0"/>
  </sheetViews>
  <sheetFormatPr defaultRowHeight="15" x14ac:dyDescent="0.25"/>
  <cols>
    <col min="1" max="1" width="32.5703125" bestFit="1" customWidth="1"/>
    <col min="2" max="2" width="80.8554687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253" t="s">
        <v>0</v>
      </c>
      <c r="B5" s="253"/>
      <c r="C5" s="253"/>
      <c r="D5" s="253"/>
      <c r="E5" s="253"/>
    </row>
    <row r="6" spans="1:5" x14ac:dyDescent="0.25">
      <c r="A6" s="1"/>
      <c r="B6" s="1"/>
      <c r="C6" s="1"/>
      <c r="D6" s="1"/>
      <c r="E6" s="1"/>
    </row>
    <row r="7" spans="1:5" x14ac:dyDescent="0.25">
      <c r="A7" s="254" t="s">
        <v>346</v>
      </c>
      <c r="B7" s="254"/>
      <c r="C7" s="254"/>
      <c r="D7" s="254"/>
      <c r="E7" s="25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884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318</v>
      </c>
      <c r="C11" s="1"/>
      <c r="D11" s="5"/>
      <c r="E11" s="1"/>
    </row>
    <row r="12" spans="1:5" ht="15.75" x14ac:dyDescent="0.3">
      <c r="A12" s="4" t="s">
        <v>4</v>
      </c>
      <c r="B12" s="223" t="s">
        <v>936</v>
      </c>
      <c r="C12" s="1"/>
      <c r="D12" s="5"/>
      <c r="E12" s="1"/>
    </row>
    <row r="13" spans="1:5" x14ac:dyDescent="0.25">
      <c r="A13" s="4" t="s">
        <v>5</v>
      </c>
      <c r="B13" s="3" t="s">
        <v>317</v>
      </c>
      <c r="C13" s="1"/>
      <c r="D13" s="5"/>
      <c r="E13" s="1"/>
    </row>
    <row r="14" spans="1:5" ht="15.75" x14ac:dyDescent="0.3">
      <c r="A14" s="4" t="s">
        <v>6</v>
      </c>
      <c r="B14" s="223" t="s">
        <v>1002</v>
      </c>
      <c r="C14" s="1"/>
      <c r="D14" s="5"/>
      <c r="E14" s="1"/>
    </row>
    <row r="15" spans="1:5" x14ac:dyDescent="0.25">
      <c r="A15" s="4" t="s">
        <v>7</v>
      </c>
      <c r="B15" s="224">
        <v>11</v>
      </c>
      <c r="C15" s="1"/>
      <c r="D15" s="5"/>
      <c r="E15" s="1"/>
    </row>
    <row r="16" spans="1:5" x14ac:dyDescent="0.25">
      <c r="A16" s="4" t="s">
        <v>8</v>
      </c>
      <c r="B16" s="3">
        <v>6</v>
      </c>
      <c r="C16" s="1"/>
      <c r="D16" s="5"/>
      <c r="E16" s="1"/>
    </row>
    <row r="17" spans="1:6" x14ac:dyDescent="0.25">
      <c r="A17" s="4" t="s">
        <v>9</v>
      </c>
      <c r="B17" s="3" t="s">
        <v>49</v>
      </c>
      <c r="C17" s="1"/>
      <c r="D17" s="5"/>
      <c r="E17" s="1"/>
    </row>
    <row r="18" spans="1:6" x14ac:dyDescent="0.25">
      <c r="A18" s="4" t="s">
        <v>10</v>
      </c>
      <c r="B18" s="3" t="s">
        <v>885</v>
      </c>
      <c r="C18" s="1"/>
      <c r="D18" s="5"/>
      <c r="E18" s="1"/>
    </row>
    <row r="19" spans="1:6" x14ac:dyDescent="0.25">
      <c r="A19" s="4" t="s">
        <v>11</v>
      </c>
      <c r="B19" s="3" t="s">
        <v>50</v>
      </c>
      <c r="C19" s="1"/>
      <c r="D19" s="5"/>
      <c r="E19" s="1"/>
    </row>
    <row r="20" spans="1:6" x14ac:dyDescent="0.25">
      <c r="A20" s="4" t="s">
        <v>12</v>
      </c>
      <c r="B20" s="3" t="s">
        <v>559</v>
      </c>
      <c r="C20" s="1"/>
      <c r="D20" s="5"/>
      <c r="E20" s="1"/>
    </row>
    <row r="21" spans="1:6" x14ac:dyDescent="0.25">
      <c r="A21" s="4" t="s">
        <v>347</v>
      </c>
      <c r="B21" s="3">
        <v>4482</v>
      </c>
      <c r="C21" s="1"/>
      <c r="D21" s="5"/>
      <c r="E21" s="1"/>
    </row>
    <row r="22" spans="1:6" x14ac:dyDescent="0.25">
      <c r="A22" s="4" t="s">
        <v>348</v>
      </c>
      <c r="B22" s="84">
        <v>128</v>
      </c>
      <c r="C22" s="1"/>
      <c r="D22" s="5"/>
      <c r="E22" s="1"/>
    </row>
    <row r="23" spans="1:6" x14ac:dyDescent="0.25">
      <c r="A23" s="4" t="s">
        <v>349</v>
      </c>
      <c r="B23" s="84">
        <v>28</v>
      </c>
      <c r="C23" s="1"/>
      <c r="D23" s="5"/>
      <c r="E23" s="1"/>
    </row>
    <row r="24" spans="1:6" x14ac:dyDescent="0.25">
      <c r="A24" s="4" t="s">
        <v>13</v>
      </c>
      <c r="B24" s="3" t="s">
        <v>529</v>
      </c>
      <c r="C24" s="1"/>
      <c r="D24" s="5"/>
      <c r="E24" s="1"/>
    </row>
    <row r="25" spans="1:6" x14ac:dyDescent="0.25">
      <c r="A25" s="4" t="s">
        <v>14</v>
      </c>
      <c r="B25" s="66">
        <v>42566</v>
      </c>
      <c r="C25" s="1"/>
      <c r="D25" s="5"/>
      <c r="E25" s="1"/>
    </row>
    <row r="26" spans="1:6" ht="195" x14ac:dyDescent="0.25">
      <c r="A26" s="4" t="s">
        <v>15</v>
      </c>
      <c r="B26" s="109" t="s">
        <v>935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20" t="s">
        <v>241</v>
      </c>
      <c r="B29" s="20" t="s">
        <v>894</v>
      </c>
      <c r="C29" s="2" t="s">
        <v>159</v>
      </c>
      <c r="D29" s="53" t="s">
        <v>159</v>
      </c>
      <c r="E29" s="1"/>
      <c r="F29" s="54">
        <v>44</v>
      </c>
    </row>
    <row r="30" spans="1:6" x14ac:dyDescent="0.25">
      <c r="A30" s="55">
        <v>4</v>
      </c>
      <c r="B30" s="20" t="s">
        <v>298</v>
      </c>
      <c r="C30" s="2" t="s">
        <v>159</v>
      </c>
      <c r="D30" s="53" t="s">
        <v>159</v>
      </c>
      <c r="E30" s="1"/>
      <c r="F30" s="54">
        <v>4</v>
      </c>
    </row>
    <row r="31" spans="1:6" x14ac:dyDescent="0.25">
      <c r="A31" s="55">
        <v>2</v>
      </c>
      <c r="B31" s="20" t="s">
        <v>353</v>
      </c>
      <c r="C31" s="2" t="s">
        <v>159</v>
      </c>
      <c r="D31" s="53" t="s">
        <v>159</v>
      </c>
      <c r="E31" s="1"/>
      <c r="F31" s="54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64</v>
      </c>
      <c r="B33" s="20" t="s">
        <v>895</v>
      </c>
      <c r="C33" s="2" t="s">
        <v>159</v>
      </c>
      <c r="D33" s="53" t="s">
        <v>159</v>
      </c>
      <c r="E33" s="1"/>
      <c r="F33" s="54">
        <v>5</v>
      </c>
    </row>
    <row r="34" spans="1:6" x14ac:dyDescent="0.25">
      <c r="A34" s="55">
        <v>2</v>
      </c>
      <c r="B34" s="20" t="s">
        <v>354</v>
      </c>
      <c r="C34" s="2" t="s">
        <v>159</v>
      </c>
      <c r="D34" s="53" t="s">
        <v>159</v>
      </c>
      <c r="E34" s="1"/>
      <c r="F34" s="54">
        <v>2</v>
      </c>
    </row>
    <row r="35" spans="1:6" x14ac:dyDescent="0.25">
      <c r="A35" s="55">
        <v>2</v>
      </c>
      <c r="B35" s="20" t="s">
        <v>355</v>
      </c>
      <c r="C35" s="2" t="s">
        <v>159</v>
      </c>
      <c r="D35" s="53" t="s">
        <v>159</v>
      </c>
      <c r="E35" s="1"/>
      <c r="F35" s="54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63</v>
      </c>
      <c r="B37" s="20" t="s">
        <v>896</v>
      </c>
      <c r="C37" s="2" t="s">
        <v>159</v>
      </c>
      <c r="D37" s="53" t="s">
        <v>159</v>
      </c>
      <c r="E37" s="1"/>
      <c r="F37" s="54">
        <v>16</v>
      </c>
    </row>
    <row r="38" spans="1:6" x14ac:dyDescent="0.25">
      <c r="A38" s="55">
        <v>3</v>
      </c>
      <c r="B38" s="20" t="s">
        <v>356</v>
      </c>
      <c r="C38" s="2" t="s">
        <v>159</v>
      </c>
      <c r="D38" s="53" t="s">
        <v>159</v>
      </c>
      <c r="E38" s="1"/>
      <c r="F38" s="54">
        <v>3</v>
      </c>
    </row>
    <row r="39" spans="1:6" x14ac:dyDescent="0.25">
      <c r="A39" s="55">
        <v>2</v>
      </c>
      <c r="B39" s="20" t="s">
        <v>357</v>
      </c>
      <c r="C39" s="2" t="s">
        <v>159</v>
      </c>
      <c r="D39" s="53" t="s">
        <v>159</v>
      </c>
      <c r="E39" s="1"/>
      <c r="F39" s="54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57</v>
      </c>
      <c r="B41" s="20" t="s">
        <v>332</v>
      </c>
      <c r="C41" s="2" t="s">
        <v>159</v>
      </c>
      <c r="D41" s="53" t="s">
        <v>159</v>
      </c>
      <c r="E41" s="1"/>
      <c r="F41" s="54">
        <v>4</v>
      </c>
    </row>
    <row r="42" spans="1:6" x14ac:dyDescent="0.25">
      <c r="A42" s="55">
        <v>3</v>
      </c>
      <c r="B42" s="20" t="s">
        <v>897</v>
      </c>
      <c r="C42" s="2" t="s">
        <v>159</v>
      </c>
      <c r="D42" s="53" t="s">
        <v>159</v>
      </c>
      <c r="E42" s="1"/>
      <c r="F42" s="54">
        <v>3</v>
      </c>
    </row>
    <row r="43" spans="1:6" x14ac:dyDescent="0.25">
      <c r="A43" s="55">
        <v>2</v>
      </c>
      <c r="B43" s="20" t="s">
        <v>358</v>
      </c>
      <c r="C43" s="2" t="s">
        <v>159</v>
      </c>
      <c r="D43" s="53" t="s">
        <v>159</v>
      </c>
      <c r="E43" s="1"/>
      <c r="F43" s="54">
        <v>2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398</v>
      </c>
      <c r="B45" s="20" t="s">
        <v>399</v>
      </c>
      <c r="C45" s="2" t="s">
        <v>159</v>
      </c>
      <c r="D45" s="53" t="s">
        <v>159</v>
      </c>
      <c r="E45" s="1"/>
      <c r="F45" s="54">
        <v>8</v>
      </c>
    </row>
    <row r="46" spans="1:6" x14ac:dyDescent="0.25">
      <c r="A46" s="55">
        <v>21</v>
      </c>
      <c r="B46" s="20" t="s">
        <v>898</v>
      </c>
      <c r="C46" s="2" t="s">
        <v>159</v>
      </c>
      <c r="D46" s="53" t="s">
        <v>159</v>
      </c>
      <c r="E46" s="1"/>
      <c r="F46" s="54">
        <v>21</v>
      </c>
    </row>
    <row r="47" spans="1:6" x14ac:dyDescent="0.25">
      <c r="A47" s="55">
        <v>2</v>
      </c>
      <c r="B47" s="20" t="s">
        <v>400</v>
      </c>
      <c r="C47" s="2" t="s">
        <v>159</v>
      </c>
      <c r="D47" s="53" t="s">
        <v>159</v>
      </c>
      <c r="E47" s="1"/>
      <c r="F47" s="54">
        <v>2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62</v>
      </c>
      <c r="B49" s="20" t="s">
        <v>194</v>
      </c>
      <c r="C49" s="2" t="s">
        <v>159</v>
      </c>
      <c r="D49" s="53" t="s">
        <v>159</v>
      </c>
      <c r="E49" s="1"/>
      <c r="F49" s="54">
        <v>4</v>
      </c>
    </row>
    <row r="50" spans="1:6" x14ac:dyDescent="0.25">
      <c r="A50" s="55">
        <v>9</v>
      </c>
      <c r="B50" s="20" t="s">
        <v>899</v>
      </c>
      <c r="C50" s="2" t="s">
        <v>159</v>
      </c>
      <c r="D50" s="53" t="s">
        <v>159</v>
      </c>
      <c r="E50" s="1"/>
      <c r="F50" s="54">
        <v>9</v>
      </c>
    </row>
    <row r="51" spans="1:6" x14ac:dyDescent="0.25">
      <c r="A51" s="55">
        <v>2</v>
      </c>
      <c r="B51" s="20" t="s">
        <v>359</v>
      </c>
      <c r="C51" s="2" t="s">
        <v>159</v>
      </c>
      <c r="D51" s="53" t="s">
        <v>159</v>
      </c>
      <c r="E51" s="1"/>
      <c r="F51" s="54">
        <v>2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242</v>
      </c>
      <c r="B53" s="20" t="s">
        <v>900</v>
      </c>
      <c r="C53" s="2" t="s">
        <v>159</v>
      </c>
      <c r="D53" s="53" t="s">
        <v>159</v>
      </c>
      <c r="E53" s="1"/>
      <c r="F53" s="54">
        <v>82</v>
      </c>
    </row>
    <row r="54" spans="1:6" x14ac:dyDescent="0.25">
      <c r="A54" s="55">
        <v>8</v>
      </c>
      <c r="B54" s="20" t="s">
        <v>360</v>
      </c>
      <c r="C54" s="2" t="s">
        <v>159</v>
      </c>
      <c r="D54" s="53" t="s">
        <v>159</v>
      </c>
      <c r="E54" s="1"/>
      <c r="F54" s="54">
        <v>8</v>
      </c>
    </row>
    <row r="55" spans="1:6" x14ac:dyDescent="0.25">
      <c r="A55" s="55">
        <v>2</v>
      </c>
      <c r="B55" s="20" t="s">
        <v>361</v>
      </c>
      <c r="C55" s="2" t="s">
        <v>159</v>
      </c>
      <c r="D55" s="53" t="s">
        <v>159</v>
      </c>
      <c r="E55" s="1"/>
      <c r="F55" s="54">
        <v>2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20" t="s">
        <v>60</v>
      </c>
      <c r="B57" s="20" t="s">
        <v>901</v>
      </c>
      <c r="C57" s="2" t="s">
        <v>159</v>
      </c>
      <c r="D57" s="53" t="s">
        <v>159</v>
      </c>
      <c r="E57" s="1"/>
      <c r="F57" s="54">
        <v>16</v>
      </c>
    </row>
    <row r="58" spans="1:6" x14ac:dyDescent="0.25">
      <c r="A58" s="55">
        <v>4</v>
      </c>
      <c r="B58" s="20" t="s">
        <v>331</v>
      </c>
      <c r="C58" s="2" t="s">
        <v>159</v>
      </c>
      <c r="D58" s="53" t="s">
        <v>159</v>
      </c>
      <c r="E58" s="1"/>
      <c r="F58" s="54">
        <v>4</v>
      </c>
    </row>
    <row r="59" spans="1:6" x14ac:dyDescent="0.25">
      <c r="A59" s="55">
        <v>2</v>
      </c>
      <c r="B59" s="20" t="s">
        <v>362</v>
      </c>
      <c r="C59" s="2" t="s">
        <v>159</v>
      </c>
      <c r="D59" s="53" t="s">
        <v>159</v>
      </c>
      <c r="E59" s="1"/>
      <c r="F59" s="54">
        <v>2</v>
      </c>
    </row>
    <row r="60" spans="1:6" x14ac:dyDescent="0.25">
      <c r="A60" s="2"/>
      <c r="B60" s="2"/>
      <c r="C60" s="2"/>
      <c r="D60" s="2"/>
      <c r="E60" s="1"/>
    </row>
    <row r="61" spans="1:6" x14ac:dyDescent="0.25">
      <c r="A61" s="20" t="s">
        <v>401</v>
      </c>
      <c r="B61" s="20" t="s">
        <v>902</v>
      </c>
      <c r="C61" s="2" t="s">
        <v>159</v>
      </c>
      <c r="D61" s="53" t="s">
        <v>159</v>
      </c>
      <c r="E61" s="1"/>
      <c r="F61" s="54">
        <v>1</v>
      </c>
    </row>
    <row r="62" spans="1:6" x14ac:dyDescent="0.25">
      <c r="A62" s="2"/>
      <c r="B62" s="2"/>
      <c r="C62" s="2"/>
      <c r="D62" s="2"/>
      <c r="E62" s="1"/>
    </row>
    <row r="63" spans="1:6" x14ac:dyDescent="0.25">
      <c r="A63" s="20" t="s">
        <v>403</v>
      </c>
      <c r="B63" s="20" t="s">
        <v>903</v>
      </c>
      <c r="C63" s="2" t="s">
        <v>159</v>
      </c>
      <c r="D63" s="53" t="s">
        <v>159</v>
      </c>
      <c r="E63" s="1"/>
      <c r="F63" s="54">
        <v>21</v>
      </c>
    </row>
    <row r="64" spans="1:6" x14ac:dyDescent="0.25">
      <c r="A64" s="55">
        <v>8</v>
      </c>
      <c r="B64" s="20" t="s">
        <v>404</v>
      </c>
      <c r="C64" s="2" t="s">
        <v>159</v>
      </c>
      <c r="D64" s="53" t="s">
        <v>159</v>
      </c>
      <c r="E64" s="1"/>
      <c r="F64" s="54">
        <v>8</v>
      </c>
    </row>
    <row r="65" spans="1:6" x14ac:dyDescent="0.25">
      <c r="A65" s="55">
        <v>2</v>
      </c>
      <c r="B65" s="20" t="s">
        <v>405</v>
      </c>
      <c r="C65" s="2" t="s">
        <v>159</v>
      </c>
      <c r="D65" s="53" t="s">
        <v>159</v>
      </c>
      <c r="E65" s="1"/>
      <c r="F65" s="54">
        <v>2</v>
      </c>
    </row>
    <row r="66" spans="1:6" x14ac:dyDescent="0.25">
      <c r="A66" s="2"/>
      <c r="B66" s="2"/>
      <c r="C66" s="2"/>
      <c r="D66" s="2"/>
      <c r="E66" s="1"/>
    </row>
    <row r="67" spans="1:6" x14ac:dyDescent="0.25">
      <c r="A67" s="20" t="s">
        <v>402</v>
      </c>
      <c r="B67" s="20" t="s">
        <v>904</v>
      </c>
      <c r="C67" s="2" t="s">
        <v>159</v>
      </c>
      <c r="D67" s="53" t="s">
        <v>159</v>
      </c>
      <c r="E67" s="1"/>
      <c r="F67" s="54">
        <v>1</v>
      </c>
    </row>
    <row r="68" spans="1:6" x14ac:dyDescent="0.25">
      <c r="A68" s="2"/>
      <c r="B68" s="2"/>
      <c r="C68" s="2"/>
      <c r="D68" s="2"/>
      <c r="E68" s="1"/>
    </row>
    <row r="69" spans="1:6" x14ac:dyDescent="0.25">
      <c r="A69" s="20" t="s">
        <v>617</v>
      </c>
      <c r="B69" s="20" t="s">
        <v>619</v>
      </c>
      <c r="C69" s="2" t="s">
        <v>159</v>
      </c>
      <c r="D69" s="53" t="s">
        <v>159</v>
      </c>
      <c r="E69" s="1"/>
      <c r="F69" s="54">
        <v>2</v>
      </c>
    </row>
    <row r="70" spans="1:6" x14ac:dyDescent="0.25">
      <c r="A70" s="55">
        <v>3</v>
      </c>
      <c r="B70" s="20" t="s">
        <v>905</v>
      </c>
      <c r="C70" s="2" t="s">
        <v>159</v>
      </c>
      <c r="D70" s="53" t="s">
        <v>159</v>
      </c>
      <c r="E70" s="1"/>
      <c r="F70" s="54">
        <v>3</v>
      </c>
    </row>
    <row r="71" spans="1:6" x14ac:dyDescent="0.25">
      <c r="A71" s="20" t="s">
        <v>617</v>
      </c>
      <c r="B71" s="20" t="s">
        <v>620</v>
      </c>
      <c r="C71" s="2" t="s">
        <v>159</v>
      </c>
      <c r="D71" s="53" t="s">
        <v>159</v>
      </c>
      <c r="E71" s="1"/>
      <c r="F71" s="54">
        <v>2</v>
      </c>
    </row>
    <row r="72" spans="1:6" x14ac:dyDescent="0.25">
      <c r="A72" s="20"/>
      <c r="B72" s="20" t="s">
        <v>620</v>
      </c>
      <c r="C72" s="2" t="s">
        <v>159</v>
      </c>
      <c r="D72" s="53" t="s">
        <v>159</v>
      </c>
      <c r="F72" s="54">
        <v>2</v>
      </c>
    </row>
    <row r="73" spans="1:6" x14ac:dyDescent="0.25">
      <c r="A73" s="20" t="s">
        <v>609</v>
      </c>
      <c r="B73" s="20" t="s">
        <v>906</v>
      </c>
      <c r="C73" s="2" t="s">
        <v>159</v>
      </c>
      <c r="D73" s="53" t="s">
        <v>159</v>
      </c>
      <c r="F73" s="54">
        <v>22</v>
      </c>
    </row>
    <row r="74" spans="1:6" x14ac:dyDescent="0.25">
      <c r="A74" s="20" t="s">
        <v>609</v>
      </c>
      <c r="B74" s="20" t="s">
        <v>705</v>
      </c>
      <c r="C74" s="2" t="s">
        <v>159</v>
      </c>
      <c r="D74" s="53" t="s">
        <v>159</v>
      </c>
      <c r="F74" s="54">
        <v>4</v>
      </c>
    </row>
    <row r="75" spans="1:6" x14ac:dyDescent="0.25">
      <c r="A75" s="20" t="s">
        <v>609</v>
      </c>
      <c r="B75" s="20" t="s">
        <v>706</v>
      </c>
      <c r="C75" s="2" t="s">
        <v>159</v>
      </c>
      <c r="D75" s="53" t="s">
        <v>159</v>
      </c>
      <c r="F75" s="54">
        <v>2</v>
      </c>
    </row>
    <row r="76" spans="1:6" x14ac:dyDescent="0.25">
      <c r="A76" s="2"/>
      <c r="B76" s="20" t="s">
        <v>706</v>
      </c>
      <c r="C76" s="2" t="s">
        <v>159</v>
      </c>
      <c r="D76" s="53" t="s">
        <v>159</v>
      </c>
      <c r="F76" s="54">
        <v>2</v>
      </c>
    </row>
    <row r="77" spans="1:6" x14ac:dyDescent="0.25">
      <c r="A77" s="20" t="s">
        <v>608</v>
      </c>
      <c r="B77" s="20" t="s">
        <v>907</v>
      </c>
      <c r="C77" s="2" t="s">
        <v>159</v>
      </c>
      <c r="D77" s="53" t="s">
        <v>159</v>
      </c>
      <c r="F77" s="54">
        <v>27</v>
      </c>
    </row>
    <row r="78" spans="1:6" x14ac:dyDescent="0.25">
      <c r="A78" s="20" t="s">
        <v>608</v>
      </c>
      <c r="B78" s="20" t="s">
        <v>707</v>
      </c>
      <c r="C78" s="2" t="s">
        <v>159</v>
      </c>
      <c r="D78" s="53" t="s">
        <v>159</v>
      </c>
      <c r="F78" s="54">
        <v>2</v>
      </c>
    </row>
    <row r="79" spans="1:6" x14ac:dyDescent="0.25">
      <c r="A79" s="20" t="s">
        <v>608</v>
      </c>
      <c r="B79" s="20" t="s">
        <v>708</v>
      </c>
      <c r="C79" s="2" t="s">
        <v>159</v>
      </c>
      <c r="D79" s="53" t="s">
        <v>159</v>
      </c>
      <c r="F79" s="54">
        <v>2</v>
      </c>
    </row>
    <row r="80" spans="1:6" x14ac:dyDescent="0.25">
      <c r="A80" s="20" t="s">
        <v>608</v>
      </c>
      <c r="B80" s="20" t="s">
        <v>708</v>
      </c>
      <c r="C80" s="2" t="s">
        <v>159</v>
      </c>
      <c r="D80" s="53" t="s">
        <v>159</v>
      </c>
      <c r="F80" s="54">
        <v>2</v>
      </c>
    </row>
    <row r="81" spans="1:6" x14ac:dyDescent="0.25">
      <c r="A81" s="20" t="s">
        <v>584</v>
      </c>
      <c r="B81" s="20" t="s">
        <v>908</v>
      </c>
      <c r="C81" s="2" t="s">
        <v>159</v>
      </c>
      <c r="D81" s="53" t="s">
        <v>159</v>
      </c>
      <c r="F81" s="54">
        <v>17</v>
      </c>
    </row>
    <row r="82" spans="1:6" x14ac:dyDescent="0.25">
      <c r="A82" s="20" t="s">
        <v>584</v>
      </c>
      <c r="B82" s="20" t="s">
        <v>709</v>
      </c>
      <c r="C82" s="2" t="s">
        <v>159</v>
      </c>
      <c r="D82" s="53" t="s">
        <v>159</v>
      </c>
      <c r="F82" s="54">
        <v>6</v>
      </c>
    </row>
    <row r="83" spans="1:6" x14ac:dyDescent="0.25">
      <c r="A83" s="20" t="s">
        <v>584</v>
      </c>
      <c r="B83" s="20" t="s">
        <v>710</v>
      </c>
      <c r="C83" s="2" t="s">
        <v>159</v>
      </c>
      <c r="D83" s="53" t="s">
        <v>159</v>
      </c>
      <c r="F83" s="54">
        <v>2</v>
      </c>
    </row>
    <row r="84" spans="1:6" x14ac:dyDescent="0.25">
      <c r="A84" s="20" t="s">
        <v>584</v>
      </c>
      <c r="B84" s="20" t="s">
        <v>710</v>
      </c>
      <c r="C84" s="2" t="s">
        <v>159</v>
      </c>
      <c r="D84" s="53" t="s">
        <v>159</v>
      </c>
      <c r="F84" s="54">
        <v>2</v>
      </c>
    </row>
    <row r="85" spans="1:6" x14ac:dyDescent="0.25">
      <c r="A85" s="20" t="s">
        <v>583</v>
      </c>
      <c r="B85" s="20" t="s">
        <v>909</v>
      </c>
      <c r="C85" s="2" t="s">
        <v>159</v>
      </c>
      <c r="D85" s="53" t="s">
        <v>159</v>
      </c>
      <c r="F85" s="54">
        <v>18</v>
      </c>
    </row>
    <row r="86" spans="1:6" x14ac:dyDescent="0.25">
      <c r="A86" s="20" t="s">
        <v>583</v>
      </c>
      <c r="B86" s="20" t="s">
        <v>711</v>
      </c>
      <c r="C86" s="2" t="s">
        <v>159</v>
      </c>
      <c r="D86" s="53" t="s">
        <v>159</v>
      </c>
      <c r="F86" s="54">
        <v>8</v>
      </c>
    </row>
    <row r="87" spans="1:6" x14ac:dyDescent="0.25">
      <c r="A87" s="20" t="s">
        <v>583</v>
      </c>
      <c r="B87" s="20" t="s">
        <v>712</v>
      </c>
      <c r="C87" s="2" t="s">
        <v>159</v>
      </c>
      <c r="D87" s="53" t="s">
        <v>159</v>
      </c>
      <c r="F87" s="54">
        <v>2</v>
      </c>
    </row>
    <row r="88" spans="1:6" x14ac:dyDescent="0.25">
      <c r="A88" s="20" t="s">
        <v>583</v>
      </c>
      <c r="B88" s="20" t="s">
        <v>712</v>
      </c>
      <c r="C88" s="2" t="s">
        <v>159</v>
      </c>
      <c r="D88" s="53" t="s">
        <v>159</v>
      </c>
      <c r="F88" s="54">
        <v>2</v>
      </c>
    </row>
    <row r="89" spans="1:6" x14ac:dyDescent="0.25">
      <c r="A89" s="20" t="s">
        <v>582</v>
      </c>
      <c r="B89" s="20" t="s">
        <v>910</v>
      </c>
      <c r="C89" s="2" t="s">
        <v>159</v>
      </c>
      <c r="D89" s="53" t="s">
        <v>159</v>
      </c>
      <c r="F89" s="54">
        <v>11</v>
      </c>
    </row>
    <row r="90" spans="1:6" x14ac:dyDescent="0.25">
      <c r="A90" s="20" t="s">
        <v>582</v>
      </c>
      <c r="B90" s="20" t="s">
        <v>714</v>
      </c>
      <c r="C90" s="2" t="s">
        <v>159</v>
      </c>
      <c r="D90" s="53" t="s">
        <v>159</v>
      </c>
      <c r="F90" s="54">
        <v>3</v>
      </c>
    </row>
    <row r="91" spans="1:6" x14ac:dyDescent="0.25">
      <c r="A91" s="20" t="s">
        <v>582</v>
      </c>
      <c r="B91" s="20" t="s">
        <v>715</v>
      </c>
      <c r="C91" s="2" t="s">
        <v>159</v>
      </c>
      <c r="D91" s="53" t="s">
        <v>159</v>
      </c>
      <c r="F91" s="54">
        <v>2</v>
      </c>
    </row>
    <row r="92" spans="1:6" x14ac:dyDescent="0.25">
      <c r="A92" s="20" t="s">
        <v>581</v>
      </c>
      <c r="B92" s="20" t="s">
        <v>715</v>
      </c>
      <c r="C92" s="2" t="s">
        <v>159</v>
      </c>
      <c r="D92" s="53" t="s">
        <v>159</v>
      </c>
      <c r="F92" s="54">
        <v>2</v>
      </c>
    </row>
    <row r="93" spans="1:6" x14ac:dyDescent="0.25">
      <c r="A93" s="20" t="s">
        <v>581</v>
      </c>
      <c r="B93" s="20" t="s">
        <v>719</v>
      </c>
      <c r="C93" s="2" t="s">
        <v>159</v>
      </c>
      <c r="D93" s="53" t="s">
        <v>159</v>
      </c>
      <c r="F93" s="54">
        <v>7</v>
      </c>
    </row>
    <row r="94" spans="1:6" x14ac:dyDescent="0.25">
      <c r="A94" s="20" t="s">
        <v>581</v>
      </c>
      <c r="B94" s="20" t="s">
        <v>720</v>
      </c>
      <c r="C94" s="2" t="s">
        <v>159</v>
      </c>
      <c r="D94" s="53" t="s">
        <v>159</v>
      </c>
      <c r="F94" s="54">
        <v>3</v>
      </c>
    </row>
    <row r="95" spans="1:6" x14ac:dyDescent="0.25">
      <c r="A95" s="20" t="s">
        <v>581</v>
      </c>
      <c r="B95" s="20" t="s">
        <v>721</v>
      </c>
      <c r="C95" s="2" t="s">
        <v>159</v>
      </c>
      <c r="D95" s="53" t="s">
        <v>159</v>
      </c>
      <c r="F95" s="54">
        <v>2</v>
      </c>
    </row>
    <row r="96" spans="1:6" x14ac:dyDescent="0.25">
      <c r="A96" s="20" t="s">
        <v>577</v>
      </c>
      <c r="B96" s="20" t="s">
        <v>721</v>
      </c>
      <c r="C96" s="2" t="s">
        <v>159</v>
      </c>
      <c r="D96" s="53" t="s">
        <v>159</v>
      </c>
      <c r="F96" s="54">
        <v>2</v>
      </c>
    </row>
    <row r="97" spans="1:6" x14ac:dyDescent="0.25">
      <c r="A97" s="20" t="s">
        <v>577</v>
      </c>
      <c r="B97" s="20" t="s">
        <v>911</v>
      </c>
      <c r="C97" s="2" t="s">
        <v>159</v>
      </c>
      <c r="D97" s="53" t="s">
        <v>159</v>
      </c>
      <c r="F97" s="54">
        <v>8</v>
      </c>
    </row>
    <row r="98" spans="1:6" x14ac:dyDescent="0.25">
      <c r="A98" s="20" t="s">
        <v>577</v>
      </c>
      <c r="B98" s="20" t="s">
        <v>716</v>
      </c>
      <c r="C98" s="2" t="s">
        <v>159</v>
      </c>
      <c r="D98" s="53" t="s">
        <v>159</v>
      </c>
      <c r="F98" s="54">
        <v>2</v>
      </c>
    </row>
    <row r="99" spans="1:6" x14ac:dyDescent="0.25">
      <c r="A99" s="20" t="s">
        <v>577</v>
      </c>
      <c r="B99" s="20" t="s">
        <v>717</v>
      </c>
      <c r="C99" s="2" t="s">
        <v>159</v>
      </c>
      <c r="D99" s="53" t="s">
        <v>159</v>
      </c>
      <c r="F99" s="54">
        <v>2</v>
      </c>
    </row>
    <row r="100" spans="1:6" x14ac:dyDescent="0.25">
      <c r="A100" s="2"/>
      <c r="B100" s="20" t="s">
        <v>717</v>
      </c>
      <c r="C100" s="2" t="s">
        <v>159</v>
      </c>
      <c r="D100" s="53" t="s">
        <v>159</v>
      </c>
      <c r="F100" s="54">
        <v>2</v>
      </c>
    </row>
    <row r="101" spans="1:6" x14ac:dyDescent="0.25">
      <c r="A101" s="20" t="s">
        <v>270</v>
      </c>
      <c r="B101" s="20" t="s">
        <v>912</v>
      </c>
      <c r="C101" s="2" t="s">
        <v>159</v>
      </c>
      <c r="D101" s="53" t="s">
        <v>159</v>
      </c>
      <c r="F101" s="54">
        <v>85</v>
      </c>
    </row>
    <row r="102" spans="1:6" x14ac:dyDescent="0.25">
      <c r="A102" s="20" t="s">
        <v>270</v>
      </c>
      <c r="B102" s="20" t="s">
        <v>363</v>
      </c>
      <c r="C102" s="2" t="s">
        <v>159</v>
      </c>
      <c r="D102" s="53" t="s">
        <v>159</v>
      </c>
      <c r="F102" s="54">
        <v>8</v>
      </c>
    </row>
    <row r="103" spans="1:6" x14ac:dyDescent="0.25">
      <c r="A103" s="2"/>
      <c r="B103" s="20" t="s">
        <v>364</v>
      </c>
      <c r="C103" s="2" t="s">
        <v>159</v>
      </c>
      <c r="D103" s="53" t="s">
        <v>159</v>
      </c>
      <c r="F103" s="54">
        <v>2</v>
      </c>
    </row>
    <row r="104" spans="1:6" x14ac:dyDescent="0.25">
      <c r="A104" s="2"/>
      <c r="B104" s="20" t="s">
        <v>364</v>
      </c>
      <c r="C104" s="2" t="s">
        <v>159</v>
      </c>
      <c r="D104" s="53" t="s">
        <v>159</v>
      </c>
      <c r="F104" s="54">
        <v>2</v>
      </c>
    </row>
    <row r="105" spans="1:6" x14ac:dyDescent="0.25">
      <c r="A105" s="2"/>
      <c r="B105" s="2"/>
      <c r="C105" s="2" t="s">
        <v>159</v>
      </c>
      <c r="D105" s="53" t="s">
        <v>159</v>
      </c>
      <c r="F105" s="54">
        <v>2</v>
      </c>
    </row>
    <row r="106" spans="1:6" x14ac:dyDescent="0.25">
      <c r="C106" s="2" t="s">
        <v>159</v>
      </c>
      <c r="D106" s="53" t="s">
        <v>159</v>
      </c>
      <c r="F106" s="54">
        <v>85</v>
      </c>
    </row>
    <row r="107" spans="1:6" x14ac:dyDescent="0.25">
      <c r="C107" s="2" t="s">
        <v>159</v>
      </c>
      <c r="D107" s="53" t="s">
        <v>159</v>
      </c>
      <c r="F107" s="54">
        <v>10</v>
      </c>
    </row>
    <row r="108" spans="1:6" x14ac:dyDescent="0.25">
      <c r="C108" s="2" t="s">
        <v>159</v>
      </c>
      <c r="D108" s="53" t="s">
        <v>159</v>
      </c>
      <c r="F108" s="54">
        <v>2</v>
      </c>
    </row>
    <row r="109" spans="1:6" x14ac:dyDescent="0.25">
      <c r="C109" s="2"/>
      <c r="D109" s="2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B71" location="'DigColPs_Per3() P'!A1" display="'DigColPs_Per3() P'!A1"/>
    <hyperlink ref="B72" location="'DigColPs_Per3() P'!A1" display="'DigColPs_Per3() P'!A1"/>
    <hyperlink ref="A75" location="'ChkSkipStepError'!A1" display="'ChkSkipStepError'!A1"/>
    <hyperlink ref="A80" location="'ChkVernCorrlnError'!A1" display="'ChkVernCorrlnError'!A1"/>
    <hyperlink ref="B76" location="'ChkSkipStepError() M'!A1" display="'ChkSkipStepError() M'!A1"/>
    <hyperlink ref="A78" location="'ChkVernCorrlnError'!A1" display="'ChkVernCorrlnError'!A1"/>
    <hyperlink ref="B78" location="'ChkVernCorrlnError() P'!A1" display="'ChkVernCorrlnError() P'!A1"/>
    <hyperlink ref="A84" location="'VernCorrlnFltDiag'!A1" display="'VernCorrlnFltDiag'!A1"/>
    <hyperlink ref="B80" location="'ChkVernCorrlnError() M'!A1" display="'ChkVernCorrlnError() M'!A1"/>
    <hyperlink ref="A82" location="'VernCorrlnFltDiag'!A1" display="'VernCorrlnFltDiag'!A1"/>
    <hyperlink ref="B82" location="'VernCorrlnFltDiag() P'!A1" display="'VernCorrlnFltDiag() P'!A1"/>
    <hyperlink ref="A88" location="'SnsrFltDiag'!A1" display="'SnsrFltDiag'!A1"/>
    <hyperlink ref="B84" location="'VernCorrlnFltDiag() M'!A1" display="'VernCorrlnFltDiag() M'!A1"/>
    <hyperlink ref="A86" location="'SnsrFltDiag'!A1" display="'SnsrFltDiag'!A1"/>
    <hyperlink ref="B86" location="'SnsrFltDiag() P'!A1" display="'SnsrFltDiag() P'!A1"/>
    <hyperlink ref="B75" location="'ChkSkipStepError() M'!A1" display="'ChkSkipStepError() M'!A1"/>
    <hyperlink ref="B88" location="'SnsrFltDiag() M'!A1" display="'SnsrFltDiag() M'!A1"/>
    <hyperlink ref="B79" location="'ChkVernCorrlnError() M'!A1" display="'ChkVernCorrlnError() M'!A1"/>
    <hyperlink ref="A90" location="'I2CSnsrReInitMaxTry'!A1" display="'I2CSnsrReInitMaxTry'!A1"/>
    <hyperlink ref="B90" location="'I2CSnsrReInitMaxTry() P'!A1" display="'I2CSnsrReInitMaxTry() P'!A1"/>
    <hyperlink ref="B83" location="'VernCorrlnFltDiag() M'!A1" display="'VernCorrlnFltDiag() M'!A1"/>
    <hyperlink ref="A92" location="'I2CCommFltDiag'!A1" display="'I2CCommFltDiag'!A1"/>
    <hyperlink ref="B92" location="'I2CSnsrReInitMaxTry() M'!A1" display="'I2CSnsrReInitMaxTry() M'!A1"/>
    <hyperlink ref="B87" location="'SnsrFltDiag() M'!A1" display="'SnsrFltDiag() M'!A1"/>
    <hyperlink ref="A94" location="'I2CCommFltDiag'!A1" display="'I2CCommFltDiag'!A1"/>
    <hyperlink ref="B94" location="'I2CCommFltDiag() P'!A1" display="'I2CCommFltDiag() P'!A1"/>
    <hyperlink ref="B91" location="'I2CSnsrReInitMaxTry() M'!A1" display="'I2CSnsrReInitMaxTry() M'!A1"/>
    <hyperlink ref="A96" location="'I2CSnsrDataCheck'!A1" display="'I2CSnsrDataCheck'!A1"/>
    <hyperlink ref="B96" location="'I2CCommFltDiag() M'!A1" display="'I2CCommFltDiag() M'!A1"/>
    <hyperlink ref="B97" location="'I2CSnsrDataCheck() R'!A1" display="'I2CSnsrDataCheck() R'!A1"/>
    <hyperlink ref="B98" location="'I2CSnsrDataCheck() P'!A1" display="'I2CSnsrDataCheck() P'!A1"/>
    <hyperlink ref="B95" location="'I2CCommFltDiag() M'!A1" display="'I2CCommFltDiag() M'!A1"/>
    <hyperlink ref="A98" location="'I2CSnsrDataCheck'!A1" display="'I2CSnsrDataCheck'!A1"/>
    <hyperlink ref="B99" location="'I2CSnsrDataCheck() M'!A1" display="'I2CSnsrDataCheck() M'!A1"/>
    <hyperlink ref="B100" location="'I2CSnsrDataCheck() M'!A1" display="'I2CSnsrDataCheck() M'!A1"/>
    <hyperlink ref="A102" location="'DigColPs_Per2'!A1" display="'DigColPs_Per2'!A1"/>
    <hyperlink ref="B102" location="'DigColPs_Per2() P'!A1" display="'DigColPs_Per2() P'!A1"/>
    <hyperlink ref="B103" location="'DigColPs_Per2() M'!A1" display="'DigColPs_Per2() M'!A1"/>
    <hyperlink ref="B104" location="'DigColPs_Per2() M'!A1" display="'DigColPs_Per2() M'!A1"/>
    <hyperlink ref="A71" location="'DigColPs_Per3'!A1" display="'DigColPs_Per3'!A1"/>
    <hyperlink ref="B73" location="'ChkSkipStepError() R'!A1" display="'ChkSkipStepError() R'!A1"/>
    <hyperlink ref="B77" location="'ChkVernCorrlnError() R'!A1" display="'ChkVernCorrlnError() R'!A1"/>
    <hyperlink ref="A79" location="'ChkVernCorrlnError'!A1" display="'ChkVernCorrlnError'!A1"/>
    <hyperlink ref="B81" location="'VernCorrlnFltDiag() R'!A1" display="'VernCorrlnFltDiag() R'!A1"/>
    <hyperlink ref="A83" location="'VernCorrlnFltDiag'!A1" display="'VernCorrlnFltDiag'!A1"/>
    <hyperlink ref="B85" location="'SnsrFltDiag() R'!A1" display="'SnsrFltDiag() R'!A1"/>
    <hyperlink ref="A87" location="'SnsrFltDiag'!A1" display="'SnsrFltDiag'!A1"/>
    <hyperlink ref="B89" location="'I2CSnsrReInitMaxTry() R'!A1" display="'I2CSnsrReInitMaxTry() R'!A1"/>
    <hyperlink ref="A91" location="'I2CSnsrReInitMaxTry'!A1" display="'I2CSnsrReInitMaxTry'!A1"/>
    <hyperlink ref="B93" location="'I2CCommFltDiag() R'!A1" display="'I2CCommFltDiag() R'!A1"/>
    <hyperlink ref="A95" location="'I2CCommFltDiag'!A1" display="'I2CCommFltDiag'!A1"/>
    <hyperlink ref="A99" location="'I2CSnsrDataCheck'!A1" display="'I2CSnsrDataCheck'!A1"/>
    <hyperlink ref="B101" location="'DigColPs_Per2() R'!A1" display="'DigColPs_Per2() R'!A1"/>
    <hyperlink ref="A74" location="'ChkSkipStepError'!A1" display="'ChkSkipStepError'!A1"/>
    <hyperlink ref="B74" location="'ChkSkipStepError() P'!A1" display="'ChkSkipStepError() P'!A1"/>
    <hyperlink ref="A73" location="'ChkSkipStepError'!A1" display="'ChkSkipStepError'!A1"/>
    <hyperlink ref="A77" location="'ChkVernCorrlnError'!A1" display="'ChkVernCorrlnError'!A1"/>
    <hyperlink ref="A81" location="'VernCorrlnFltDiag'!A1" display="'VernCorrlnFltDiag'!A1"/>
    <hyperlink ref="A85" location="'SnsrFltDiag'!A1" display="'SnsrFltDiag'!A1"/>
    <hyperlink ref="A89" location="'I2CSnsrReInitMaxTry'!A1" display="'I2CSnsrReInitMaxTry'!A1"/>
    <hyperlink ref="A93" location="'I2CCommFltDiag'!A1" display="'I2CCommFltDiag'!A1"/>
    <hyperlink ref="A97" location="'I2CSnsrDataCheck'!A1" display="'I2CSnsrDataCheck'!A1"/>
    <hyperlink ref="A101" location="'DigColPs_Per2'!A1" display="'DigColPs_Per2'!A1"/>
    <hyperlink ref="A29" location="'DigColPs_Init1'!A1" display="'DigColPs_Init1'!A1"/>
    <hyperlink ref="B29" location="'DigColPs_Init1() R'!A1" display="'DigColPs_Init1() R'!A1"/>
    <hyperlink ref="B30" location="'DigColPs_Init1() P'!A1" display="'DigColPs_Init1() P'!A1"/>
    <hyperlink ref="B31" location="'DigColPs_Init1() M'!A1" display="'DigColPs_Init1() M'!A1"/>
    <hyperlink ref="A33" location="'ConstrainOneRev'!A1" display="'ConstrainOneRev'!A1"/>
    <hyperlink ref="B33" location="'ConstrainOneRev() R'!A1" display="'ConstrainOneRev() R'!A1"/>
    <hyperlink ref="B34" location="'ConstrainOneRev() P'!A1" display="'ConstrainOneRev() P'!A1"/>
    <hyperlink ref="B35" location="'ConstrainOneRev() M'!A1" display="'ConstrainOneRev() M'!A1"/>
    <hyperlink ref="A37" location="'ComputeRoughTurns'!A1" display="'ComputeRoughTurns'!A1"/>
    <hyperlink ref="B37" location="'ComputeRoughTurns() R'!A1" display="'ComputeRoughTurns() R'!A1"/>
    <hyperlink ref="B38" location="'ComputeRoughTurns() P'!A1" display="'ComputeRoughTurns() P'!A1"/>
    <hyperlink ref="B39" location="'ComputeRoughTurns() M'!A1" display="'ComputeRoughTurns() M'!A1"/>
    <hyperlink ref="A41" location="'OddParityFault'!A1" display="'OddParityFault'!A1"/>
    <hyperlink ref="B41" location="'OddParityFault() P'!A1" display="'OddParityFault() P'!A1"/>
    <hyperlink ref="B42" location="'OddParityFault() R'!A1" display="'OddParityFault() R'!A1"/>
    <hyperlink ref="B43" location="'OddParityFault() M'!A1" display="'OddParityFault() M'!A1"/>
    <hyperlink ref="A45" location="'DigColPs_SCom_CustSetTrim'!A1" display="'DigColPs_SCom_CustSetTrim'!A1"/>
    <hyperlink ref="B45" location="'DigColPs_SCom_CustSetTrim() P'!A1" display="'DigColPs_SCom_CustSetTrim() P'!A1"/>
    <hyperlink ref="B46" location="'DigColPs_SCom_CustSetTrim() R'!A1" display="'DigColPs_SCom_CustSetTrim() R'!A1"/>
    <hyperlink ref="B47" location="'DigColPs_SCom_CustSetTrim() M'!A1" display="'DigColPs_SCom_CustSetTrim() M'!A1"/>
    <hyperlink ref="A49" location="'VernierLookup'!A1" display="'VernierLookup'!A1"/>
    <hyperlink ref="B49" location="'VernierLookup() P'!A1" display="'VernierLookup() P'!A1"/>
    <hyperlink ref="B50" location="'VernierLookup() R'!A1" display="'VernierLookup() R'!A1"/>
    <hyperlink ref="B51" location="'VernierLookup() M'!A1" display="'VernierLookup() M'!A1"/>
    <hyperlink ref="A53" location="'DigColPs_Per1'!A1" display="'DigColPs_Per1'!A1"/>
    <hyperlink ref="B53" location="'DigColPs_Per1() R'!A1" display="'DigColPs_Per1() R'!A1"/>
    <hyperlink ref="B54" location="'DigColPs_Per1() P'!A1" display="'DigColPs_Per1() P'!A1"/>
    <hyperlink ref="B55" location="'DigColPs_Per1() M'!A1" display="'DigColPs_Per1() M'!A1"/>
    <hyperlink ref="A57" location="'DiagnosticThreshold'!A1" display="'DiagnosticThreshold'!A1"/>
    <hyperlink ref="B57" location="'DiagnosticThreshold() R'!A1" display="'DiagnosticThreshold() R'!A1"/>
    <hyperlink ref="B58" location="'DiagnosticThreshold() P'!A1" display="'DiagnosticThreshold() P'!A1"/>
    <hyperlink ref="B59" location="'DiagnosticThreshold() M'!A1" display="'DiagnosticThreshold() M'!A1"/>
    <hyperlink ref="A61" location="'DigColPs_SCom_CustClrTrim'!A1" display="'DigColPs_SCom_CustClrTrim'!A1"/>
    <hyperlink ref="B61" location="'DigColPs_SCom_CustClrTrim() R'!A1" display="'DigColPs_SCom_CustClrTrim() R'!A1"/>
    <hyperlink ref="A63" location="'DigColPs_SCom_NxtSetTrim'!A1" display="'DigColPs_SCom_NxtSetTrim'!A1"/>
    <hyperlink ref="B63" location="'DigColPs_SCom_NxtSetTrim() R'!A1" display="'DigColPs_SCom_NxtSetTrim() R'!A1"/>
    <hyperlink ref="B64" location="'DigColPs_SCom_NxtSetTrim() P'!A1" display="'DigColPs_SCom_NxtSetTrim() P'!A1"/>
    <hyperlink ref="B65" location="'DigColPs_SCom_NxtSetTrim() M'!A1" display="'DigColPs_SCom_NxtSetTrim() M'!A1"/>
    <hyperlink ref="A67" location="'DigColPs_SCom_NxtClrTrim'!A1" display="'DigColPs_SCom_NxtClrTrim'!A1"/>
    <hyperlink ref="B67" location="'DigColPs_SCom_NxtClrTrim() R'!A1" display="'DigColPs_SCom_NxtClrTrim() R'!A1"/>
    <hyperlink ref="A69" location="'DigColPs_Per3'!A1" display="'DigColPs_Per3'!A1"/>
    <hyperlink ref="B69" location="'DigColPs_Per3() M'!A1" display="'DigColPs_Per3() M'!A1"/>
    <hyperlink ref="B70" location="'DigColPs_Per3() R'!A1" display="'DigColPs_Per3() R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253" t="s">
        <v>0</v>
      </c>
      <c r="B5" s="253"/>
      <c r="C5" s="253"/>
      <c r="D5" s="253"/>
      <c r="E5" s="253"/>
      <c r="F5" s="253"/>
      <c r="G5" s="253"/>
      <c r="H5" s="25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254" t="s">
        <v>346</v>
      </c>
      <c r="B7" s="254"/>
      <c r="C7" s="254"/>
      <c r="D7" s="254"/>
      <c r="E7" s="254"/>
      <c r="F7" s="254"/>
      <c r="G7" s="254"/>
      <c r="H7" s="25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72711" r:id="rId4">
          <objectPr defaultSize="0" r:id="rId5">
            <anchor moveWithCells="1">
              <from>
                <xdr:col>1</xdr:col>
                <xdr:colOff>180975</xdr:colOff>
                <xdr:row>14</xdr:row>
                <xdr:rowOff>171450</xdr:rowOff>
              </from>
              <to>
                <xdr:col>3</xdr:col>
                <xdr:colOff>466725</xdr:colOff>
                <xdr:row>17</xdr:row>
                <xdr:rowOff>114300</xdr:rowOff>
              </to>
            </anchor>
          </objectPr>
        </oleObject>
      </mc:Choice>
      <mc:Fallback>
        <oleObject progId="Packager Shell Object" dvAspect="DVASPECT_ICON" shapeId="72711" r:id="rId4"/>
      </mc:Fallback>
    </mc:AlternateContent>
    <mc:AlternateContent xmlns:mc="http://schemas.openxmlformats.org/markup-compatibility/2006">
      <mc:Choice Requires="x14">
        <oleObject progId="Packager Shell Object" dvAspect="DVASPECT_ICON" shapeId="72712" r:id="rId6">
          <objectPr defaultSize="0" r:id="rId7">
            <anchor moveWithCells="1">
              <from>
                <xdr:col>1</xdr:col>
                <xdr:colOff>257175</xdr:colOff>
                <xdr:row>8</xdr:row>
                <xdr:rowOff>180975</xdr:rowOff>
              </from>
              <to>
                <xdr:col>3</xdr:col>
                <xdr:colOff>285750</xdr:colOff>
                <xdr:row>11</xdr:row>
                <xdr:rowOff>123825</xdr:rowOff>
              </to>
            </anchor>
          </objectPr>
        </oleObject>
      </mc:Choice>
      <mc:Fallback>
        <oleObject progId="Packager Shell Object" dvAspect="DVASPECT_ICON" shapeId="7271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14"/>
  <sheetViews>
    <sheetView workbookViewId="0"/>
  </sheetViews>
  <sheetFormatPr defaultRowHeight="15" x14ac:dyDescent="0.25"/>
  <cols>
    <col min="1" max="1" width="11.7109375" bestFit="1" customWidth="1"/>
    <col min="2" max="2" width="27" bestFit="1" customWidth="1"/>
    <col min="3" max="3" width="96.5703125" bestFit="1" customWidth="1"/>
    <col min="4" max="4" width="2.42578125" customWidth="1"/>
    <col min="5" max="5" width="6.28515625" bestFit="1" customWidth="1"/>
    <col min="6" max="6" width="22.85546875" bestFit="1" customWidth="1"/>
    <col min="7" max="7" width="47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53" t="s">
        <v>0</v>
      </c>
      <c r="B5" s="253"/>
      <c r="C5" s="253"/>
      <c r="D5" s="253"/>
      <c r="E5" s="253"/>
      <c r="F5" s="253"/>
      <c r="G5" s="253"/>
      <c r="H5" s="253"/>
      <c r="I5" s="253"/>
      <c r="J5" s="253"/>
      <c r="K5" s="253"/>
      <c r="L5" s="25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54" t="s">
        <v>346</v>
      </c>
      <c r="B7" s="254"/>
      <c r="C7" s="254"/>
      <c r="D7" s="254"/>
      <c r="E7" s="254"/>
      <c r="F7" s="254"/>
      <c r="G7" s="254"/>
      <c r="H7" s="254"/>
      <c r="I7" s="254"/>
      <c r="J7" s="254"/>
      <c r="K7" s="254"/>
      <c r="L7" s="25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255" t="s">
        <v>23</v>
      </c>
      <c r="B9" s="256"/>
      <c r="C9" s="256"/>
      <c r="D9" s="257"/>
      <c r="E9" s="256"/>
      <c r="F9" s="256"/>
      <c r="G9" s="256"/>
      <c r="H9" s="256"/>
      <c r="I9" s="257"/>
      <c r="J9" s="256"/>
      <c r="K9" s="256"/>
      <c r="L9" s="258"/>
    </row>
    <row r="10" spans="1:12" ht="15.75" thickBot="1" x14ac:dyDescent="0.3">
      <c r="A10" s="259" t="s">
        <v>24</v>
      </c>
      <c r="B10" s="260"/>
      <c r="C10" s="261"/>
      <c r="D10" s="7"/>
      <c r="E10" s="262" t="s">
        <v>28</v>
      </c>
      <c r="F10" s="263"/>
      <c r="G10" s="263"/>
      <c r="H10" s="264"/>
      <c r="I10" s="7"/>
      <c r="J10" s="265" t="s">
        <v>32</v>
      </c>
      <c r="K10" s="266"/>
      <c r="L10" s="267"/>
    </row>
    <row r="11" spans="1:12" ht="15.75" thickBot="1" x14ac:dyDescent="0.3">
      <c r="A11" s="10" t="s">
        <v>25</v>
      </c>
      <c r="B11" s="11" t="s">
        <v>26</v>
      </c>
      <c r="C11" s="12" t="s">
        <v>27</v>
      </c>
      <c r="D11" s="7"/>
      <c r="E11" s="10" t="s">
        <v>29</v>
      </c>
      <c r="F11" s="11" t="s">
        <v>30</v>
      </c>
      <c r="G11" s="11" t="s">
        <v>26</v>
      </c>
      <c r="H11" s="12" t="s">
        <v>31</v>
      </c>
      <c r="I11" s="7"/>
      <c r="J11" s="10" t="s">
        <v>25</v>
      </c>
      <c r="K11" s="11" t="s">
        <v>26</v>
      </c>
      <c r="L11" s="12" t="s">
        <v>27</v>
      </c>
    </row>
    <row r="12" spans="1:12" hidden="1" x14ac:dyDescent="0.25">
      <c r="D12" s="7"/>
      <c r="I12" s="7"/>
    </row>
    <row r="13" spans="1:12" x14ac:dyDescent="0.25">
      <c r="A13" s="21" t="s">
        <v>51</v>
      </c>
      <c r="B13" s="83" t="s">
        <v>241</v>
      </c>
      <c r="C13" s="21" t="s">
        <v>52</v>
      </c>
      <c r="D13" s="7"/>
      <c r="E13" s="9" t="s">
        <v>97</v>
      </c>
      <c r="F13" s="9" t="s">
        <v>116</v>
      </c>
      <c r="G13" s="82" t="s">
        <v>66</v>
      </c>
      <c r="H13" s="9"/>
      <c r="I13" s="7"/>
      <c r="J13" s="9" t="s">
        <v>51</v>
      </c>
      <c r="K13" s="82" t="s">
        <v>240</v>
      </c>
      <c r="L13" s="9" t="s">
        <v>52</v>
      </c>
    </row>
    <row r="14" spans="1:12" x14ac:dyDescent="0.25">
      <c r="A14" s="21" t="s">
        <v>51</v>
      </c>
      <c r="B14" s="83" t="s">
        <v>242</v>
      </c>
      <c r="C14" s="21" t="s">
        <v>52</v>
      </c>
      <c r="D14" s="7"/>
      <c r="E14" s="9" t="s">
        <v>97</v>
      </c>
      <c r="F14" s="9" t="s">
        <v>116</v>
      </c>
      <c r="G14" s="82" t="s">
        <v>67</v>
      </c>
      <c r="H14" s="9"/>
      <c r="I14" s="7"/>
      <c r="J14" s="9" t="s">
        <v>51</v>
      </c>
      <c r="K14" s="82" t="s">
        <v>53</v>
      </c>
      <c r="L14" s="9" t="s">
        <v>52</v>
      </c>
    </row>
    <row r="15" spans="1:12" x14ac:dyDescent="0.25">
      <c r="A15" s="21" t="s">
        <v>51</v>
      </c>
      <c r="B15" s="83" t="s">
        <v>270</v>
      </c>
      <c r="C15" s="21" t="s">
        <v>52</v>
      </c>
      <c r="D15" s="7"/>
      <c r="E15" s="9" t="s">
        <v>99</v>
      </c>
      <c r="F15" s="9" t="s">
        <v>103</v>
      </c>
      <c r="G15" s="82" t="s">
        <v>243</v>
      </c>
      <c r="H15" s="9"/>
      <c r="I15" s="7"/>
      <c r="J15" s="9" t="s">
        <v>51</v>
      </c>
      <c r="K15" s="82" t="s">
        <v>54</v>
      </c>
      <c r="L15" s="9" t="s">
        <v>52</v>
      </c>
    </row>
    <row r="16" spans="1:12" x14ac:dyDescent="0.25">
      <c r="A16" s="21" t="s">
        <v>115</v>
      </c>
      <c r="B16" s="83" t="s">
        <v>398</v>
      </c>
      <c r="C16" s="21" t="s">
        <v>52</v>
      </c>
      <c r="D16" s="7"/>
      <c r="E16" s="9" t="s">
        <v>99</v>
      </c>
      <c r="F16" s="9" t="s">
        <v>100</v>
      </c>
      <c r="G16" s="82" t="s">
        <v>245</v>
      </c>
      <c r="H16" s="9"/>
      <c r="I16" s="7"/>
      <c r="J16" s="9" t="s">
        <v>51</v>
      </c>
      <c r="K16" s="82" t="s">
        <v>55</v>
      </c>
      <c r="L16" s="9" t="s">
        <v>52</v>
      </c>
    </row>
    <row r="17" spans="1:12" x14ac:dyDescent="0.25">
      <c r="A17" s="21" t="s">
        <v>58</v>
      </c>
      <c r="B17" s="83" t="s">
        <v>57</v>
      </c>
      <c r="C17" s="21" t="s">
        <v>59</v>
      </c>
      <c r="D17" s="7"/>
      <c r="E17" s="9" t="s">
        <v>99</v>
      </c>
      <c r="F17" s="9" t="s">
        <v>100</v>
      </c>
      <c r="G17" s="82" t="s">
        <v>246</v>
      </c>
      <c r="H17" s="9"/>
      <c r="I17" s="7"/>
      <c r="J17" s="9" t="s">
        <v>51</v>
      </c>
      <c r="K17" s="82" t="s">
        <v>56</v>
      </c>
      <c r="L17" s="9" t="s">
        <v>52</v>
      </c>
    </row>
    <row r="18" spans="1:12" x14ac:dyDescent="0.25">
      <c r="A18" s="21" t="s">
        <v>58</v>
      </c>
      <c r="B18" s="83" t="s">
        <v>60</v>
      </c>
      <c r="C18" s="21" t="s">
        <v>61</v>
      </c>
      <c r="D18" s="7"/>
      <c r="E18" s="9" t="s">
        <v>99</v>
      </c>
      <c r="F18" s="9" t="s">
        <v>103</v>
      </c>
      <c r="G18" s="82" t="s">
        <v>247</v>
      </c>
      <c r="H18" s="9"/>
      <c r="I18" s="7"/>
      <c r="J18" s="9" t="s">
        <v>115</v>
      </c>
      <c r="K18" s="82" t="s">
        <v>244</v>
      </c>
      <c r="L18" s="9" t="s">
        <v>52</v>
      </c>
    </row>
    <row r="19" spans="1:12" x14ac:dyDescent="0.25">
      <c r="A19" s="21" t="s">
        <v>51</v>
      </c>
      <c r="B19" s="83" t="s">
        <v>62</v>
      </c>
      <c r="C19" s="21" t="s">
        <v>482</v>
      </c>
      <c r="D19" s="7"/>
      <c r="E19" s="9" t="s">
        <v>99</v>
      </c>
      <c r="F19" s="9" t="s">
        <v>116</v>
      </c>
      <c r="G19" s="82" t="s">
        <v>252</v>
      </c>
      <c r="H19" s="9"/>
      <c r="I19" s="7"/>
      <c r="J19" s="9" t="s">
        <v>51</v>
      </c>
      <c r="K19" s="82" t="s">
        <v>268</v>
      </c>
      <c r="L19" s="9" t="s">
        <v>52</v>
      </c>
    </row>
    <row r="20" spans="1:12" x14ac:dyDescent="0.25">
      <c r="A20" s="21" t="s">
        <v>116</v>
      </c>
      <c r="B20" s="83" t="s">
        <v>63</v>
      </c>
      <c r="C20" s="21" t="s">
        <v>109</v>
      </c>
      <c r="D20" s="7"/>
      <c r="E20" s="9" t="s">
        <v>99</v>
      </c>
      <c r="F20" s="9" t="s">
        <v>116</v>
      </c>
      <c r="G20" s="82" t="s">
        <v>253</v>
      </c>
      <c r="H20" s="9"/>
      <c r="I20" s="7"/>
      <c r="J20" s="9" t="s">
        <v>51</v>
      </c>
      <c r="K20" s="82" t="s">
        <v>272</v>
      </c>
      <c r="L20" s="9" t="s">
        <v>52</v>
      </c>
    </row>
    <row r="21" spans="1:12" x14ac:dyDescent="0.25">
      <c r="A21" s="21" t="s">
        <v>116</v>
      </c>
      <c r="B21" s="83" t="s">
        <v>64</v>
      </c>
      <c r="C21" s="21" t="s">
        <v>65</v>
      </c>
      <c r="D21" s="7"/>
      <c r="E21" s="9" t="s">
        <v>99</v>
      </c>
      <c r="F21" s="9" t="s">
        <v>384</v>
      </c>
      <c r="G21" s="82" t="s">
        <v>383</v>
      </c>
      <c r="H21" s="9"/>
      <c r="I21" s="7"/>
      <c r="J21" s="9" t="s">
        <v>51</v>
      </c>
      <c r="K21" s="82" t="s">
        <v>273</v>
      </c>
      <c r="L21" s="9" t="s">
        <v>52</v>
      </c>
    </row>
    <row r="22" spans="1:12" x14ac:dyDescent="0.25">
      <c r="A22" s="21" t="s">
        <v>51</v>
      </c>
      <c r="B22" s="83" t="s">
        <v>401</v>
      </c>
      <c r="C22" s="21" t="s">
        <v>52</v>
      </c>
      <c r="D22" s="7"/>
      <c r="E22" s="9" t="s">
        <v>99</v>
      </c>
      <c r="F22" s="9" t="s">
        <v>384</v>
      </c>
      <c r="G22" s="82" t="s">
        <v>385</v>
      </c>
      <c r="H22" s="9"/>
      <c r="I22" s="7"/>
      <c r="J22" s="9" t="s">
        <v>115</v>
      </c>
      <c r="K22" s="82" t="s">
        <v>184</v>
      </c>
      <c r="L22" s="9" t="s">
        <v>52</v>
      </c>
    </row>
    <row r="23" spans="1:12" x14ac:dyDescent="0.25">
      <c r="A23" s="21" t="s">
        <v>51</v>
      </c>
      <c r="B23" s="83" t="s">
        <v>402</v>
      </c>
      <c r="C23" s="21" t="s">
        <v>52</v>
      </c>
      <c r="D23" s="7"/>
      <c r="E23" s="9" t="s">
        <v>99</v>
      </c>
      <c r="F23" s="9" t="s">
        <v>116</v>
      </c>
      <c r="G23" s="82" t="s">
        <v>285</v>
      </c>
      <c r="H23" s="9"/>
      <c r="I23" s="7"/>
      <c r="J23" s="9" t="s">
        <v>100</v>
      </c>
      <c r="K23" s="82" t="s">
        <v>425</v>
      </c>
      <c r="L23" s="9" t="s">
        <v>52</v>
      </c>
    </row>
    <row r="24" spans="1:12" x14ac:dyDescent="0.25">
      <c r="A24" s="21" t="s">
        <v>115</v>
      </c>
      <c r="B24" s="83" t="s">
        <v>403</v>
      </c>
      <c r="C24" s="21" t="s">
        <v>52</v>
      </c>
      <c r="D24" s="7"/>
      <c r="E24" s="9" t="s">
        <v>99</v>
      </c>
      <c r="F24" s="9" t="s">
        <v>116</v>
      </c>
      <c r="G24" s="82" t="s">
        <v>286</v>
      </c>
      <c r="H24" s="9"/>
      <c r="I24" s="7"/>
      <c r="J24" s="9" t="s">
        <v>573</v>
      </c>
      <c r="K24" s="82" t="s">
        <v>572</v>
      </c>
      <c r="L24" s="9" t="s">
        <v>52</v>
      </c>
    </row>
    <row r="25" spans="1:12" x14ac:dyDescent="0.25">
      <c r="A25" s="21" t="s">
        <v>51</v>
      </c>
      <c r="B25" s="83" t="s">
        <v>577</v>
      </c>
      <c r="C25" s="24" t="s">
        <v>578</v>
      </c>
      <c r="D25" s="7"/>
      <c r="E25" s="9" t="s">
        <v>99</v>
      </c>
      <c r="F25" s="9" t="s">
        <v>103</v>
      </c>
      <c r="G25" s="82" t="s">
        <v>269</v>
      </c>
      <c r="H25" s="9"/>
      <c r="I25" s="7"/>
      <c r="J25" s="9" t="s">
        <v>100</v>
      </c>
      <c r="K25" s="82" t="s">
        <v>575</v>
      </c>
      <c r="L25" s="9" t="s">
        <v>52</v>
      </c>
    </row>
    <row r="26" spans="1:12" x14ac:dyDescent="0.25">
      <c r="A26" s="21" t="s">
        <v>51</v>
      </c>
      <c r="B26" s="83" t="s">
        <v>581</v>
      </c>
      <c r="C26" s="24" t="s">
        <v>590</v>
      </c>
      <c r="D26" s="7"/>
      <c r="E26" s="9" t="s">
        <v>99</v>
      </c>
      <c r="F26" s="9" t="s">
        <v>100</v>
      </c>
      <c r="G26" s="82" t="s">
        <v>279</v>
      </c>
      <c r="H26" s="9"/>
      <c r="I26" s="7"/>
      <c r="J26" s="9" t="s">
        <v>51</v>
      </c>
      <c r="K26" s="82" t="s">
        <v>607</v>
      </c>
      <c r="L26" s="9" t="s">
        <v>52</v>
      </c>
    </row>
    <row r="27" spans="1:12" x14ac:dyDescent="0.25">
      <c r="A27" s="21" t="s">
        <v>115</v>
      </c>
      <c r="B27" s="83" t="s">
        <v>582</v>
      </c>
      <c r="C27" s="24" t="s">
        <v>601</v>
      </c>
      <c r="D27" s="7"/>
      <c r="E27" s="9" t="s">
        <v>99</v>
      </c>
      <c r="F27" s="9" t="s">
        <v>58</v>
      </c>
      <c r="G27" s="82" t="s">
        <v>276</v>
      </c>
      <c r="H27" s="9"/>
      <c r="I27" s="7"/>
      <c r="J27" s="9"/>
      <c r="K27" s="22"/>
    </row>
    <row r="28" spans="1:12" ht="45" x14ac:dyDescent="0.25">
      <c r="A28" s="21" t="s">
        <v>51</v>
      </c>
      <c r="B28" s="83" t="s">
        <v>583</v>
      </c>
      <c r="C28" s="194" t="s">
        <v>600</v>
      </c>
      <c r="D28" s="7"/>
      <c r="E28" s="9" t="s">
        <v>99</v>
      </c>
      <c r="F28" s="9" t="s">
        <v>115</v>
      </c>
      <c r="G28" s="82" t="s">
        <v>280</v>
      </c>
      <c r="H28" s="9"/>
      <c r="I28" s="7"/>
      <c r="J28" s="9"/>
      <c r="K28" s="22"/>
    </row>
    <row r="29" spans="1:12" x14ac:dyDescent="0.25">
      <c r="A29" s="21" t="s">
        <v>51</v>
      </c>
      <c r="B29" s="83" t="s">
        <v>584</v>
      </c>
      <c r="C29" s="24" t="s">
        <v>585</v>
      </c>
      <c r="D29" s="7"/>
      <c r="E29" s="9" t="s">
        <v>99</v>
      </c>
      <c r="F29" s="9" t="s">
        <v>100</v>
      </c>
      <c r="G29" s="82" t="s">
        <v>277</v>
      </c>
      <c r="H29" s="9"/>
      <c r="I29" s="7"/>
      <c r="J29" s="9"/>
      <c r="K29" s="22"/>
    </row>
    <row r="30" spans="1:12" x14ac:dyDescent="0.25">
      <c r="A30" s="21" t="s">
        <v>58</v>
      </c>
      <c r="B30" s="83" t="s">
        <v>608</v>
      </c>
      <c r="C30" s="24" t="s">
        <v>615</v>
      </c>
      <c r="D30" s="7"/>
      <c r="E30" s="9" t="s">
        <v>99</v>
      </c>
      <c r="F30" s="9" t="s">
        <v>116</v>
      </c>
      <c r="G30" s="82" t="s">
        <v>281</v>
      </c>
      <c r="H30" s="9"/>
      <c r="I30" s="7"/>
      <c r="J30" s="9"/>
      <c r="K30" s="22"/>
    </row>
    <row r="31" spans="1:12" x14ac:dyDescent="0.25">
      <c r="A31" s="21" t="s">
        <v>58</v>
      </c>
      <c r="B31" s="83" t="s">
        <v>609</v>
      </c>
      <c r="C31" s="24" t="s">
        <v>613</v>
      </c>
      <c r="D31" s="7"/>
      <c r="E31" s="9" t="s">
        <v>99</v>
      </c>
      <c r="F31" s="9" t="s">
        <v>58</v>
      </c>
      <c r="G31" s="82" t="s">
        <v>278</v>
      </c>
      <c r="H31" s="9"/>
      <c r="I31" s="7"/>
      <c r="J31" s="9"/>
      <c r="K31" s="22"/>
    </row>
    <row r="32" spans="1:12" x14ac:dyDescent="0.25">
      <c r="A32" s="21" t="s">
        <v>51</v>
      </c>
      <c r="B32" s="83" t="s">
        <v>617</v>
      </c>
      <c r="C32" s="24" t="s">
        <v>52</v>
      </c>
      <c r="D32" s="7"/>
      <c r="E32" s="9" t="s">
        <v>99</v>
      </c>
      <c r="F32" s="9" t="s">
        <v>116</v>
      </c>
      <c r="G32" s="82" t="s">
        <v>275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 t="s">
        <v>97</v>
      </c>
      <c r="F33" s="9" t="s">
        <v>100</v>
      </c>
      <c r="G33" s="82" t="s">
        <v>117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 t="s">
        <v>97</v>
      </c>
      <c r="F34" s="9" t="s">
        <v>282</v>
      </c>
      <c r="G34" s="82" t="s">
        <v>258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 t="s">
        <v>97</v>
      </c>
      <c r="F35" s="9" t="s">
        <v>115</v>
      </c>
      <c r="G35" s="82" t="s">
        <v>123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 t="s">
        <v>97</v>
      </c>
      <c r="F36" s="9" t="s">
        <v>115</v>
      </c>
      <c r="G36" s="82" t="s">
        <v>124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 t="s">
        <v>97</v>
      </c>
      <c r="F37" s="9" t="s">
        <v>115</v>
      </c>
      <c r="G37" s="82" t="s">
        <v>125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 t="s">
        <v>97</v>
      </c>
      <c r="F38" s="9" t="s">
        <v>127</v>
      </c>
      <c r="G38" s="82" t="s">
        <v>126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 t="s">
        <v>97</v>
      </c>
      <c r="F39" s="9" t="s">
        <v>127</v>
      </c>
      <c r="G39" s="82" t="s">
        <v>128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 t="s">
        <v>97</v>
      </c>
      <c r="F40" s="9" t="s">
        <v>283</v>
      </c>
      <c r="G40" s="82" t="s">
        <v>274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 t="s">
        <v>97</v>
      </c>
      <c r="F41" s="9" t="s">
        <v>58</v>
      </c>
      <c r="G41" s="82" t="s">
        <v>131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 t="s">
        <v>97</v>
      </c>
      <c r="F42" s="9" t="s">
        <v>116</v>
      </c>
      <c r="G42" s="82" t="s">
        <v>132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 t="s">
        <v>97</v>
      </c>
      <c r="F43" s="9" t="s">
        <v>116</v>
      </c>
      <c r="G43" s="82" t="s">
        <v>135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 t="s">
        <v>97</v>
      </c>
      <c r="F44" s="9" t="s">
        <v>282</v>
      </c>
      <c r="G44" s="82" t="s">
        <v>259</v>
      </c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 t="s">
        <v>97</v>
      </c>
      <c r="F45" s="9" t="s">
        <v>115</v>
      </c>
      <c r="G45" s="82" t="s">
        <v>137</v>
      </c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 t="s">
        <v>97</v>
      </c>
      <c r="F46" s="9" t="s">
        <v>116</v>
      </c>
      <c r="G46" s="82" t="s">
        <v>95</v>
      </c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 t="s">
        <v>97</v>
      </c>
      <c r="F47" s="9" t="s">
        <v>384</v>
      </c>
      <c r="G47" s="82" t="s">
        <v>397</v>
      </c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 t="s">
        <v>99</v>
      </c>
      <c r="F48" s="9" t="s">
        <v>141</v>
      </c>
      <c r="G48" s="82" t="s">
        <v>296</v>
      </c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 t="s">
        <v>99</v>
      </c>
      <c r="F49" s="9" t="s">
        <v>141</v>
      </c>
      <c r="G49" s="82" t="s">
        <v>325</v>
      </c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 t="s">
        <v>99</v>
      </c>
      <c r="F50" s="9" t="s">
        <v>141</v>
      </c>
      <c r="G50" s="82" t="s">
        <v>297</v>
      </c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 t="s">
        <v>99</v>
      </c>
      <c r="F51" s="9" t="s">
        <v>141</v>
      </c>
      <c r="G51" s="82" t="s">
        <v>326</v>
      </c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 t="s">
        <v>97</v>
      </c>
      <c r="F52" s="9" t="s">
        <v>189</v>
      </c>
      <c r="G52" s="82" t="s">
        <v>186</v>
      </c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 t="s">
        <v>97</v>
      </c>
      <c r="F53" s="9" t="s">
        <v>189</v>
      </c>
      <c r="G53" s="82" t="s">
        <v>187</v>
      </c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 t="s">
        <v>97</v>
      </c>
      <c r="F54" s="9" t="s">
        <v>189</v>
      </c>
      <c r="G54" s="82" t="s">
        <v>188</v>
      </c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 t="s">
        <v>97</v>
      </c>
      <c r="F55" s="9" t="s">
        <v>189</v>
      </c>
      <c r="G55" s="82" t="s">
        <v>210</v>
      </c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 t="s">
        <v>97</v>
      </c>
      <c r="F56" s="9" t="s">
        <v>189</v>
      </c>
      <c r="G56" s="82" t="s">
        <v>212</v>
      </c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 t="s">
        <v>97</v>
      </c>
      <c r="F57" s="9" t="s">
        <v>189</v>
      </c>
      <c r="G57" s="82" t="s">
        <v>234</v>
      </c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 t="s">
        <v>97</v>
      </c>
      <c r="F58" s="9" t="s">
        <v>189</v>
      </c>
      <c r="G58" s="82" t="s">
        <v>230</v>
      </c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 t="s">
        <v>97</v>
      </c>
      <c r="F59" s="9" t="s">
        <v>189</v>
      </c>
      <c r="G59" s="82" t="s">
        <v>231</v>
      </c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 t="s">
        <v>97</v>
      </c>
      <c r="F60" s="9" t="s">
        <v>189</v>
      </c>
      <c r="G60" s="82" t="s">
        <v>233</v>
      </c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 t="s">
        <v>97</v>
      </c>
      <c r="F61" s="9" t="s">
        <v>284</v>
      </c>
      <c r="G61" s="82" t="s">
        <v>287</v>
      </c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 t="s">
        <v>97</v>
      </c>
      <c r="F62" s="9" t="s">
        <v>284</v>
      </c>
      <c r="G62" s="82" t="s">
        <v>288</v>
      </c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 t="s">
        <v>97</v>
      </c>
      <c r="F63" s="9" t="s">
        <v>283</v>
      </c>
      <c r="G63" s="82" t="s">
        <v>289</v>
      </c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 t="s">
        <v>97</v>
      </c>
      <c r="F64" s="9" t="s">
        <v>58</v>
      </c>
      <c r="G64" s="82" t="s">
        <v>329</v>
      </c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 t="s">
        <v>97</v>
      </c>
      <c r="F65" s="9" t="s">
        <v>116</v>
      </c>
      <c r="G65" s="82" t="s">
        <v>330</v>
      </c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 t="s">
        <v>97</v>
      </c>
      <c r="F66" s="9" t="s">
        <v>115</v>
      </c>
      <c r="G66" s="82" t="s">
        <v>339</v>
      </c>
      <c r="H66" s="9">
        <v>0</v>
      </c>
      <c r="I66" s="7"/>
      <c r="J66" s="9"/>
      <c r="K66" s="22"/>
    </row>
    <row r="67" spans="1:11" x14ac:dyDescent="0.25">
      <c r="A67" s="21"/>
      <c r="B67" s="23"/>
      <c r="C67" s="24"/>
      <c r="D67" s="7"/>
      <c r="E67" s="9" t="s">
        <v>97</v>
      </c>
      <c r="F67" s="9" t="s">
        <v>115</v>
      </c>
      <c r="G67" s="82" t="s">
        <v>921</v>
      </c>
      <c r="H67" s="9">
        <v>0</v>
      </c>
      <c r="I67" s="7"/>
      <c r="J67" s="9"/>
      <c r="K67" s="22"/>
    </row>
    <row r="68" spans="1:11" x14ac:dyDescent="0.25">
      <c r="A68" s="21"/>
      <c r="B68" s="23"/>
      <c r="C68" s="24"/>
      <c r="D68" s="7"/>
      <c r="E68" s="9" t="s">
        <v>97</v>
      </c>
      <c r="F68" s="9" t="s">
        <v>115</v>
      </c>
      <c r="G68" s="82" t="s">
        <v>340</v>
      </c>
      <c r="H68" s="9">
        <v>0</v>
      </c>
      <c r="I68" s="7"/>
      <c r="J68" s="9"/>
      <c r="K68" s="22"/>
    </row>
    <row r="69" spans="1:11" x14ac:dyDescent="0.25">
      <c r="A69" s="21"/>
      <c r="B69" s="23"/>
      <c r="C69" s="24"/>
      <c r="D69" s="7"/>
      <c r="E69" s="9" t="s">
        <v>97</v>
      </c>
      <c r="F69" s="9" t="s">
        <v>115</v>
      </c>
      <c r="G69" s="82" t="s">
        <v>341</v>
      </c>
      <c r="H69" s="237"/>
      <c r="I69" s="7"/>
      <c r="J69" s="9"/>
      <c r="K69" s="22"/>
    </row>
    <row r="70" spans="1:11" x14ac:dyDescent="0.25">
      <c r="A70" s="21"/>
      <c r="B70" s="23"/>
      <c r="C70" s="24"/>
      <c r="D70" s="7"/>
      <c r="E70" s="9" t="s">
        <v>97</v>
      </c>
      <c r="F70" s="9" t="s">
        <v>115</v>
      </c>
      <c r="G70" s="82" t="s">
        <v>342</v>
      </c>
      <c r="H70" s="237" t="s">
        <v>922</v>
      </c>
      <c r="I70" s="7"/>
      <c r="J70" s="9"/>
      <c r="K70" s="22"/>
    </row>
    <row r="71" spans="1:11" x14ac:dyDescent="0.25">
      <c r="A71" s="21"/>
      <c r="B71" s="23"/>
      <c r="C71" s="24"/>
      <c r="D71" s="7"/>
      <c r="E71" s="9" t="s">
        <v>97</v>
      </c>
      <c r="F71" s="9" t="s">
        <v>115</v>
      </c>
      <c r="G71" s="82" t="s">
        <v>343</v>
      </c>
      <c r="H71" s="237" t="s">
        <v>922</v>
      </c>
      <c r="I71" s="7"/>
      <c r="J71" s="9"/>
      <c r="K71" s="22"/>
    </row>
    <row r="72" spans="1:11" x14ac:dyDescent="0.25">
      <c r="A72" s="21"/>
      <c r="B72" s="23"/>
      <c r="C72" s="24"/>
      <c r="D72" s="7"/>
      <c r="E72" s="9" t="s">
        <v>97</v>
      </c>
      <c r="F72" s="9" t="s">
        <v>115</v>
      </c>
      <c r="G72" s="82" t="s">
        <v>344</v>
      </c>
      <c r="H72" s="237" t="s">
        <v>922</v>
      </c>
      <c r="I72" s="7"/>
      <c r="J72" s="9"/>
      <c r="K72" s="22"/>
    </row>
    <row r="73" spans="1:11" x14ac:dyDescent="0.25">
      <c r="A73" s="21"/>
      <c r="B73" s="23"/>
      <c r="C73" s="24"/>
      <c r="D73" s="7"/>
      <c r="E73" s="9" t="s">
        <v>99</v>
      </c>
      <c r="F73" s="9" t="s">
        <v>58</v>
      </c>
      <c r="G73" s="82" t="s">
        <v>350</v>
      </c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 t="s">
        <v>99</v>
      </c>
      <c r="F74" s="9" t="s">
        <v>58</v>
      </c>
      <c r="G74" s="82" t="s">
        <v>351</v>
      </c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 t="s">
        <v>99</v>
      </c>
      <c r="F75" s="9" t="s">
        <v>116</v>
      </c>
      <c r="G75" s="82" t="s">
        <v>380</v>
      </c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 t="s">
        <v>99</v>
      </c>
      <c r="F76" s="9" t="s">
        <v>116</v>
      </c>
      <c r="G76" s="82" t="s">
        <v>381</v>
      </c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 t="s">
        <v>99</v>
      </c>
      <c r="F77" s="9" t="s">
        <v>100</v>
      </c>
      <c r="G77" s="82" t="s">
        <v>382</v>
      </c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 t="s">
        <v>99</v>
      </c>
      <c r="F78" s="9" t="s">
        <v>116</v>
      </c>
      <c r="G78" s="82" t="s">
        <v>386</v>
      </c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 t="s">
        <v>99</v>
      </c>
      <c r="F79" s="9" t="s">
        <v>116</v>
      </c>
      <c r="G79" s="82" t="s">
        <v>387</v>
      </c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 t="s">
        <v>99</v>
      </c>
      <c r="F80" s="9" t="s">
        <v>389</v>
      </c>
      <c r="G80" s="82" t="s">
        <v>388</v>
      </c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 t="s">
        <v>99</v>
      </c>
      <c r="F81" s="9" t="s">
        <v>116</v>
      </c>
      <c r="G81" s="82" t="s">
        <v>390</v>
      </c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 t="s">
        <v>99</v>
      </c>
      <c r="F82" s="9" t="s">
        <v>116</v>
      </c>
      <c r="G82" s="82" t="s">
        <v>391</v>
      </c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 t="s">
        <v>99</v>
      </c>
      <c r="F83" s="9" t="s">
        <v>58</v>
      </c>
      <c r="G83" s="82" t="s">
        <v>392</v>
      </c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 t="s">
        <v>97</v>
      </c>
      <c r="F84" s="9" t="s">
        <v>58</v>
      </c>
      <c r="G84" s="82" t="s">
        <v>393</v>
      </c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 t="s">
        <v>99</v>
      </c>
      <c r="F85" s="9" t="s">
        <v>116</v>
      </c>
      <c r="G85" s="82" t="s">
        <v>422</v>
      </c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 t="s">
        <v>99</v>
      </c>
      <c r="F86" s="9" t="s">
        <v>115</v>
      </c>
      <c r="G86" s="82" t="s">
        <v>424</v>
      </c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 t="s">
        <v>99</v>
      </c>
      <c r="F87" s="9" t="s">
        <v>116</v>
      </c>
      <c r="G87" s="82" t="s">
        <v>473</v>
      </c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 t="s">
        <v>99</v>
      </c>
      <c r="F88" s="9" t="s">
        <v>116</v>
      </c>
      <c r="G88" s="82" t="s">
        <v>474</v>
      </c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 t="s">
        <v>99</v>
      </c>
      <c r="F89" s="9" t="s">
        <v>116</v>
      </c>
      <c r="G89" s="82" t="s">
        <v>475</v>
      </c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 t="s">
        <v>97</v>
      </c>
      <c r="F90" s="9" t="s">
        <v>485</v>
      </c>
      <c r="G90" s="82" t="s">
        <v>502</v>
      </c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 t="s">
        <v>99</v>
      </c>
      <c r="F91" s="9" t="s">
        <v>58</v>
      </c>
      <c r="G91" s="22" t="s">
        <v>563</v>
      </c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 t="s">
        <v>99</v>
      </c>
      <c r="F92" s="9" t="s">
        <v>58</v>
      </c>
      <c r="G92" s="22" t="s">
        <v>564</v>
      </c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 t="s">
        <v>99</v>
      </c>
      <c r="F93" s="9" t="s">
        <v>58</v>
      </c>
      <c r="G93" s="22" t="s">
        <v>565</v>
      </c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 t="s">
        <v>99</v>
      </c>
      <c r="F94" s="9" t="s">
        <v>58</v>
      </c>
      <c r="G94" s="22" t="s">
        <v>566</v>
      </c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 t="s">
        <v>99</v>
      </c>
      <c r="F95" s="9" t="s">
        <v>58</v>
      </c>
      <c r="G95" s="22" t="s">
        <v>567</v>
      </c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 t="s">
        <v>99</v>
      </c>
      <c r="F96" s="9" t="s">
        <v>58</v>
      </c>
      <c r="G96" s="22" t="s">
        <v>568</v>
      </c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 t="s">
        <v>99</v>
      </c>
      <c r="F97" s="9" t="s">
        <v>58</v>
      </c>
      <c r="G97" s="22" t="s">
        <v>569</v>
      </c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 t="s">
        <v>97</v>
      </c>
      <c r="F98" s="9" t="s">
        <v>115</v>
      </c>
      <c r="G98" s="22" t="s">
        <v>570</v>
      </c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 t="s">
        <v>99</v>
      </c>
      <c r="F99" s="9" t="s">
        <v>115</v>
      </c>
      <c r="G99" s="22" t="s">
        <v>571</v>
      </c>
      <c r="H99" s="9"/>
      <c r="I99" s="7"/>
      <c r="J99" s="9"/>
      <c r="K99" s="22"/>
    </row>
    <row r="100" spans="1:11" ht="14.25" customHeight="1" x14ac:dyDescent="0.25">
      <c r="A100" s="21"/>
      <c r="B100" s="23"/>
      <c r="C100" s="24"/>
      <c r="D100" s="7"/>
      <c r="E100" s="9" t="s">
        <v>99</v>
      </c>
      <c r="F100" s="9" t="s">
        <v>573</v>
      </c>
      <c r="G100" s="22" t="s">
        <v>574</v>
      </c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 t="s">
        <v>99</v>
      </c>
      <c r="F101" s="9" t="s">
        <v>100</v>
      </c>
      <c r="G101" s="22" t="s">
        <v>423</v>
      </c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 t="s">
        <v>99</v>
      </c>
      <c r="F102" s="9" t="s">
        <v>100</v>
      </c>
      <c r="G102" s="22" t="s">
        <v>576</v>
      </c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 t="s">
        <v>99</v>
      </c>
      <c r="F103" s="9" t="s">
        <v>58</v>
      </c>
      <c r="G103" s="22" t="s">
        <v>586</v>
      </c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 t="s">
        <v>99</v>
      </c>
      <c r="F104" s="9" t="s">
        <v>58</v>
      </c>
      <c r="G104" s="22" t="s">
        <v>587</v>
      </c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 t="s">
        <v>99</v>
      </c>
      <c r="F105" s="9" t="s">
        <v>58</v>
      </c>
      <c r="G105" s="22" t="s">
        <v>588</v>
      </c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 t="s">
        <v>99</v>
      </c>
      <c r="F106" s="9" t="s">
        <v>58</v>
      </c>
      <c r="G106" s="22" t="s">
        <v>589</v>
      </c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 t="s">
        <v>99</v>
      </c>
      <c r="F107" s="9" t="s">
        <v>100</v>
      </c>
      <c r="G107" s="22" t="s">
        <v>603</v>
      </c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 t="s">
        <v>99</v>
      </c>
      <c r="F108" s="9" t="s">
        <v>100</v>
      </c>
      <c r="G108" s="22" t="s">
        <v>604</v>
      </c>
      <c r="H108" s="119"/>
      <c r="I108" s="7"/>
      <c r="J108" s="9"/>
      <c r="K108" s="22"/>
    </row>
    <row r="109" spans="1:11" x14ac:dyDescent="0.25">
      <c r="A109" s="21"/>
      <c r="B109" s="23"/>
      <c r="C109" s="24"/>
      <c r="D109" s="7"/>
      <c r="E109" s="9" t="s">
        <v>99</v>
      </c>
      <c r="F109" s="9" t="s">
        <v>115</v>
      </c>
      <c r="G109" s="22" t="s">
        <v>605</v>
      </c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 t="s">
        <v>99</v>
      </c>
      <c r="F110" s="9" t="s">
        <v>115</v>
      </c>
      <c r="G110" s="22" t="s">
        <v>606</v>
      </c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 t="s">
        <v>99</v>
      </c>
      <c r="F111" s="9" t="s">
        <v>116</v>
      </c>
      <c r="G111" s="22" t="s">
        <v>618</v>
      </c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  <row r="114" spans="1:11" x14ac:dyDescent="0.25">
      <c r="E114" s="9"/>
      <c r="F114" s="9"/>
      <c r="G114" s="22"/>
      <c r="H114" s="9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34:E51 E53 E56 E58 E60 E62 E91:E111 E13:E32 E64:E89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1"/>
  <sheetViews>
    <sheetView topLeftCell="A106" workbookViewId="0">
      <selection activeCell="A117" sqref="A117"/>
    </sheetView>
  </sheetViews>
  <sheetFormatPr defaultRowHeight="15" x14ac:dyDescent="0.25"/>
  <cols>
    <col min="1" max="1" width="47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53" t="s">
        <v>0</v>
      </c>
      <c r="B5" s="253"/>
      <c r="C5" s="253"/>
      <c r="D5" s="253"/>
      <c r="E5" s="253"/>
      <c r="F5" s="253"/>
      <c r="G5" s="253"/>
      <c r="H5" s="253"/>
      <c r="I5" s="253"/>
      <c r="J5" s="253"/>
      <c r="K5" s="253"/>
      <c r="L5" s="25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54" t="s">
        <v>1</v>
      </c>
      <c r="B7" s="254"/>
      <c r="C7" s="254"/>
      <c r="D7" s="254"/>
      <c r="E7" s="254"/>
      <c r="F7" s="254"/>
      <c r="G7" s="254"/>
      <c r="H7" s="254"/>
      <c r="I7" s="254"/>
      <c r="J7" s="254"/>
      <c r="K7" s="254"/>
      <c r="L7" s="25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68" t="s">
        <v>33</v>
      </c>
      <c r="B10" s="257"/>
      <c r="C10" s="269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66</v>
      </c>
      <c r="B12" s="25"/>
      <c r="C12" s="25"/>
    </row>
    <row r="13" spans="1:12" x14ac:dyDescent="0.25">
      <c r="A13" t="s">
        <v>67</v>
      </c>
      <c r="B13" s="25"/>
      <c r="C13" s="25"/>
    </row>
    <row r="14" spans="1:12" x14ac:dyDescent="0.25">
      <c r="A14" t="s">
        <v>68</v>
      </c>
      <c r="B14" s="25"/>
      <c r="C14" s="25"/>
    </row>
    <row r="15" spans="1:12" x14ac:dyDescent="0.25">
      <c r="A15" t="s">
        <v>69</v>
      </c>
      <c r="B15" s="25"/>
      <c r="C15" s="25"/>
    </row>
    <row r="16" spans="1:12" x14ac:dyDescent="0.25">
      <c r="A16" t="s">
        <v>70</v>
      </c>
      <c r="B16" s="25"/>
      <c r="C16" s="25"/>
    </row>
    <row r="17" spans="1:3" x14ac:dyDescent="0.25">
      <c r="A17" t="s">
        <v>71</v>
      </c>
      <c r="B17" s="25"/>
      <c r="C17" s="25"/>
    </row>
    <row r="18" spans="1:3" x14ac:dyDescent="0.25">
      <c r="A18" t="s">
        <v>72</v>
      </c>
      <c r="B18" s="25"/>
      <c r="C18" s="25"/>
    </row>
    <row r="19" spans="1:3" x14ac:dyDescent="0.25">
      <c r="A19" t="s">
        <v>73</v>
      </c>
      <c r="B19" s="25"/>
      <c r="C19" s="25"/>
    </row>
    <row r="20" spans="1:3" x14ac:dyDescent="0.25">
      <c r="A20" t="s">
        <v>74</v>
      </c>
      <c r="B20" s="25"/>
      <c r="C20" s="25"/>
    </row>
    <row r="21" spans="1:3" x14ac:dyDescent="0.25">
      <c r="A21" t="s">
        <v>75</v>
      </c>
      <c r="B21" s="25"/>
      <c r="C21" s="25"/>
    </row>
    <row r="22" spans="1:3" x14ac:dyDescent="0.25">
      <c r="A22" t="s">
        <v>76</v>
      </c>
      <c r="B22" s="25"/>
      <c r="C22" s="25"/>
    </row>
    <row r="23" spans="1:3" x14ac:dyDescent="0.25">
      <c r="A23" t="s">
        <v>77</v>
      </c>
      <c r="B23" s="25"/>
      <c r="C23" s="25"/>
    </row>
    <row r="24" spans="1:3" x14ac:dyDescent="0.25">
      <c r="A24" t="s">
        <v>78</v>
      </c>
      <c r="B24" s="25"/>
      <c r="C24" s="25"/>
    </row>
    <row r="25" spans="1:3" x14ac:dyDescent="0.25">
      <c r="A25" t="s">
        <v>79</v>
      </c>
      <c r="B25" s="25"/>
      <c r="C25" s="25"/>
    </row>
    <row r="26" spans="1:3" x14ac:dyDescent="0.25">
      <c r="A26" t="s">
        <v>80</v>
      </c>
      <c r="B26" s="25"/>
      <c r="C26" s="25"/>
    </row>
    <row r="27" spans="1:3" x14ac:dyDescent="0.25">
      <c r="A27" t="s">
        <v>81</v>
      </c>
      <c r="B27" s="25"/>
      <c r="C27" s="25"/>
    </row>
    <row r="28" spans="1:3" x14ac:dyDescent="0.25">
      <c r="A28" t="s">
        <v>83</v>
      </c>
      <c r="B28" s="25"/>
      <c r="C28" s="25"/>
    </row>
    <row r="29" spans="1:3" x14ac:dyDescent="0.25">
      <c r="A29" t="s">
        <v>84</v>
      </c>
      <c r="B29" s="25"/>
      <c r="C29" s="25"/>
    </row>
    <row r="30" spans="1:3" x14ac:dyDescent="0.25">
      <c r="A30" t="s">
        <v>85</v>
      </c>
      <c r="B30" s="25"/>
      <c r="C30" s="25"/>
    </row>
    <row r="31" spans="1:3" x14ac:dyDescent="0.25">
      <c r="A31" t="s">
        <v>86</v>
      </c>
      <c r="B31" s="25"/>
      <c r="C31" s="25"/>
    </row>
    <row r="32" spans="1:3" x14ac:dyDescent="0.25">
      <c r="A32" t="s">
        <v>87</v>
      </c>
      <c r="B32" s="25"/>
      <c r="C32" s="25"/>
    </row>
    <row r="33" spans="1:3" x14ac:dyDescent="0.25">
      <c r="A33" t="s">
        <v>88</v>
      </c>
      <c r="B33" s="25"/>
      <c r="C33" s="25"/>
    </row>
    <row r="34" spans="1:3" x14ac:dyDescent="0.25">
      <c r="A34" t="s">
        <v>89</v>
      </c>
      <c r="B34" s="25"/>
      <c r="C34" s="25"/>
    </row>
    <row r="35" spans="1:3" x14ac:dyDescent="0.25">
      <c r="A35" t="s">
        <v>90</v>
      </c>
      <c r="B35" s="25"/>
      <c r="C35" s="25"/>
    </row>
    <row r="36" spans="1:3" x14ac:dyDescent="0.25">
      <c r="A36" t="s">
        <v>91</v>
      </c>
      <c r="B36" s="25"/>
      <c r="C36" s="25"/>
    </row>
    <row r="37" spans="1:3" x14ac:dyDescent="0.25">
      <c r="A37" t="s">
        <v>92</v>
      </c>
      <c r="B37" s="25"/>
      <c r="C37" s="25"/>
    </row>
    <row r="38" spans="1:3" x14ac:dyDescent="0.25">
      <c r="A38" t="s">
        <v>93</v>
      </c>
      <c r="B38" s="25"/>
      <c r="C38" s="25"/>
    </row>
    <row r="39" spans="1:3" x14ac:dyDescent="0.25">
      <c r="A39" t="s">
        <v>94</v>
      </c>
      <c r="B39" s="25"/>
      <c r="C39" s="25"/>
    </row>
    <row r="40" spans="1:3" x14ac:dyDescent="0.25">
      <c r="A40" t="s">
        <v>96</v>
      </c>
      <c r="B40" s="25"/>
      <c r="C40" s="25"/>
    </row>
    <row r="41" spans="1:3" x14ac:dyDescent="0.25">
      <c r="A41" t="s">
        <v>98</v>
      </c>
      <c r="B41" s="25"/>
      <c r="C41" s="25"/>
    </row>
    <row r="42" spans="1:3" x14ac:dyDescent="0.25">
      <c r="A42" t="s">
        <v>101</v>
      </c>
      <c r="B42" s="25"/>
      <c r="C42" s="25"/>
    </row>
    <row r="43" spans="1:3" x14ac:dyDescent="0.25">
      <c r="A43" t="s">
        <v>102</v>
      </c>
      <c r="B43" s="25"/>
      <c r="C43" s="25"/>
    </row>
    <row r="44" spans="1:3" x14ac:dyDescent="0.25">
      <c r="A44" t="s">
        <v>104</v>
      </c>
      <c r="B44" s="25"/>
      <c r="C44" s="25"/>
    </row>
    <row r="45" spans="1:3" x14ac:dyDescent="0.25">
      <c r="A45" t="s">
        <v>105</v>
      </c>
      <c r="B45" s="25"/>
      <c r="C45" s="25"/>
    </row>
    <row r="46" spans="1:3" x14ac:dyDescent="0.25">
      <c r="A46" t="s">
        <v>106</v>
      </c>
      <c r="B46" s="25"/>
      <c r="C46" s="25"/>
    </row>
    <row r="47" spans="1:3" x14ac:dyDescent="0.25">
      <c r="A47" t="s">
        <v>82</v>
      </c>
      <c r="B47" s="25"/>
      <c r="C47" s="25"/>
    </row>
    <row r="48" spans="1:3" x14ac:dyDescent="0.25">
      <c r="A48" t="s">
        <v>107</v>
      </c>
      <c r="B48" s="25"/>
      <c r="C48" s="25"/>
    </row>
    <row r="49" spans="1:3" x14ac:dyDescent="0.25">
      <c r="A49" t="s">
        <v>108</v>
      </c>
      <c r="B49" s="25"/>
      <c r="C49" s="25"/>
    </row>
    <row r="50" spans="1:3" x14ac:dyDescent="0.25">
      <c r="A50" t="s">
        <v>110</v>
      </c>
      <c r="B50" s="25"/>
      <c r="C50" s="25"/>
    </row>
    <row r="51" spans="1:3" x14ac:dyDescent="0.25">
      <c r="A51" t="s">
        <v>111</v>
      </c>
      <c r="B51" s="25"/>
      <c r="C51" s="25"/>
    </row>
    <row r="52" spans="1:3" x14ac:dyDescent="0.25">
      <c r="A52" t="s">
        <v>112</v>
      </c>
      <c r="B52" s="25"/>
      <c r="C52" s="25"/>
    </row>
    <row r="53" spans="1:3" x14ac:dyDescent="0.25">
      <c r="A53" t="s">
        <v>113</v>
      </c>
      <c r="B53" s="25"/>
      <c r="C53" s="25"/>
    </row>
    <row r="54" spans="1:3" x14ac:dyDescent="0.25">
      <c r="A54" t="s">
        <v>114</v>
      </c>
      <c r="B54" s="25"/>
      <c r="C54" s="25"/>
    </row>
    <row r="55" spans="1:3" x14ac:dyDescent="0.25">
      <c r="A55" t="s">
        <v>117</v>
      </c>
      <c r="B55" s="25"/>
      <c r="C55" s="25"/>
    </row>
    <row r="56" spans="1:3" x14ac:dyDescent="0.25">
      <c r="A56" t="s">
        <v>118</v>
      </c>
      <c r="B56" s="25"/>
      <c r="C56" s="25"/>
    </row>
    <row r="57" spans="1:3" x14ac:dyDescent="0.25">
      <c r="A57" t="s">
        <v>119</v>
      </c>
      <c r="B57" s="25"/>
      <c r="C57" s="25"/>
    </row>
    <row r="58" spans="1:3" x14ac:dyDescent="0.25">
      <c r="A58" t="s">
        <v>120</v>
      </c>
      <c r="B58" s="25"/>
      <c r="C58" s="25"/>
    </row>
    <row r="59" spans="1:3" x14ac:dyDescent="0.25">
      <c r="A59" t="s">
        <v>121</v>
      </c>
      <c r="B59" s="25"/>
      <c r="C59" s="25"/>
    </row>
    <row r="60" spans="1:3" x14ac:dyDescent="0.25">
      <c r="A60" t="s">
        <v>122</v>
      </c>
      <c r="B60" s="25"/>
      <c r="C60" s="25"/>
    </row>
    <row r="61" spans="1:3" x14ac:dyDescent="0.25">
      <c r="A61" t="s">
        <v>123</v>
      </c>
      <c r="B61" s="25"/>
      <c r="C61" s="25"/>
    </row>
    <row r="62" spans="1:3" x14ac:dyDescent="0.25">
      <c r="A62" t="s">
        <v>124</v>
      </c>
      <c r="B62" s="25"/>
      <c r="C62" s="25"/>
    </row>
    <row r="63" spans="1:3" x14ac:dyDescent="0.25">
      <c r="A63" t="s">
        <v>125</v>
      </c>
      <c r="B63" s="25"/>
      <c r="C63" s="25"/>
    </row>
    <row r="64" spans="1:3" x14ac:dyDescent="0.25">
      <c r="A64" t="s">
        <v>126</v>
      </c>
      <c r="B64" s="25"/>
      <c r="C64" s="25"/>
    </row>
    <row r="65" spans="1:3" x14ac:dyDescent="0.25">
      <c r="A65" t="s">
        <v>128</v>
      </c>
      <c r="B65" s="25"/>
      <c r="C65" s="25"/>
    </row>
    <row r="66" spans="1:3" x14ac:dyDescent="0.25">
      <c r="A66" t="s">
        <v>129</v>
      </c>
      <c r="B66" s="25"/>
      <c r="C66" s="25"/>
    </row>
    <row r="67" spans="1:3" x14ac:dyDescent="0.25">
      <c r="A67" t="s">
        <v>130</v>
      </c>
      <c r="B67" s="25"/>
      <c r="C67" s="25"/>
    </row>
    <row r="68" spans="1:3" x14ac:dyDescent="0.25">
      <c r="A68" t="s">
        <v>131</v>
      </c>
      <c r="B68" s="25"/>
      <c r="C68" s="25"/>
    </row>
    <row r="69" spans="1:3" x14ac:dyDescent="0.25">
      <c r="A69" t="s">
        <v>132</v>
      </c>
      <c r="B69" s="25"/>
      <c r="C69" s="25"/>
    </row>
    <row r="70" spans="1:3" x14ac:dyDescent="0.25">
      <c r="A70" t="s">
        <v>133</v>
      </c>
      <c r="B70" s="25"/>
      <c r="C70" s="25"/>
    </row>
    <row r="71" spans="1:3" x14ac:dyDescent="0.25">
      <c r="A71" t="s">
        <v>134</v>
      </c>
      <c r="B71" s="25"/>
      <c r="C71" s="25"/>
    </row>
    <row r="72" spans="1:3" x14ac:dyDescent="0.25">
      <c r="A72" t="s">
        <v>135</v>
      </c>
      <c r="B72" s="25"/>
      <c r="C72" s="25"/>
    </row>
    <row r="73" spans="1:3" x14ac:dyDescent="0.25">
      <c r="A73" t="s">
        <v>136</v>
      </c>
      <c r="B73" s="25"/>
      <c r="C73" s="25"/>
    </row>
    <row r="74" spans="1:3" x14ac:dyDescent="0.25">
      <c r="A74" t="s">
        <v>95</v>
      </c>
      <c r="B74" s="25"/>
      <c r="C74" s="25"/>
    </row>
    <row r="75" spans="1:3" x14ac:dyDescent="0.25">
      <c r="A75" t="s">
        <v>138</v>
      </c>
      <c r="B75" s="25"/>
      <c r="C75" s="25"/>
    </row>
    <row r="76" spans="1:3" x14ac:dyDescent="0.25">
      <c r="A76" t="s">
        <v>139</v>
      </c>
      <c r="B76" s="25"/>
      <c r="C76" s="25"/>
    </row>
    <row r="77" spans="1:3" x14ac:dyDescent="0.25">
      <c r="A77" t="s">
        <v>140</v>
      </c>
      <c r="B77" s="25"/>
      <c r="C77" s="25"/>
    </row>
    <row r="78" spans="1:3" x14ac:dyDescent="0.25">
      <c r="A78" t="s">
        <v>142</v>
      </c>
      <c r="B78" s="25"/>
      <c r="C78" s="25"/>
    </row>
    <row r="79" spans="1:3" x14ac:dyDescent="0.25">
      <c r="A79" t="s">
        <v>143</v>
      </c>
      <c r="B79" s="25"/>
      <c r="C79" s="25"/>
    </row>
    <row r="80" spans="1:3" x14ac:dyDescent="0.25">
      <c r="A80" t="s">
        <v>146</v>
      </c>
      <c r="B80" s="25"/>
      <c r="C80" s="25"/>
    </row>
    <row r="81" spans="1:3" x14ac:dyDescent="0.25">
      <c r="A81" t="s">
        <v>145</v>
      </c>
      <c r="B81" s="25"/>
      <c r="C81" s="25"/>
    </row>
    <row r="82" spans="1:3" x14ac:dyDescent="0.25">
      <c r="A82" t="s">
        <v>144</v>
      </c>
      <c r="B82" s="25"/>
      <c r="C82" s="25"/>
    </row>
    <row r="83" spans="1:3" x14ac:dyDescent="0.25">
      <c r="A83" t="s">
        <v>183</v>
      </c>
      <c r="B83" s="25"/>
      <c r="C83" s="25"/>
    </row>
    <row r="84" spans="1:3" x14ac:dyDescent="0.25">
      <c r="A84" t="s">
        <v>185</v>
      </c>
      <c r="B84" s="25"/>
      <c r="C84" s="25"/>
    </row>
    <row r="85" spans="1:3" x14ac:dyDescent="0.25">
      <c r="A85" t="s">
        <v>186</v>
      </c>
      <c r="B85" s="25"/>
      <c r="C85" s="25"/>
    </row>
    <row r="86" spans="1:3" x14ac:dyDescent="0.25">
      <c r="A86" t="s">
        <v>187</v>
      </c>
      <c r="B86" s="25"/>
      <c r="C86" s="25"/>
    </row>
    <row r="87" spans="1:3" x14ac:dyDescent="0.25">
      <c r="A87" t="s">
        <v>188</v>
      </c>
      <c r="B87" s="25"/>
      <c r="C87" s="25"/>
    </row>
    <row r="88" spans="1:3" x14ac:dyDescent="0.25">
      <c r="A88" t="s">
        <v>204</v>
      </c>
      <c r="B88" s="25"/>
      <c r="C88" s="25"/>
    </row>
    <row r="89" spans="1:3" x14ac:dyDescent="0.25">
      <c r="A89" t="s">
        <v>205</v>
      </c>
      <c r="B89" s="25"/>
      <c r="C89" s="25"/>
    </row>
    <row r="90" spans="1:3" x14ac:dyDescent="0.25">
      <c r="A90" t="s">
        <v>206</v>
      </c>
      <c r="B90" s="25"/>
      <c r="C90" s="25"/>
    </row>
    <row r="91" spans="1:3" x14ac:dyDescent="0.25">
      <c r="A91" t="s">
        <v>207</v>
      </c>
      <c r="B91" s="25"/>
      <c r="C91" s="25"/>
    </row>
    <row r="92" spans="1:3" x14ac:dyDescent="0.25">
      <c r="A92" t="s">
        <v>208</v>
      </c>
      <c r="B92" s="25"/>
      <c r="C92" s="25"/>
    </row>
    <row r="93" spans="1:3" x14ac:dyDescent="0.25">
      <c r="A93" t="s">
        <v>210</v>
      </c>
      <c r="B93" s="25"/>
      <c r="C93" s="25"/>
    </row>
    <row r="94" spans="1:3" x14ac:dyDescent="0.25">
      <c r="A94" t="s">
        <v>212</v>
      </c>
      <c r="B94" s="25"/>
      <c r="C94" s="25"/>
    </row>
    <row r="95" spans="1:3" x14ac:dyDescent="0.25">
      <c r="A95" t="s">
        <v>211</v>
      </c>
      <c r="B95" s="25"/>
      <c r="C95" s="25"/>
    </row>
    <row r="96" spans="1:3" x14ac:dyDescent="0.25">
      <c r="A96" t="s">
        <v>230</v>
      </c>
      <c r="B96" s="25"/>
      <c r="C96" s="25"/>
    </row>
    <row r="97" spans="1:3" x14ac:dyDescent="0.25">
      <c r="A97" t="s">
        <v>231</v>
      </c>
      <c r="B97" s="25"/>
      <c r="C97" s="25"/>
    </row>
    <row r="98" spans="1:3" x14ac:dyDescent="0.25">
      <c r="A98" t="s">
        <v>232</v>
      </c>
      <c r="B98" s="25"/>
      <c r="C98" s="25"/>
    </row>
    <row r="99" spans="1:3" x14ac:dyDescent="0.25">
      <c r="A99" t="s">
        <v>236</v>
      </c>
      <c r="B99" s="25"/>
      <c r="C99" s="25"/>
    </row>
    <row r="100" spans="1:3" x14ac:dyDescent="0.25">
      <c r="A100" t="s">
        <v>237</v>
      </c>
      <c r="B100" s="25"/>
      <c r="C100" s="25"/>
    </row>
    <row r="101" spans="1:3" x14ac:dyDescent="0.25">
      <c r="A101" t="s">
        <v>238</v>
      </c>
      <c r="B101" s="25"/>
      <c r="C101" s="25"/>
    </row>
    <row r="102" spans="1:3" x14ac:dyDescent="0.25">
      <c r="A102" t="s">
        <v>243</v>
      </c>
      <c r="B102" s="25"/>
      <c r="C102" s="25"/>
    </row>
    <row r="103" spans="1:3" x14ac:dyDescent="0.25">
      <c r="A103" t="s">
        <v>245</v>
      </c>
      <c r="B103" s="25"/>
      <c r="C103" s="25"/>
    </row>
    <row r="104" spans="1:3" x14ac:dyDescent="0.25">
      <c r="A104" t="s">
        <v>246</v>
      </c>
      <c r="B104" s="25"/>
      <c r="C104" s="25"/>
    </row>
    <row r="105" spans="1:3" x14ac:dyDescent="0.25">
      <c r="A105" t="s">
        <v>247</v>
      </c>
      <c r="B105" s="25"/>
      <c r="C105" s="25"/>
    </row>
    <row r="106" spans="1:3" x14ac:dyDescent="0.25">
      <c r="A106" t="s">
        <v>248</v>
      </c>
      <c r="B106" s="25"/>
      <c r="C106" s="25"/>
    </row>
    <row r="107" spans="1:3" x14ac:dyDescent="0.25">
      <c r="A107" t="s">
        <v>249</v>
      </c>
      <c r="B107" s="25"/>
      <c r="C107" s="25"/>
    </row>
    <row r="108" spans="1:3" x14ac:dyDescent="0.25">
      <c r="A108" t="s">
        <v>260</v>
      </c>
      <c r="B108" s="25"/>
      <c r="C108" s="25"/>
    </row>
    <row r="109" spans="1:3" x14ac:dyDescent="0.25">
      <c r="A109" t="s">
        <v>261</v>
      </c>
      <c r="B109" s="25"/>
      <c r="C109" s="25"/>
    </row>
    <row r="110" spans="1:3" x14ac:dyDescent="0.25">
      <c r="A110" t="s">
        <v>250</v>
      </c>
      <c r="B110" s="25"/>
      <c r="C110" s="25"/>
    </row>
    <row r="111" spans="1:3" x14ac:dyDescent="0.25">
      <c r="A111" t="s">
        <v>251</v>
      </c>
      <c r="B111" s="25"/>
      <c r="C111" s="25"/>
    </row>
    <row r="112" spans="1:3" x14ac:dyDescent="0.25">
      <c r="A112" t="s">
        <v>252</v>
      </c>
      <c r="B112" s="25"/>
      <c r="C112" s="25"/>
    </row>
    <row r="113" spans="1:3" x14ac:dyDescent="0.25">
      <c r="A113" t="s">
        <v>253</v>
      </c>
      <c r="B113" s="25"/>
      <c r="C113" s="25"/>
    </row>
    <row r="114" spans="1:3" x14ac:dyDescent="0.25">
      <c r="A114" t="s">
        <v>254</v>
      </c>
      <c r="B114" s="25"/>
      <c r="C114" s="25"/>
    </row>
    <row r="115" spans="1:3" x14ac:dyDescent="0.25">
      <c r="A115" t="s">
        <v>255</v>
      </c>
      <c r="B115" s="25"/>
      <c r="C115" s="25"/>
    </row>
    <row r="116" spans="1:3" x14ac:dyDescent="0.25">
      <c r="A116" t="s">
        <v>262</v>
      </c>
      <c r="B116" s="25"/>
      <c r="C116" s="25"/>
    </row>
    <row r="117" spans="1:3" x14ac:dyDescent="0.25">
      <c r="A117" t="s">
        <v>263</v>
      </c>
      <c r="B117" s="25"/>
      <c r="C117" s="25"/>
    </row>
    <row r="118" spans="1:3" x14ac:dyDescent="0.25">
      <c r="A118" t="s">
        <v>264</v>
      </c>
      <c r="B118" s="25"/>
      <c r="C118" s="25"/>
    </row>
    <row r="119" spans="1:3" x14ac:dyDescent="0.25">
      <c r="A119" t="s">
        <v>265</v>
      </c>
      <c r="B119" s="25"/>
      <c r="C119" s="25"/>
    </row>
    <row r="120" spans="1:3" x14ac:dyDescent="0.25">
      <c r="A120" t="s">
        <v>285</v>
      </c>
      <c r="B120" s="25"/>
      <c r="C120" s="25"/>
    </row>
    <row r="121" spans="1:3" x14ac:dyDescent="0.25">
      <c r="A121" t="s">
        <v>286</v>
      </c>
      <c r="B121" s="25"/>
      <c r="C121" s="25"/>
    </row>
    <row r="122" spans="1:3" x14ac:dyDescent="0.25">
      <c r="A122" t="s">
        <v>266</v>
      </c>
      <c r="B122" s="25"/>
      <c r="C122" s="25"/>
    </row>
    <row r="123" spans="1:3" x14ac:dyDescent="0.25">
      <c r="A123" t="s">
        <v>267</v>
      </c>
      <c r="B123" s="25"/>
      <c r="C123" s="25"/>
    </row>
    <row r="124" spans="1:3" x14ac:dyDescent="0.25">
      <c r="A124" t="s">
        <v>269</v>
      </c>
      <c r="B124" s="25"/>
      <c r="C124" s="25"/>
    </row>
    <row r="125" spans="1:3" x14ac:dyDescent="0.25">
      <c r="A125" t="s">
        <v>279</v>
      </c>
      <c r="B125" s="25"/>
      <c r="C125" s="25"/>
    </row>
    <row r="126" spans="1:3" x14ac:dyDescent="0.25">
      <c r="A126" t="s">
        <v>276</v>
      </c>
      <c r="B126" s="25"/>
      <c r="C126" s="25"/>
    </row>
    <row r="127" spans="1:3" x14ac:dyDescent="0.25">
      <c r="A127" t="s">
        <v>280</v>
      </c>
      <c r="B127" s="25"/>
      <c r="C127" s="25"/>
    </row>
    <row r="128" spans="1:3" x14ac:dyDescent="0.25">
      <c r="A128" t="s">
        <v>277</v>
      </c>
      <c r="B128" s="25"/>
      <c r="C128" s="25"/>
    </row>
    <row r="129" spans="1:3" x14ac:dyDescent="0.25">
      <c r="A129" t="s">
        <v>281</v>
      </c>
      <c r="B129" s="25"/>
      <c r="C129" s="25"/>
    </row>
    <row r="130" spans="1:3" x14ac:dyDescent="0.25">
      <c r="A130" t="s">
        <v>278</v>
      </c>
      <c r="B130" s="25"/>
      <c r="C130" s="25"/>
    </row>
    <row r="131" spans="1:3" x14ac:dyDescent="0.25">
      <c r="A131" t="s">
        <v>275</v>
      </c>
      <c r="B131" s="25"/>
      <c r="C131" s="25"/>
    </row>
    <row r="132" spans="1:3" x14ac:dyDescent="0.25">
      <c r="A132" t="s">
        <v>258</v>
      </c>
      <c r="B132" s="25"/>
      <c r="C132" s="25"/>
    </row>
    <row r="133" spans="1:3" x14ac:dyDescent="0.25">
      <c r="A133" t="s">
        <v>274</v>
      </c>
      <c r="B133" s="25"/>
      <c r="C133" s="25"/>
    </row>
    <row r="134" spans="1:3" x14ac:dyDescent="0.25">
      <c r="A134" t="s">
        <v>259</v>
      </c>
      <c r="B134" s="25"/>
      <c r="C134" s="25"/>
    </row>
    <row r="135" spans="1:3" x14ac:dyDescent="0.25">
      <c r="A135" t="s">
        <v>256</v>
      </c>
      <c r="B135" s="25"/>
      <c r="C135" s="25"/>
    </row>
    <row r="136" spans="1:3" x14ac:dyDescent="0.25">
      <c r="A136" t="s">
        <v>257</v>
      </c>
      <c r="B136" s="25"/>
      <c r="C136" s="25"/>
    </row>
    <row r="137" spans="1:3" x14ac:dyDescent="0.25">
      <c r="A137" t="s">
        <v>271</v>
      </c>
      <c r="B137" s="25"/>
      <c r="C137" s="25"/>
    </row>
    <row r="138" spans="1:3" x14ac:dyDescent="0.25">
      <c r="A138" t="s">
        <v>287</v>
      </c>
      <c r="B138" s="25"/>
      <c r="C138" s="25"/>
    </row>
    <row r="139" spans="1:3" x14ac:dyDescent="0.25">
      <c r="A139" t="s">
        <v>288</v>
      </c>
      <c r="B139" s="25"/>
      <c r="C139" s="25"/>
    </row>
    <row r="140" spans="1:3" x14ac:dyDescent="0.25">
      <c r="A140" t="s">
        <v>289</v>
      </c>
      <c r="B140" s="25"/>
      <c r="C140" s="25"/>
    </row>
    <row r="141" spans="1:3" x14ac:dyDescent="0.25">
      <c r="A141" t="s">
        <v>290</v>
      </c>
      <c r="B141" s="25"/>
      <c r="C141" s="25"/>
    </row>
    <row r="142" spans="1:3" x14ac:dyDescent="0.25">
      <c r="A142" t="s">
        <v>291</v>
      </c>
      <c r="B142" s="25"/>
      <c r="C142" s="25"/>
    </row>
    <row r="143" spans="1:3" x14ac:dyDescent="0.25">
      <c r="A143" t="s">
        <v>292</v>
      </c>
      <c r="B143" s="25"/>
      <c r="C143" s="25"/>
    </row>
    <row r="144" spans="1:3" x14ac:dyDescent="0.25">
      <c r="A144" t="s">
        <v>293</v>
      </c>
      <c r="B144" s="25"/>
      <c r="C144" s="25"/>
    </row>
    <row r="145" spans="1:3" x14ac:dyDescent="0.25">
      <c r="A145" t="s">
        <v>294</v>
      </c>
      <c r="B145" s="25"/>
      <c r="C145" s="25"/>
    </row>
    <row r="146" spans="1:3" x14ac:dyDescent="0.25">
      <c r="A146" t="s">
        <v>295</v>
      </c>
      <c r="B146" s="25"/>
      <c r="C146" s="25"/>
    </row>
    <row r="147" spans="1:3" x14ac:dyDescent="0.25">
      <c r="A147" t="s">
        <v>296</v>
      </c>
      <c r="B147" s="25"/>
      <c r="C147" s="25"/>
    </row>
    <row r="148" spans="1:3" x14ac:dyDescent="0.25">
      <c r="A148" t="s">
        <v>297</v>
      </c>
      <c r="B148" s="25"/>
      <c r="C148" s="25"/>
    </row>
    <row r="149" spans="1:3" x14ac:dyDescent="0.25">
      <c r="A149" t="s">
        <v>328</v>
      </c>
      <c r="B149" s="25"/>
      <c r="C149" s="25"/>
    </row>
    <row r="150" spans="1:3" x14ac:dyDescent="0.25">
      <c r="A150" t="s">
        <v>327</v>
      </c>
      <c r="B150" s="25"/>
      <c r="C150" s="25"/>
    </row>
    <row r="151" spans="1:3" x14ac:dyDescent="0.25">
      <c r="A151" t="s">
        <v>325</v>
      </c>
      <c r="B151" s="25"/>
      <c r="C151" s="25"/>
    </row>
    <row r="152" spans="1:3" x14ac:dyDescent="0.25">
      <c r="A152" t="s">
        <v>326</v>
      </c>
      <c r="B152" s="25"/>
      <c r="C152" s="25"/>
    </row>
    <row r="153" spans="1:3" x14ac:dyDescent="0.25">
      <c r="A153" t="s">
        <v>340</v>
      </c>
      <c r="B153" s="25"/>
      <c r="C153" s="25"/>
    </row>
    <row r="154" spans="1:3" x14ac:dyDescent="0.25">
      <c r="A154" t="s">
        <v>341</v>
      </c>
      <c r="B154" s="25"/>
      <c r="C154" s="25"/>
    </row>
    <row r="155" spans="1:3" x14ac:dyDescent="0.25">
      <c r="A155" t="s">
        <v>342</v>
      </c>
      <c r="B155" s="25"/>
      <c r="C155" s="25"/>
    </row>
    <row r="156" spans="1:3" x14ac:dyDescent="0.25">
      <c r="A156" t="s">
        <v>343</v>
      </c>
      <c r="B156" s="25"/>
      <c r="C156" s="25"/>
    </row>
    <row r="157" spans="1:3" x14ac:dyDescent="0.25">
      <c r="A157" t="s">
        <v>344</v>
      </c>
      <c r="B157" s="25"/>
      <c r="C157" s="25"/>
    </row>
    <row r="158" spans="1:3" x14ac:dyDescent="0.25">
      <c r="A158" t="s">
        <v>350</v>
      </c>
      <c r="B158" s="25"/>
      <c r="C158" s="25"/>
    </row>
    <row r="159" spans="1:3" x14ac:dyDescent="0.25">
      <c r="A159" t="s">
        <v>351</v>
      </c>
      <c r="B159" s="25"/>
      <c r="C159" s="25"/>
    </row>
    <row r="160" spans="1:3" x14ac:dyDescent="0.25">
      <c r="A160" t="s">
        <v>352</v>
      </c>
      <c r="B160" s="25"/>
      <c r="C160" s="25"/>
    </row>
    <row r="161" spans="1:3" x14ac:dyDescent="0.25">
      <c r="A161" t="s">
        <v>380</v>
      </c>
      <c r="B161" s="25"/>
      <c r="C161" s="25"/>
    </row>
    <row r="162" spans="1:3" x14ac:dyDescent="0.25">
      <c r="A162" t="s">
        <v>381</v>
      </c>
      <c r="B162" s="25"/>
      <c r="C162" s="25"/>
    </row>
    <row r="163" spans="1:3" x14ac:dyDescent="0.25">
      <c r="A163" t="s">
        <v>382</v>
      </c>
      <c r="B163" s="25"/>
      <c r="C163" s="25"/>
    </row>
    <row r="164" spans="1:3" x14ac:dyDescent="0.25">
      <c r="A164" t="s">
        <v>383</v>
      </c>
      <c r="B164" s="25"/>
      <c r="C164" s="25"/>
    </row>
    <row r="165" spans="1:3" x14ac:dyDescent="0.25">
      <c r="A165" t="s">
        <v>385</v>
      </c>
      <c r="B165" s="25"/>
      <c r="C165" s="25"/>
    </row>
    <row r="166" spans="1:3" x14ac:dyDescent="0.25">
      <c r="A166" t="s">
        <v>386</v>
      </c>
      <c r="B166" s="25"/>
      <c r="C166" s="25"/>
    </row>
    <row r="167" spans="1:3" x14ac:dyDescent="0.25">
      <c r="A167" t="s">
        <v>387</v>
      </c>
      <c r="B167" s="25"/>
      <c r="C167" s="25"/>
    </row>
    <row r="168" spans="1:3" x14ac:dyDescent="0.25">
      <c r="A168" t="s">
        <v>388</v>
      </c>
      <c r="B168" s="25"/>
      <c r="C168" s="25"/>
    </row>
    <row r="169" spans="1:3" x14ac:dyDescent="0.25">
      <c r="A169" t="s">
        <v>390</v>
      </c>
      <c r="B169" s="25"/>
      <c r="C169" s="25"/>
    </row>
    <row r="170" spans="1:3" x14ac:dyDescent="0.25">
      <c r="A170" t="s">
        <v>391</v>
      </c>
      <c r="B170" s="25"/>
      <c r="C170" s="25"/>
    </row>
    <row r="171" spans="1:3" x14ac:dyDescent="0.25">
      <c r="A171" t="s">
        <v>392</v>
      </c>
      <c r="B171" s="25"/>
      <c r="C171" s="25"/>
    </row>
    <row r="172" spans="1:3" x14ac:dyDescent="0.25">
      <c r="A172" t="s">
        <v>394</v>
      </c>
      <c r="B172" s="25"/>
      <c r="C172" s="25"/>
    </row>
    <row r="173" spans="1:3" x14ac:dyDescent="0.25">
      <c r="A173" t="s">
        <v>395</v>
      </c>
      <c r="B173" s="25"/>
      <c r="C173" s="25"/>
    </row>
    <row r="174" spans="1:3" x14ac:dyDescent="0.25">
      <c r="A174" t="s">
        <v>396</v>
      </c>
      <c r="B174" s="25"/>
      <c r="C174" s="25"/>
    </row>
    <row r="175" spans="1:3" x14ac:dyDescent="0.25">
      <c r="A175" t="s">
        <v>397</v>
      </c>
      <c r="B175" s="25"/>
      <c r="C175" s="25"/>
    </row>
    <row r="176" spans="1:3" x14ac:dyDescent="0.25">
      <c r="A176" t="s">
        <v>422</v>
      </c>
      <c r="B176" s="25"/>
      <c r="C176" s="25"/>
    </row>
    <row r="177" spans="1:3" x14ac:dyDescent="0.25">
      <c r="A177" t="s">
        <v>423</v>
      </c>
      <c r="B177" s="25"/>
      <c r="C177" s="25"/>
    </row>
    <row r="178" spans="1:3" x14ac:dyDescent="0.25">
      <c r="A178" t="s">
        <v>424</v>
      </c>
      <c r="B178" s="25"/>
      <c r="C178" s="25"/>
    </row>
    <row r="179" spans="1:3" x14ac:dyDescent="0.25">
      <c r="A179" t="s">
        <v>473</v>
      </c>
      <c r="B179" s="25"/>
      <c r="C179" s="25"/>
    </row>
    <row r="180" spans="1:3" x14ac:dyDescent="0.25">
      <c r="A180" t="s">
        <v>474</v>
      </c>
      <c r="B180" s="25"/>
      <c r="C180" s="25"/>
    </row>
    <row r="181" spans="1:3" x14ac:dyDescent="0.25">
      <c r="A181" t="s">
        <v>475</v>
      </c>
      <c r="B181" s="25"/>
      <c r="C181" s="25"/>
    </row>
    <row r="182" spans="1:3" x14ac:dyDescent="0.25">
      <c r="A182" t="s">
        <v>476</v>
      </c>
      <c r="B182" s="25"/>
      <c r="C182" s="25"/>
    </row>
    <row r="183" spans="1:3" x14ac:dyDescent="0.25">
      <c r="A183" t="s">
        <v>477</v>
      </c>
      <c r="B183" s="25"/>
      <c r="C183" s="25"/>
    </row>
    <row r="184" spans="1:3" x14ac:dyDescent="0.25">
      <c r="A184" t="s">
        <v>478</v>
      </c>
      <c r="B184" s="25"/>
      <c r="C184" s="25"/>
    </row>
    <row r="185" spans="1:3" x14ac:dyDescent="0.25">
      <c r="A185" t="s">
        <v>479</v>
      </c>
      <c r="B185" s="25"/>
      <c r="C185" s="25"/>
    </row>
    <row r="186" spans="1:3" x14ac:dyDescent="0.25">
      <c r="A186" t="s">
        <v>480</v>
      </c>
      <c r="B186" s="25"/>
      <c r="C186" s="25"/>
    </row>
    <row r="187" spans="1:3" x14ac:dyDescent="0.25">
      <c r="A187" t="s">
        <v>481</v>
      </c>
      <c r="B187" s="25"/>
      <c r="C187" s="25"/>
    </row>
    <row r="188" spans="1:3" x14ac:dyDescent="0.25">
      <c r="A188" t="s">
        <v>483</v>
      </c>
      <c r="B188" s="25"/>
      <c r="C188" s="25"/>
    </row>
    <row r="189" spans="1:3" x14ac:dyDescent="0.25">
      <c r="A189" t="s">
        <v>484</v>
      </c>
      <c r="B189" s="25"/>
      <c r="C189" s="25"/>
    </row>
    <row r="190" spans="1:3" x14ac:dyDescent="0.25">
      <c r="A190" t="s">
        <v>486</v>
      </c>
      <c r="B190" s="25"/>
      <c r="C190" s="25"/>
    </row>
    <row r="191" spans="1:3" x14ac:dyDescent="0.25">
      <c r="A191" t="s">
        <v>487</v>
      </c>
      <c r="B191" s="25"/>
      <c r="C191" s="25"/>
    </row>
    <row r="192" spans="1:3" x14ac:dyDescent="0.25">
      <c r="A192" t="s">
        <v>488</v>
      </c>
      <c r="B192" s="25"/>
      <c r="C192" s="25"/>
    </row>
    <row r="193" spans="1:3" x14ac:dyDescent="0.25">
      <c r="A193" t="s">
        <v>489</v>
      </c>
      <c r="B193" s="25"/>
      <c r="C193" s="25"/>
    </row>
    <row r="194" spans="1:3" x14ac:dyDescent="0.25">
      <c r="A194" t="s">
        <v>490</v>
      </c>
      <c r="B194" s="25"/>
      <c r="C194" s="25"/>
    </row>
    <row r="195" spans="1:3" x14ac:dyDescent="0.25">
      <c r="A195" t="s">
        <v>491</v>
      </c>
      <c r="B195" s="25"/>
      <c r="C195" s="25"/>
    </row>
    <row r="196" spans="1:3" x14ac:dyDescent="0.25">
      <c r="A196" t="s">
        <v>492</v>
      </c>
      <c r="B196" s="25"/>
      <c r="C196" s="25"/>
    </row>
    <row r="197" spans="1:3" x14ac:dyDescent="0.25">
      <c r="A197" t="s">
        <v>493</v>
      </c>
      <c r="B197" s="25"/>
      <c r="C197" s="25"/>
    </row>
    <row r="198" spans="1:3" x14ac:dyDescent="0.25">
      <c r="A198" t="s">
        <v>494</v>
      </c>
      <c r="B198" s="25"/>
      <c r="C198" s="25"/>
    </row>
    <row r="199" spans="1:3" x14ac:dyDescent="0.25">
      <c r="A199" t="s">
        <v>495</v>
      </c>
      <c r="B199" s="25"/>
      <c r="C199" s="25"/>
    </row>
    <row r="200" spans="1:3" x14ac:dyDescent="0.25">
      <c r="A200" t="s">
        <v>496</v>
      </c>
      <c r="B200" s="25"/>
      <c r="C200" s="25"/>
    </row>
    <row r="201" spans="1:3" x14ac:dyDescent="0.25">
      <c r="A201" t="s">
        <v>497</v>
      </c>
      <c r="B201" s="25"/>
      <c r="C201" s="25"/>
    </row>
    <row r="202" spans="1:3" x14ac:dyDescent="0.25">
      <c r="A202" t="s">
        <v>498</v>
      </c>
      <c r="B202" s="25"/>
      <c r="C202" s="25"/>
    </row>
    <row r="203" spans="1:3" x14ac:dyDescent="0.25">
      <c r="A203" t="s">
        <v>501</v>
      </c>
      <c r="B203" s="25"/>
      <c r="C203" s="25"/>
    </row>
    <row r="204" spans="1:3" x14ac:dyDescent="0.25">
      <c r="A204" t="s">
        <v>502</v>
      </c>
      <c r="B204" s="25"/>
      <c r="C204" s="25"/>
    </row>
    <row r="205" spans="1:3" x14ac:dyDescent="0.25">
      <c r="A205" t="s">
        <v>505</v>
      </c>
      <c r="B205" s="25"/>
      <c r="C205" s="25"/>
    </row>
    <row r="206" spans="1:3" x14ac:dyDescent="0.25">
      <c r="A206" t="s">
        <v>563</v>
      </c>
      <c r="B206" s="25"/>
      <c r="C206" s="25"/>
    </row>
    <row r="207" spans="1:3" x14ac:dyDescent="0.25">
      <c r="A207" t="s">
        <v>564</v>
      </c>
      <c r="B207" s="25"/>
      <c r="C207" s="25"/>
    </row>
    <row r="208" spans="1:3" x14ac:dyDescent="0.25">
      <c r="A208" t="s">
        <v>565</v>
      </c>
      <c r="B208" s="25"/>
      <c r="C208" s="25"/>
    </row>
    <row r="209" spans="1:3" x14ac:dyDescent="0.25">
      <c r="A209" t="s">
        <v>566</v>
      </c>
      <c r="B209" s="25"/>
      <c r="C209" s="25"/>
    </row>
    <row r="210" spans="1:3" x14ac:dyDescent="0.25">
      <c r="A210" t="s">
        <v>567</v>
      </c>
      <c r="B210" s="25"/>
      <c r="C210" s="25"/>
    </row>
    <row r="211" spans="1:3" x14ac:dyDescent="0.25">
      <c r="A211" t="s">
        <v>568</v>
      </c>
      <c r="B211" s="25"/>
      <c r="C211" s="25"/>
    </row>
    <row r="212" spans="1:3" x14ac:dyDescent="0.25">
      <c r="A212" t="s">
        <v>569</v>
      </c>
      <c r="B212" s="25"/>
      <c r="C212" s="25"/>
    </row>
    <row r="213" spans="1:3" x14ac:dyDescent="0.25">
      <c r="A213" t="s">
        <v>570</v>
      </c>
      <c r="B213" s="25"/>
      <c r="C213" s="25"/>
    </row>
    <row r="214" spans="1:3" x14ac:dyDescent="0.25">
      <c r="A214" t="s">
        <v>571</v>
      </c>
      <c r="B214" s="25"/>
      <c r="C214" s="25"/>
    </row>
    <row r="215" spans="1:3" x14ac:dyDescent="0.25">
      <c r="A215" t="s">
        <v>574</v>
      </c>
      <c r="B215" s="25"/>
      <c r="C215" s="25"/>
    </row>
    <row r="216" spans="1:3" x14ac:dyDescent="0.25">
      <c r="A216" t="s">
        <v>576</v>
      </c>
      <c r="B216" s="25"/>
      <c r="C216" s="25"/>
    </row>
    <row r="217" spans="1:3" x14ac:dyDescent="0.25">
      <c r="A217" t="s">
        <v>579</v>
      </c>
      <c r="B217" s="25"/>
      <c r="C217" s="25"/>
    </row>
    <row r="218" spans="1:3" x14ac:dyDescent="0.25">
      <c r="A218" t="s">
        <v>580</v>
      </c>
      <c r="B218" s="25"/>
      <c r="C218" s="25"/>
    </row>
    <row r="219" spans="1:3" x14ac:dyDescent="0.25">
      <c r="A219" t="s">
        <v>586</v>
      </c>
      <c r="B219" s="25"/>
      <c r="C219" s="25"/>
    </row>
    <row r="220" spans="1:3" x14ac:dyDescent="0.25">
      <c r="A220" t="s">
        <v>587</v>
      </c>
      <c r="B220" s="25"/>
      <c r="C220" s="25"/>
    </row>
    <row r="221" spans="1:3" x14ac:dyDescent="0.25">
      <c r="A221" t="s">
        <v>588</v>
      </c>
      <c r="B221" s="25"/>
      <c r="C221" s="25"/>
    </row>
    <row r="222" spans="1:3" x14ac:dyDescent="0.25">
      <c r="A222" t="s">
        <v>589</v>
      </c>
      <c r="B222" s="25"/>
      <c r="C222" s="25"/>
    </row>
    <row r="223" spans="1:3" x14ac:dyDescent="0.25">
      <c r="A223" t="s">
        <v>591</v>
      </c>
      <c r="B223" s="25"/>
      <c r="C223" s="25"/>
    </row>
    <row r="224" spans="1:3" x14ac:dyDescent="0.25">
      <c r="A224" t="s">
        <v>592</v>
      </c>
      <c r="B224" s="25"/>
      <c r="C224" s="25"/>
    </row>
    <row r="225" spans="1:3" x14ac:dyDescent="0.25">
      <c r="A225" t="s">
        <v>593</v>
      </c>
      <c r="B225" s="25"/>
      <c r="C225" s="25"/>
    </row>
    <row r="226" spans="1:3" x14ac:dyDescent="0.25">
      <c r="A226" t="s">
        <v>594</v>
      </c>
      <c r="B226" s="25"/>
      <c r="C226" s="25"/>
    </row>
    <row r="227" spans="1:3" x14ac:dyDescent="0.25">
      <c r="A227" t="s">
        <v>595</v>
      </c>
      <c r="B227" s="25"/>
      <c r="C227" s="25"/>
    </row>
    <row r="228" spans="1:3" x14ac:dyDescent="0.25">
      <c r="A228" t="s">
        <v>596</v>
      </c>
      <c r="B228" s="25"/>
      <c r="C228" s="25"/>
    </row>
    <row r="229" spans="1:3" x14ac:dyDescent="0.25">
      <c r="A229" t="s">
        <v>597</v>
      </c>
      <c r="B229" s="25"/>
      <c r="C229" s="25"/>
    </row>
    <row r="230" spans="1:3" x14ac:dyDescent="0.25">
      <c r="A230" t="s">
        <v>598</v>
      </c>
      <c r="B230" s="25"/>
      <c r="C230" s="25"/>
    </row>
    <row r="231" spans="1:3" x14ac:dyDescent="0.25">
      <c r="A231" t="s">
        <v>599</v>
      </c>
      <c r="B231" s="25"/>
      <c r="C231" s="25"/>
    </row>
    <row r="232" spans="1:3" x14ac:dyDescent="0.25">
      <c r="A232" t="s">
        <v>602</v>
      </c>
      <c r="B232" s="25"/>
      <c r="C232" s="25"/>
    </row>
    <row r="233" spans="1:3" x14ac:dyDescent="0.25">
      <c r="A233" t="s">
        <v>603</v>
      </c>
      <c r="B233" s="25"/>
      <c r="C233" s="25"/>
    </row>
    <row r="234" spans="1:3" x14ac:dyDescent="0.25">
      <c r="A234" t="s">
        <v>604</v>
      </c>
      <c r="B234" s="25"/>
      <c r="C234" s="25"/>
    </row>
    <row r="235" spans="1:3" x14ac:dyDescent="0.25">
      <c r="A235" t="s">
        <v>605</v>
      </c>
      <c r="B235" s="25"/>
      <c r="C235" s="25"/>
    </row>
    <row r="236" spans="1:3" x14ac:dyDescent="0.25">
      <c r="A236" t="s">
        <v>606</v>
      </c>
      <c r="B236" s="25"/>
      <c r="C236" s="25"/>
    </row>
    <row r="237" spans="1:3" x14ac:dyDescent="0.25">
      <c r="A237" t="s">
        <v>610</v>
      </c>
      <c r="B237" s="25"/>
      <c r="C237" s="25"/>
    </row>
    <row r="238" spans="1:3" x14ac:dyDescent="0.25">
      <c r="A238" t="s">
        <v>611</v>
      </c>
      <c r="B238" s="25"/>
      <c r="C238" s="25"/>
    </row>
    <row r="239" spans="1:3" x14ac:dyDescent="0.25">
      <c r="A239" t="s">
        <v>612</v>
      </c>
      <c r="B239" s="25"/>
      <c r="C239" s="25"/>
    </row>
    <row r="240" spans="1:3" x14ac:dyDescent="0.25">
      <c r="A240" t="s">
        <v>614</v>
      </c>
      <c r="B240" s="25"/>
      <c r="C240" s="25"/>
    </row>
    <row r="241" spans="1:3" x14ac:dyDescent="0.25">
      <c r="A241" t="s">
        <v>616</v>
      </c>
      <c r="B241" s="25"/>
      <c r="C241" s="25"/>
    </row>
    <row r="242" spans="1:3" x14ac:dyDescent="0.25">
      <c r="A242" t="s">
        <v>618</v>
      </c>
      <c r="B242" s="25"/>
      <c r="C242" s="25"/>
    </row>
    <row r="243" spans="1:3" x14ac:dyDescent="0.25">
      <c r="A243" t="s">
        <v>886</v>
      </c>
      <c r="B243" s="25"/>
      <c r="C243" s="25"/>
    </row>
    <row r="244" spans="1:3" x14ac:dyDescent="0.25">
      <c r="A244" t="s">
        <v>913</v>
      </c>
      <c r="B244" s="25"/>
      <c r="C244" s="25"/>
    </row>
    <row r="245" spans="1:3" x14ac:dyDescent="0.25">
      <c r="A245" t="s">
        <v>914</v>
      </c>
      <c r="B245" s="25"/>
      <c r="C245" s="25"/>
    </row>
    <row r="246" spans="1:3" x14ac:dyDescent="0.25">
      <c r="A246" t="s">
        <v>915</v>
      </c>
      <c r="B246" s="25"/>
      <c r="C246" s="25"/>
    </row>
    <row r="247" spans="1:3" x14ac:dyDescent="0.25">
      <c r="A247" t="s">
        <v>916</v>
      </c>
      <c r="B247" s="25"/>
      <c r="C247" s="25"/>
    </row>
    <row r="248" spans="1:3" x14ac:dyDescent="0.25">
      <c r="A248" t="s">
        <v>917</v>
      </c>
      <c r="B248" s="25"/>
      <c r="C248" s="25"/>
    </row>
    <row r="249" spans="1:3" x14ac:dyDescent="0.25">
      <c r="A249" t="s">
        <v>918</v>
      </c>
      <c r="B249" s="25"/>
      <c r="C249" s="25"/>
    </row>
    <row r="250" spans="1:3" x14ac:dyDescent="0.25">
      <c r="A250" t="s">
        <v>919</v>
      </c>
      <c r="B250" s="25"/>
      <c r="C250" s="25"/>
    </row>
    <row r="251" spans="1:3" x14ac:dyDescent="0.25">
      <c r="A251" t="s">
        <v>920</v>
      </c>
      <c r="B251" s="25"/>
      <c r="C251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1"/>
      <c r="D15" s="272" t="s">
        <v>42</v>
      </c>
      <c r="E15" s="273"/>
      <c r="F15" s="209" t="s">
        <v>43</v>
      </c>
    </row>
    <row r="16" spans="1:6" x14ac:dyDescent="0.25">
      <c r="A16" s="216" t="s">
        <v>44</v>
      </c>
      <c r="B16" s="217" t="s">
        <v>45</v>
      </c>
      <c r="C16" s="218" t="s">
        <v>46</v>
      </c>
      <c r="D16" s="220" t="s">
        <v>47</v>
      </c>
      <c r="E16" s="219" t="s">
        <v>48</v>
      </c>
      <c r="F16" s="14" t="s">
        <v>44</v>
      </c>
    </row>
    <row r="17" spans="1:6" x14ac:dyDescent="0.25">
      <c r="A17" s="52" t="s">
        <v>241</v>
      </c>
      <c r="B17" s="15" t="s">
        <v>718</v>
      </c>
      <c r="C17" s="16">
        <v>44</v>
      </c>
      <c r="D17" s="17" t="s">
        <v>66</v>
      </c>
      <c r="E17" s="18" t="s">
        <v>296</v>
      </c>
      <c r="F17" s="19" t="s">
        <v>240</v>
      </c>
    </row>
    <row r="18" spans="1:6" x14ac:dyDescent="0.25">
      <c r="A18" s="52" t="s">
        <v>241</v>
      </c>
      <c r="B18" s="15" t="s">
        <v>193</v>
      </c>
      <c r="C18" s="16">
        <v>4</v>
      </c>
      <c r="D18" s="17" t="s">
        <v>296</v>
      </c>
      <c r="E18" s="18" t="s">
        <v>297</v>
      </c>
      <c r="F18" s="19" t="s">
        <v>55</v>
      </c>
    </row>
    <row r="19" spans="1:6" x14ac:dyDescent="0.25">
      <c r="A19" s="52" t="s">
        <v>241</v>
      </c>
      <c r="B19" s="15" t="s">
        <v>99</v>
      </c>
      <c r="C19" s="16">
        <v>2</v>
      </c>
      <c r="D19" s="17" t="s">
        <v>67</v>
      </c>
      <c r="E19" s="18" t="s">
        <v>258</v>
      </c>
      <c r="F19" s="19" t="s">
        <v>572</v>
      </c>
    </row>
    <row r="20" spans="1:6" x14ac:dyDescent="0.25">
      <c r="A20" s="76"/>
      <c r="B20" s="15"/>
      <c r="C20" s="16"/>
      <c r="D20" s="17" t="s">
        <v>297</v>
      </c>
      <c r="E20" s="18" t="s">
        <v>259</v>
      </c>
      <c r="F20" s="19"/>
    </row>
    <row r="21" spans="1:6" x14ac:dyDescent="0.25">
      <c r="A21" s="15"/>
      <c r="B21" s="15"/>
      <c r="C21" s="16"/>
      <c r="D21" s="17" t="s">
        <v>258</v>
      </c>
      <c r="E21" s="18" t="s">
        <v>274</v>
      </c>
      <c r="F21" s="19"/>
    </row>
    <row r="22" spans="1:6" x14ac:dyDescent="0.25">
      <c r="A22" s="15"/>
      <c r="B22" s="15"/>
      <c r="C22" s="16"/>
      <c r="D22" s="17" t="s">
        <v>259</v>
      </c>
      <c r="E22" s="18" t="s">
        <v>287</v>
      </c>
      <c r="F22" s="19"/>
    </row>
    <row r="23" spans="1:6" x14ac:dyDescent="0.25">
      <c r="A23" s="15"/>
      <c r="B23" s="15"/>
      <c r="C23" s="16"/>
      <c r="D23" s="17" t="s">
        <v>274</v>
      </c>
      <c r="E23" s="18" t="s">
        <v>288</v>
      </c>
      <c r="F23" s="19"/>
    </row>
    <row r="24" spans="1:6" x14ac:dyDescent="0.25">
      <c r="A24" s="15"/>
      <c r="B24" s="15"/>
      <c r="C24" s="16"/>
      <c r="D24" s="17" t="s">
        <v>287</v>
      </c>
      <c r="E24" s="18" t="s">
        <v>289</v>
      </c>
      <c r="F24" s="19"/>
    </row>
    <row r="25" spans="1:6" x14ac:dyDescent="0.25">
      <c r="A25" s="15"/>
      <c r="B25" s="15"/>
      <c r="C25" s="16"/>
      <c r="D25" s="17" t="s">
        <v>288</v>
      </c>
      <c r="E25" s="18" t="s">
        <v>380</v>
      </c>
      <c r="F25" s="19"/>
    </row>
    <row r="26" spans="1:6" x14ac:dyDescent="0.25">
      <c r="A26" s="15"/>
      <c r="B26" s="15"/>
      <c r="C26" s="16"/>
      <c r="D26" s="17" t="s">
        <v>289</v>
      </c>
      <c r="E26" s="18" t="s">
        <v>381</v>
      </c>
      <c r="F26" s="19"/>
    </row>
    <row r="27" spans="1:6" x14ac:dyDescent="0.25">
      <c r="A27" s="15"/>
      <c r="B27" s="15"/>
      <c r="C27" s="16"/>
      <c r="D27" s="17" t="s">
        <v>570</v>
      </c>
      <c r="E27" s="18" t="s">
        <v>382</v>
      </c>
      <c r="F27" s="19"/>
    </row>
    <row r="28" spans="1:6" x14ac:dyDescent="0.25">
      <c r="A28" s="15"/>
      <c r="B28" s="15"/>
      <c r="C28" s="16"/>
      <c r="D28" s="17"/>
      <c r="E28" s="18" t="s">
        <v>123</v>
      </c>
      <c r="F28" s="19"/>
    </row>
    <row r="29" spans="1:6" x14ac:dyDescent="0.25">
      <c r="A29" s="15"/>
      <c r="B29" s="15"/>
      <c r="C29" s="16"/>
      <c r="D29" s="17"/>
      <c r="E29" s="18" t="s">
        <v>124</v>
      </c>
      <c r="F29" s="19"/>
    </row>
    <row r="30" spans="1:6" x14ac:dyDescent="0.25">
      <c r="A30" s="15"/>
      <c r="B30" s="15"/>
      <c r="C30" s="16"/>
      <c r="D30" s="17"/>
      <c r="E30" s="18" t="s">
        <v>125</v>
      </c>
      <c r="F30" s="19"/>
    </row>
    <row r="31" spans="1:6" x14ac:dyDescent="0.25">
      <c r="A31" s="15"/>
      <c r="B31" s="15"/>
      <c r="C31" s="16"/>
      <c r="D31" s="17"/>
      <c r="E31" s="18" t="s">
        <v>563</v>
      </c>
      <c r="F31" s="19"/>
    </row>
    <row r="32" spans="1:6" x14ac:dyDescent="0.25">
      <c r="A32" s="15"/>
      <c r="B32" s="15"/>
      <c r="C32" s="16"/>
      <c r="D32" s="17"/>
      <c r="E32" s="18" t="s">
        <v>564</v>
      </c>
      <c r="F32" s="19"/>
    </row>
    <row r="33" spans="1:6" x14ac:dyDescent="0.25">
      <c r="A33" s="15"/>
      <c r="B33" s="15"/>
      <c r="C33" s="16"/>
      <c r="D33" s="17"/>
      <c r="E33" s="18" t="s">
        <v>571</v>
      </c>
      <c r="F33" s="19"/>
    </row>
    <row r="34" spans="1:6" x14ac:dyDescent="0.25">
      <c r="A34" s="15"/>
      <c r="B34" s="15"/>
      <c r="C34" s="16"/>
      <c r="D34" s="17"/>
      <c r="E34" s="18" t="s">
        <v>574</v>
      </c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85"/>
      <c r="B318" s="85"/>
      <c r="C318" s="87"/>
      <c r="D318" s="89"/>
      <c r="E318" s="90"/>
      <c r="F318" s="93"/>
    </row>
    <row r="319" spans="1:6" x14ac:dyDescent="0.25">
      <c r="A319" s="85"/>
      <c r="B319" s="85"/>
      <c r="C319" s="87"/>
      <c r="D319" s="89"/>
      <c r="E319" s="90"/>
      <c r="F319" s="93"/>
    </row>
    <row r="320" spans="1:6" x14ac:dyDescent="0.25">
      <c r="A320" s="85"/>
      <c r="B320" s="85"/>
      <c r="C320" s="87"/>
      <c r="D320" s="89"/>
      <c r="E320" s="90"/>
      <c r="F320" s="93"/>
    </row>
    <row r="321" spans="1:6" x14ac:dyDescent="0.25">
      <c r="A321" s="85"/>
      <c r="B321" s="85"/>
      <c r="C321" s="87"/>
      <c r="D321" s="89"/>
      <c r="E321" s="90"/>
      <c r="F321" s="93"/>
    </row>
    <row r="322" spans="1:6" x14ac:dyDescent="0.25">
      <c r="A322" s="85"/>
      <c r="B322" s="85"/>
      <c r="C322" s="87"/>
      <c r="D322" s="89"/>
      <c r="E322" s="90"/>
      <c r="F322" s="93"/>
    </row>
    <row r="323" spans="1:6" x14ac:dyDescent="0.25">
      <c r="A323" s="85"/>
      <c r="B323" s="85"/>
      <c r="C323" s="87"/>
      <c r="D323" s="89"/>
      <c r="E323" s="90"/>
      <c r="F323" s="93"/>
    </row>
    <row r="324" spans="1:6" x14ac:dyDescent="0.25">
      <c r="A324" s="85"/>
      <c r="B324" s="85"/>
      <c r="C324" s="87"/>
      <c r="D324" s="89"/>
      <c r="E324" s="90"/>
      <c r="F324" s="93"/>
    </row>
    <row r="325" spans="1:6" x14ac:dyDescent="0.25">
      <c r="A325" s="85"/>
      <c r="B325" s="85"/>
      <c r="C325" s="87"/>
      <c r="D325" s="89"/>
      <c r="E325" s="90"/>
      <c r="F325" s="93"/>
    </row>
    <row r="326" spans="1:6" x14ac:dyDescent="0.25">
      <c r="A326" s="85"/>
      <c r="B326" s="85"/>
      <c r="C326" s="87"/>
      <c r="D326" s="89"/>
      <c r="E326" s="90"/>
      <c r="F326" s="93"/>
    </row>
    <row r="327" spans="1:6" x14ac:dyDescent="0.25">
      <c r="A327" s="85"/>
      <c r="B327" s="85"/>
      <c r="C327" s="87"/>
      <c r="D327" s="89"/>
      <c r="E327" s="90"/>
      <c r="F327" s="93"/>
    </row>
    <row r="328" spans="1:6" x14ac:dyDescent="0.25">
      <c r="A328" s="86"/>
      <c r="B328" s="86"/>
      <c r="C328" s="88"/>
      <c r="D328" s="91"/>
      <c r="E328" s="92"/>
      <c r="F328" s="94"/>
    </row>
    <row r="329" spans="1:6" x14ac:dyDescent="0.25">
      <c r="A329" s="86"/>
      <c r="B329" s="86"/>
      <c r="C329" s="88"/>
      <c r="D329" s="91"/>
      <c r="E329" s="92"/>
      <c r="F329" s="94"/>
    </row>
    <row r="330" spans="1:6" x14ac:dyDescent="0.25">
      <c r="A330" s="86"/>
      <c r="B330" s="86"/>
      <c r="C330" s="88"/>
      <c r="D330" s="91"/>
      <c r="E330" s="92"/>
      <c r="F330" s="94"/>
    </row>
    <row r="331" spans="1:6" x14ac:dyDescent="0.25">
      <c r="A331" s="86"/>
      <c r="B331" s="86"/>
      <c r="C331" s="88"/>
      <c r="D331" s="91"/>
      <c r="E331" s="92"/>
      <c r="F331" s="94"/>
    </row>
    <row r="332" spans="1:6" x14ac:dyDescent="0.25">
      <c r="A332" s="86"/>
      <c r="B332" s="86"/>
      <c r="C332" s="88"/>
      <c r="D332" s="91"/>
      <c r="E332" s="92"/>
      <c r="F332" s="94"/>
    </row>
    <row r="333" spans="1:6" x14ac:dyDescent="0.25">
      <c r="A333" s="86"/>
      <c r="B333" s="86"/>
      <c r="C333" s="88"/>
      <c r="D333" s="91"/>
      <c r="E333" s="92"/>
      <c r="F333" s="94"/>
    </row>
    <row r="334" spans="1:6" x14ac:dyDescent="0.25">
      <c r="A334" s="86"/>
      <c r="B334" s="86"/>
      <c r="C334" s="88"/>
      <c r="D334" s="91"/>
      <c r="E334" s="92"/>
      <c r="F334" s="94"/>
    </row>
    <row r="335" spans="1:6" x14ac:dyDescent="0.25">
      <c r="A335" s="86"/>
      <c r="B335" s="86"/>
      <c r="C335" s="88"/>
      <c r="D335" s="91"/>
      <c r="E335" s="92"/>
      <c r="F335" s="94"/>
    </row>
    <row r="336" spans="1:6" x14ac:dyDescent="0.25">
      <c r="A336" s="86"/>
      <c r="B336" s="86"/>
      <c r="C336" s="88"/>
      <c r="D336" s="91"/>
      <c r="E336" s="92"/>
      <c r="F336" s="94"/>
    </row>
    <row r="337" spans="1:6" x14ac:dyDescent="0.25">
      <c r="A337" s="86"/>
      <c r="B337" s="86"/>
      <c r="C337" s="88"/>
      <c r="D337" s="91"/>
      <c r="E337" s="92"/>
      <c r="F337" s="94"/>
    </row>
    <row r="338" spans="1:6" x14ac:dyDescent="0.25">
      <c r="A338" s="86"/>
      <c r="B338" s="86"/>
      <c r="C338" s="88"/>
      <c r="D338" s="91"/>
      <c r="E338" s="92"/>
      <c r="F338" s="94"/>
    </row>
    <row r="339" spans="1:6" x14ac:dyDescent="0.25">
      <c r="A339" s="86"/>
      <c r="B339" s="86"/>
      <c r="C339" s="88"/>
      <c r="D339" s="91"/>
      <c r="E339" s="92"/>
      <c r="F339" s="94"/>
    </row>
    <row r="340" spans="1:6" x14ac:dyDescent="0.25">
      <c r="A340" s="86"/>
      <c r="B340" s="86"/>
      <c r="C340" s="88"/>
      <c r="D340" s="91"/>
      <c r="E340" s="92"/>
      <c r="F340" s="94"/>
    </row>
    <row r="341" spans="1:6" x14ac:dyDescent="0.25">
      <c r="A341" s="86"/>
      <c r="B341" s="86"/>
      <c r="C341" s="88"/>
      <c r="D341" s="91"/>
      <c r="E341" s="92"/>
      <c r="F341" s="94"/>
    </row>
    <row r="342" spans="1:6" x14ac:dyDescent="0.25">
      <c r="A342" s="86"/>
      <c r="B342" s="86"/>
      <c r="C342" s="88"/>
      <c r="D342" s="91"/>
      <c r="E342" s="92"/>
      <c r="F342" s="94"/>
    </row>
    <row r="343" spans="1:6" x14ac:dyDescent="0.25">
      <c r="A343" s="86"/>
      <c r="B343" s="86"/>
      <c r="C343" s="88"/>
      <c r="D343" s="91"/>
      <c r="E343" s="92"/>
      <c r="F343" s="94"/>
    </row>
    <row r="344" spans="1:6" x14ac:dyDescent="0.25">
      <c r="A344" s="86"/>
      <c r="B344" s="86"/>
      <c r="C344" s="88"/>
      <c r="D344" s="91"/>
      <c r="E344" s="92"/>
      <c r="F344" s="94"/>
    </row>
    <row r="345" spans="1:6" x14ac:dyDescent="0.25">
      <c r="A345" s="86"/>
      <c r="B345" s="86"/>
      <c r="C345" s="88"/>
      <c r="D345" s="91"/>
      <c r="E345" s="92"/>
      <c r="F345" s="94"/>
    </row>
    <row r="346" spans="1:6" x14ac:dyDescent="0.25">
      <c r="A346" s="86"/>
      <c r="B346" s="86"/>
      <c r="C346" s="88"/>
      <c r="D346" s="91"/>
      <c r="E346" s="92"/>
      <c r="F346" s="94"/>
    </row>
    <row r="347" spans="1:6" x14ac:dyDescent="0.25">
      <c r="A347" s="86"/>
      <c r="B347" s="86"/>
      <c r="C347" s="88"/>
      <c r="D347" s="91"/>
      <c r="E347" s="92"/>
      <c r="F347" s="94"/>
    </row>
    <row r="348" spans="1:6" x14ac:dyDescent="0.25">
      <c r="A348" s="86"/>
      <c r="B348" s="86"/>
      <c r="C348" s="88"/>
      <c r="D348" s="91"/>
      <c r="E348" s="92"/>
      <c r="F348" s="94"/>
    </row>
    <row r="349" spans="1:6" x14ac:dyDescent="0.25">
      <c r="A349" s="86"/>
      <c r="B349" s="86"/>
      <c r="C349" s="88"/>
      <c r="D349" s="91"/>
      <c r="E349" s="92"/>
      <c r="F349" s="94"/>
    </row>
    <row r="350" spans="1:6" x14ac:dyDescent="0.25">
      <c r="A350" s="86"/>
      <c r="B350" s="86"/>
      <c r="C350" s="88"/>
      <c r="D350" s="91"/>
      <c r="E350" s="92"/>
      <c r="F350" s="94"/>
    </row>
    <row r="351" spans="1:6" x14ac:dyDescent="0.25">
      <c r="A351" s="86"/>
      <c r="B351" s="86"/>
      <c r="C351" s="88"/>
      <c r="D351" s="91"/>
      <c r="E351" s="92"/>
      <c r="F351" s="94"/>
    </row>
    <row r="352" spans="1:6" x14ac:dyDescent="0.25">
      <c r="A352" s="86"/>
      <c r="B352" s="86"/>
      <c r="C352" s="88"/>
      <c r="D352" s="91"/>
      <c r="E352" s="92"/>
      <c r="F352" s="94"/>
    </row>
    <row r="353" spans="1:6" x14ac:dyDescent="0.25">
      <c r="A353" s="86"/>
      <c r="B353" s="86"/>
      <c r="C353" s="88"/>
      <c r="D353" s="91"/>
      <c r="E353" s="92"/>
      <c r="F353" s="94"/>
    </row>
    <row r="354" spans="1:6" x14ac:dyDescent="0.25">
      <c r="A354" s="86"/>
      <c r="B354" s="86"/>
      <c r="C354" s="88"/>
      <c r="D354" s="91"/>
      <c r="E354" s="92"/>
      <c r="F354" s="94"/>
    </row>
    <row r="355" spans="1:6" x14ac:dyDescent="0.25">
      <c r="A355" s="86"/>
      <c r="B355" s="86"/>
      <c r="C355" s="88"/>
      <c r="D355" s="91"/>
      <c r="E355" s="92"/>
      <c r="F355" s="94"/>
    </row>
    <row r="356" spans="1:6" x14ac:dyDescent="0.25">
      <c r="A356" s="86"/>
      <c r="B356" s="86"/>
      <c r="C356" s="88"/>
      <c r="D356" s="91"/>
      <c r="E356" s="92"/>
      <c r="F356" s="94"/>
    </row>
    <row r="357" spans="1:6" x14ac:dyDescent="0.25">
      <c r="A357" s="86"/>
      <c r="B357" s="86"/>
      <c r="C357" s="88"/>
      <c r="D357" s="91"/>
      <c r="E357" s="92"/>
      <c r="F357" s="94"/>
    </row>
    <row r="358" spans="1:6" x14ac:dyDescent="0.25">
      <c r="A358" s="86"/>
      <c r="B358" s="86"/>
      <c r="C358" s="88"/>
      <c r="D358" s="91"/>
      <c r="E358" s="92"/>
      <c r="F358" s="94"/>
    </row>
    <row r="359" spans="1:6" x14ac:dyDescent="0.25">
      <c r="A359" s="86"/>
      <c r="B359" s="86"/>
      <c r="C359" s="88"/>
      <c r="D359" s="91"/>
      <c r="E359" s="92"/>
      <c r="F359" s="94"/>
    </row>
    <row r="360" spans="1:6" x14ac:dyDescent="0.25">
      <c r="A360" s="86"/>
      <c r="B360" s="86"/>
      <c r="C360" s="88"/>
      <c r="D360" s="91"/>
      <c r="E360" s="92"/>
      <c r="F360" s="94"/>
    </row>
    <row r="361" spans="1:6" x14ac:dyDescent="0.25">
      <c r="A361" s="86"/>
      <c r="B361" s="86"/>
      <c r="C361" s="88"/>
      <c r="D361" s="91"/>
      <c r="E361" s="92"/>
      <c r="F361" s="94"/>
    </row>
    <row r="362" spans="1:6" x14ac:dyDescent="0.25">
      <c r="A362" s="86"/>
      <c r="B362" s="86"/>
      <c r="C362" s="88"/>
      <c r="D362" s="91"/>
      <c r="E362" s="92"/>
      <c r="F362" s="94"/>
    </row>
    <row r="363" spans="1:6" x14ac:dyDescent="0.25">
      <c r="A363" s="86"/>
      <c r="B363" s="86"/>
      <c r="C363" s="88"/>
      <c r="D363" s="91"/>
      <c r="E363" s="92"/>
      <c r="F363" s="94"/>
    </row>
    <row r="364" spans="1:6" x14ac:dyDescent="0.25">
      <c r="A364" s="86"/>
      <c r="B364" s="86"/>
      <c r="C364" s="88"/>
      <c r="D364" s="91"/>
      <c r="E364" s="92"/>
      <c r="F364" s="94"/>
    </row>
    <row r="365" spans="1:6" x14ac:dyDescent="0.25">
      <c r="A365" s="86"/>
      <c r="B365" s="86"/>
      <c r="C365" s="88"/>
      <c r="D365" s="91"/>
      <c r="E365" s="92"/>
      <c r="F365" s="94"/>
    </row>
    <row r="366" spans="1:6" x14ac:dyDescent="0.25">
      <c r="A366" s="86"/>
      <c r="B366" s="86"/>
      <c r="C366" s="88"/>
      <c r="D366" s="91"/>
      <c r="E366" s="92"/>
      <c r="F366" s="94"/>
    </row>
    <row r="367" spans="1:6" x14ac:dyDescent="0.25">
      <c r="A367" s="86"/>
      <c r="B367" s="86"/>
      <c r="C367" s="88"/>
      <c r="D367" s="91"/>
      <c r="E367" s="92"/>
      <c r="F367" s="94"/>
    </row>
    <row r="368" spans="1:6" x14ac:dyDescent="0.25">
      <c r="A368" s="86"/>
      <c r="B368" s="86"/>
      <c r="C368" s="88"/>
      <c r="D368" s="91"/>
      <c r="E368" s="92"/>
      <c r="F368" s="94"/>
    </row>
    <row r="369" spans="1:6" x14ac:dyDescent="0.25">
      <c r="A369" s="86"/>
      <c r="B369" s="86"/>
      <c r="C369" s="88"/>
      <c r="D369" s="91"/>
      <c r="E369" s="92"/>
      <c r="F369" s="94"/>
    </row>
    <row r="370" spans="1:6" x14ac:dyDescent="0.25">
      <c r="A370" s="86"/>
      <c r="B370" s="86"/>
      <c r="C370" s="88"/>
      <c r="D370" s="91"/>
      <c r="E370" s="92"/>
      <c r="F370" s="94"/>
    </row>
    <row r="371" spans="1:6" x14ac:dyDescent="0.25">
      <c r="A371" s="86"/>
      <c r="B371" s="86"/>
      <c r="C371" s="88"/>
      <c r="D371" s="91"/>
      <c r="E371" s="92"/>
      <c r="F371" s="94"/>
    </row>
    <row r="372" spans="1:6" x14ac:dyDescent="0.25">
      <c r="A372" s="86"/>
      <c r="B372" s="86"/>
      <c r="C372" s="88"/>
      <c r="D372" s="91"/>
      <c r="E372" s="92"/>
      <c r="F372" s="94"/>
    </row>
    <row r="373" spans="1:6" x14ac:dyDescent="0.25">
      <c r="A373" s="86"/>
      <c r="B373" s="86"/>
      <c r="C373" s="88"/>
      <c r="D373" s="91"/>
      <c r="E373" s="92"/>
      <c r="F373" s="94"/>
    </row>
    <row r="374" spans="1:6" x14ac:dyDescent="0.25">
      <c r="A374" s="86"/>
      <c r="B374" s="86"/>
      <c r="C374" s="88"/>
      <c r="D374" s="91"/>
      <c r="E374" s="92"/>
      <c r="F374" s="94"/>
    </row>
    <row r="375" spans="1:6" x14ac:dyDescent="0.25">
      <c r="A375" s="86"/>
      <c r="B375" s="86"/>
      <c r="C375" s="88"/>
      <c r="D375" s="91"/>
      <c r="E375" s="92"/>
      <c r="F375" s="94"/>
    </row>
    <row r="376" spans="1:6" x14ac:dyDescent="0.25">
      <c r="A376" s="86"/>
      <c r="B376" s="86"/>
      <c r="C376" s="88"/>
      <c r="D376" s="91"/>
      <c r="E376" s="92"/>
      <c r="F376" s="94"/>
    </row>
    <row r="377" spans="1:6" x14ac:dyDescent="0.25">
      <c r="A377" s="86"/>
      <c r="B377" s="86"/>
      <c r="C377" s="88"/>
      <c r="D377" s="91"/>
      <c r="E377" s="92"/>
      <c r="F377" s="94"/>
    </row>
    <row r="378" spans="1:6" x14ac:dyDescent="0.25">
      <c r="A378" s="86"/>
      <c r="B378" s="86"/>
      <c r="C378" s="88"/>
      <c r="D378" s="91"/>
      <c r="E378" s="92"/>
      <c r="F378" s="94"/>
    </row>
    <row r="379" spans="1:6" x14ac:dyDescent="0.25">
      <c r="A379" s="86"/>
      <c r="B379" s="86"/>
      <c r="C379" s="88"/>
      <c r="D379" s="91"/>
      <c r="E379" s="92"/>
      <c r="F379" s="94"/>
    </row>
    <row r="380" spans="1:6" x14ac:dyDescent="0.25">
      <c r="A380" s="86"/>
      <c r="B380" s="86"/>
      <c r="C380" s="88"/>
      <c r="D380" s="91"/>
      <c r="E380" s="92"/>
      <c r="F380" s="94"/>
    </row>
    <row r="381" spans="1:6" x14ac:dyDescent="0.25">
      <c r="A381" s="86"/>
      <c r="B381" s="86"/>
      <c r="C381" s="88"/>
      <c r="D381" s="91"/>
      <c r="E381" s="92"/>
      <c r="F381" s="94"/>
    </row>
    <row r="382" spans="1:6" x14ac:dyDescent="0.25">
      <c r="A382" s="86"/>
      <c r="B382" s="86"/>
      <c r="C382" s="88"/>
      <c r="D382" s="91"/>
      <c r="E382" s="92"/>
      <c r="F382" s="94"/>
    </row>
    <row r="383" spans="1:6" x14ac:dyDescent="0.25">
      <c r="A383" s="86"/>
      <c r="B383" s="86"/>
      <c r="C383" s="88"/>
      <c r="D383" s="91"/>
      <c r="E383" s="92"/>
      <c r="F383" s="94"/>
    </row>
    <row r="384" spans="1:6" x14ac:dyDescent="0.25">
      <c r="A384" s="86"/>
      <c r="B384" s="86"/>
      <c r="C384" s="88"/>
      <c r="D384" s="91"/>
      <c r="E384" s="92"/>
      <c r="F384" s="94"/>
    </row>
    <row r="385" spans="1:6" x14ac:dyDescent="0.25">
      <c r="A385" s="86"/>
      <c r="B385" s="86"/>
      <c r="C385" s="88"/>
      <c r="D385" s="91"/>
      <c r="E385" s="92"/>
      <c r="F385" s="94"/>
    </row>
    <row r="386" spans="1:6" x14ac:dyDescent="0.25">
      <c r="A386" s="86"/>
      <c r="B386" s="86"/>
      <c r="C386" s="88"/>
      <c r="D386" s="91"/>
      <c r="E386" s="92"/>
      <c r="F386" s="94"/>
    </row>
    <row r="387" spans="1:6" x14ac:dyDescent="0.25">
      <c r="A387" s="86"/>
      <c r="B387" s="86"/>
      <c r="C387" s="88"/>
      <c r="D387" s="91"/>
      <c r="E387" s="92"/>
      <c r="F387" s="94"/>
    </row>
    <row r="388" spans="1:6" x14ac:dyDescent="0.25">
      <c r="A388" s="86"/>
      <c r="B388" s="86"/>
      <c r="C388" s="88"/>
      <c r="D388" s="91"/>
      <c r="E388" s="92"/>
      <c r="F388" s="94"/>
    </row>
    <row r="389" spans="1:6" x14ac:dyDescent="0.25">
      <c r="A389" s="86"/>
      <c r="B389" s="86"/>
      <c r="C389" s="88"/>
      <c r="D389" s="91"/>
      <c r="E389" s="92"/>
      <c r="F389" s="94"/>
    </row>
    <row r="390" spans="1:6" x14ac:dyDescent="0.25">
      <c r="A390" s="86"/>
      <c r="B390" s="86"/>
      <c r="C390" s="88"/>
      <c r="D390" s="91"/>
      <c r="E390" s="92"/>
      <c r="F390" s="94"/>
    </row>
    <row r="391" spans="1:6" x14ac:dyDescent="0.25">
      <c r="A391" s="86"/>
      <c r="B391" s="86"/>
      <c r="C391" s="88"/>
      <c r="D391" s="91"/>
      <c r="E391" s="92"/>
      <c r="F391" s="94"/>
    </row>
    <row r="392" spans="1:6" x14ac:dyDescent="0.25">
      <c r="A392" s="86"/>
      <c r="B392" s="86"/>
      <c r="C392" s="88"/>
      <c r="D392" s="91"/>
      <c r="E392" s="92"/>
      <c r="F392" s="94"/>
    </row>
    <row r="393" spans="1:6" x14ac:dyDescent="0.25">
      <c r="A393" s="86"/>
      <c r="B393" s="86"/>
      <c r="C393" s="88"/>
      <c r="D393" s="91"/>
      <c r="E393" s="92"/>
      <c r="F393" s="94"/>
    </row>
    <row r="394" spans="1:6" x14ac:dyDescent="0.25">
      <c r="A394" s="86"/>
      <c r="B394" s="86"/>
      <c r="C394" s="88"/>
      <c r="D394" s="91"/>
      <c r="E394" s="92"/>
      <c r="F394" s="94"/>
    </row>
    <row r="395" spans="1:6" x14ac:dyDescent="0.25">
      <c r="A395" s="86"/>
      <c r="B395" s="86"/>
      <c r="C395" s="88"/>
      <c r="D395" s="91"/>
      <c r="E395" s="92"/>
      <c r="F395" s="94"/>
    </row>
    <row r="396" spans="1:6" x14ac:dyDescent="0.25">
      <c r="A396" s="86"/>
      <c r="B396" s="86"/>
      <c r="C396" s="88"/>
      <c r="D396" s="91"/>
      <c r="E396" s="92"/>
      <c r="F396" s="94"/>
    </row>
    <row r="397" spans="1:6" x14ac:dyDescent="0.25">
      <c r="A397" s="86"/>
      <c r="B397" s="86"/>
      <c r="C397" s="88"/>
      <c r="D397" s="91"/>
      <c r="E397" s="92"/>
      <c r="F397" s="94"/>
    </row>
    <row r="398" spans="1:6" x14ac:dyDescent="0.25">
      <c r="A398" s="86"/>
      <c r="B398" s="86"/>
      <c r="C398" s="88"/>
      <c r="D398" s="91"/>
      <c r="E398" s="92"/>
      <c r="F398" s="94"/>
    </row>
    <row r="399" spans="1:6" x14ac:dyDescent="0.25">
      <c r="A399" s="86"/>
      <c r="B399" s="86"/>
      <c r="C399" s="88"/>
      <c r="D399" s="91"/>
      <c r="E399" s="92"/>
      <c r="F399" s="94"/>
    </row>
    <row r="400" spans="1:6" x14ac:dyDescent="0.25">
      <c r="A400" s="86"/>
      <c r="B400" s="86"/>
      <c r="C400" s="88"/>
      <c r="D400" s="91"/>
      <c r="E400" s="92"/>
      <c r="F400" s="94"/>
    </row>
    <row r="401" spans="1:6" x14ac:dyDescent="0.25">
      <c r="A401" s="86"/>
      <c r="B401" s="86"/>
      <c r="C401" s="88"/>
      <c r="D401" s="91"/>
      <c r="E401" s="92"/>
      <c r="F401" s="94"/>
    </row>
    <row r="402" spans="1:6" x14ac:dyDescent="0.25">
      <c r="A402" s="86"/>
      <c r="B402" s="86"/>
      <c r="C402" s="88"/>
      <c r="D402" s="91"/>
      <c r="E402" s="92"/>
      <c r="F402" s="94"/>
    </row>
    <row r="403" spans="1:6" x14ac:dyDescent="0.25">
      <c r="A403" s="86"/>
      <c r="B403" s="86"/>
      <c r="C403" s="88"/>
      <c r="D403" s="91"/>
      <c r="E403" s="92"/>
      <c r="F403" s="94"/>
    </row>
    <row r="404" spans="1:6" x14ac:dyDescent="0.25">
      <c r="A404" s="86"/>
      <c r="B404" s="86"/>
      <c r="C404" s="88"/>
      <c r="D404" s="91"/>
      <c r="E404" s="92"/>
      <c r="F404" s="94"/>
    </row>
    <row r="405" spans="1:6" x14ac:dyDescent="0.25">
      <c r="A405" s="86"/>
      <c r="B405" s="86"/>
      <c r="C405" s="88"/>
      <c r="D405" s="91"/>
      <c r="E405" s="92"/>
      <c r="F405" s="94"/>
    </row>
    <row r="406" spans="1:6" x14ac:dyDescent="0.25">
      <c r="A406" s="86"/>
      <c r="B406" s="86"/>
      <c r="C406" s="88"/>
      <c r="D406" s="91"/>
      <c r="E406" s="92"/>
      <c r="F406" s="94"/>
    </row>
    <row r="407" spans="1:6" x14ac:dyDescent="0.25">
      <c r="A407" s="86"/>
      <c r="B407" s="86"/>
      <c r="C407" s="88"/>
      <c r="D407" s="91"/>
      <c r="E407" s="92"/>
      <c r="F407" s="94"/>
    </row>
    <row r="408" spans="1:6" x14ac:dyDescent="0.25">
      <c r="A408" s="86"/>
      <c r="B408" s="86"/>
      <c r="C408" s="88"/>
      <c r="D408" s="91"/>
      <c r="E408" s="92"/>
      <c r="F408" s="94"/>
    </row>
    <row r="409" spans="1:6" x14ac:dyDescent="0.25">
      <c r="A409" s="86"/>
      <c r="B409" s="86"/>
      <c r="C409" s="88"/>
      <c r="D409" s="91"/>
      <c r="E409" s="92"/>
      <c r="F409" s="94"/>
    </row>
    <row r="410" spans="1:6" x14ac:dyDescent="0.25">
      <c r="A410" s="86"/>
      <c r="B410" s="86"/>
      <c r="C410" s="88"/>
      <c r="D410" s="91"/>
      <c r="E410" s="92"/>
      <c r="F410" s="94"/>
    </row>
    <row r="411" spans="1:6" x14ac:dyDescent="0.25">
      <c r="A411" s="86"/>
      <c r="B411" s="86"/>
      <c r="C411" s="88"/>
      <c r="D411" s="91"/>
      <c r="E411" s="92"/>
      <c r="F411" s="94"/>
    </row>
    <row r="412" spans="1:6" x14ac:dyDescent="0.25">
      <c r="A412" s="86"/>
      <c r="B412" s="86"/>
      <c r="C412" s="88"/>
      <c r="D412" s="91"/>
      <c r="E412" s="92"/>
      <c r="F412" s="94"/>
    </row>
    <row r="413" spans="1:6" x14ac:dyDescent="0.25">
      <c r="A413" s="86"/>
      <c r="B413" s="86"/>
      <c r="C413" s="88"/>
      <c r="D413" s="91"/>
      <c r="E413" s="92"/>
      <c r="F413" s="94"/>
    </row>
    <row r="414" spans="1:6" x14ac:dyDescent="0.25">
      <c r="A414" s="86"/>
      <c r="B414" s="86"/>
      <c r="C414" s="88"/>
      <c r="D414" s="91"/>
      <c r="E414" s="92"/>
      <c r="F414" s="94"/>
    </row>
    <row r="415" spans="1:6" x14ac:dyDescent="0.25">
      <c r="A415" s="86"/>
      <c r="B415" s="86"/>
      <c r="C415" s="88"/>
      <c r="D415" s="91"/>
      <c r="E415" s="92"/>
      <c r="F415" s="94"/>
    </row>
    <row r="416" spans="1:6" x14ac:dyDescent="0.25">
      <c r="A416" s="86"/>
      <c r="B416" s="86"/>
      <c r="C416" s="88"/>
      <c r="D416" s="91"/>
      <c r="E416" s="92"/>
      <c r="F416" s="94"/>
    </row>
    <row r="417" spans="1:6" x14ac:dyDescent="0.25">
      <c r="A417" s="86"/>
      <c r="B417" s="86"/>
      <c r="C417" s="88"/>
      <c r="D417" s="91"/>
      <c r="E417" s="92"/>
      <c r="F417" s="94"/>
    </row>
    <row r="418" spans="1:6" x14ac:dyDescent="0.25">
      <c r="A418" s="86"/>
      <c r="B418" s="86"/>
      <c r="C418" s="88"/>
      <c r="D418" s="91"/>
      <c r="E418" s="92"/>
      <c r="F418" s="94"/>
    </row>
    <row r="419" spans="1:6" x14ac:dyDescent="0.25">
      <c r="A419" s="86"/>
      <c r="B419" s="86"/>
      <c r="C419" s="88"/>
      <c r="D419" s="91"/>
      <c r="E419" s="92"/>
      <c r="F419" s="94"/>
    </row>
    <row r="420" spans="1:6" x14ac:dyDescent="0.25">
      <c r="A420" s="86"/>
      <c r="B420" s="86"/>
      <c r="C420" s="88"/>
      <c r="D420" s="91"/>
      <c r="E420" s="92"/>
      <c r="F420" s="94"/>
    </row>
    <row r="421" spans="1:6" x14ac:dyDescent="0.25">
      <c r="A421" s="86"/>
      <c r="B421" s="86"/>
      <c r="C421" s="88"/>
      <c r="D421" s="91"/>
      <c r="E421" s="92"/>
      <c r="F421" s="94"/>
    </row>
    <row r="422" spans="1:6" x14ac:dyDescent="0.25">
      <c r="A422" s="86"/>
      <c r="B422" s="86"/>
      <c r="C422" s="88"/>
      <c r="D422" s="91"/>
      <c r="E422" s="92"/>
      <c r="F422" s="94"/>
    </row>
    <row r="423" spans="1:6" x14ac:dyDescent="0.25">
      <c r="A423" s="86"/>
      <c r="B423" s="86"/>
      <c r="C423" s="88"/>
      <c r="D423" s="91"/>
      <c r="E423" s="92"/>
      <c r="F423" s="94"/>
    </row>
    <row r="424" spans="1:6" x14ac:dyDescent="0.25">
      <c r="A424" s="86"/>
      <c r="B424" s="86"/>
      <c r="C424" s="88"/>
      <c r="D424" s="91"/>
      <c r="E424" s="92"/>
      <c r="F424" s="94"/>
    </row>
    <row r="425" spans="1:6" x14ac:dyDescent="0.25">
      <c r="A425" s="86"/>
      <c r="B425" s="86"/>
      <c r="C425" s="88"/>
      <c r="D425" s="91"/>
      <c r="E425" s="92"/>
      <c r="F425" s="94"/>
    </row>
    <row r="426" spans="1:6" x14ac:dyDescent="0.25">
      <c r="A426" s="86"/>
      <c r="B426" s="86"/>
      <c r="C426" s="88"/>
      <c r="D426" s="91"/>
      <c r="E426" s="92"/>
      <c r="F426" s="94"/>
    </row>
    <row r="427" spans="1:6" x14ac:dyDescent="0.25">
      <c r="A427" s="86"/>
      <c r="B427" s="86"/>
      <c r="C427" s="88"/>
      <c r="D427" s="91"/>
      <c r="E427" s="92"/>
      <c r="F427" s="94"/>
    </row>
    <row r="428" spans="1:6" x14ac:dyDescent="0.25">
      <c r="A428" s="86"/>
      <c r="B428" s="86"/>
      <c r="C428" s="88"/>
      <c r="D428" s="91"/>
      <c r="E428" s="92"/>
      <c r="F428" s="94"/>
    </row>
    <row r="429" spans="1:6" x14ac:dyDescent="0.25">
      <c r="A429" s="86"/>
      <c r="B429" s="86"/>
      <c r="C429" s="88"/>
      <c r="D429" s="91"/>
      <c r="E429" s="92"/>
      <c r="F429" s="94"/>
    </row>
    <row r="430" spans="1:6" x14ac:dyDescent="0.25">
      <c r="A430" s="86"/>
      <c r="B430" s="86"/>
      <c r="C430" s="88"/>
      <c r="D430" s="91"/>
      <c r="E430" s="92"/>
      <c r="F430" s="94"/>
    </row>
    <row r="431" spans="1:6" x14ac:dyDescent="0.25">
      <c r="A431" s="86"/>
      <c r="B431" s="86"/>
      <c r="C431" s="88"/>
      <c r="D431" s="91"/>
      <c r="E431" s="92"/>
      <c r="F431" s="94"/>
    </row>
    <row r="432" spans="1:6" x14ac:dyDescent="0.25">
      <c r="A432" s="86"/>
      <c r="B432" s="86"/>
      <c r="C432" s="88"/>
      <c r="D432" s="91"/>
      <c r="E432" s="92"/>
      <c r="F432" s="94"/>
    </row>
    <row r="433" spans="1:6" x14ac:dyDescent="0.25">
      <c r="A433" s="86"/>
      <c r="B433" s="86"/>
      <c r="C433" s="88"/>
      <c r="D433" s="91"/>
      <c r="E433" s="92"/>
      <c r="F433" s="94"/>
    </row>
    <row r="434" spans="1:6" x14ac:dyDescent="0.25">
      <c r="A434" s="86"/>
      <c r="B434" s="86"/>
      <c r="C434" s="88"/>
      <c r="D434" s="91"/>
      <c r="E434" s="92"/>
      <c r="F434" s="94"/>
    </row>
    <row r="435" spans="1:6" x14ac:dyDescent="0.25">
      <c r="A435" s="86"/>
      <c r="B435" s="86"/>
      <c r="C435" s="88"/>
      <c r="D435" s="91"/>
      <c r="E435" s="92"/>
      <c r="F435" s="94"/>
    </row>
    <row r="436" spans="1:6" x14ac:dyDescent="0.25">
      <c r="A436" s="86"/>
      <c r="B436" s="86"/>
      <c r="C436" s="88"/>
      <c r="D436" s="91"/>
      <c r="E436" s="92"/>
      <c r="F436" s="94"/>
    </row>
    <row r="437" spans="1:6" x14ac:dyDescent="0.25">
      <c r="A437" s="86"/>
      <c r="B437" s="86"/>
      <c r="C437" s="88"/>
      <c r="D437" s="91"/>
      <c r="E437" s="92"/>
      <c r="F437" s="94"/>
    </row>
    <row r="438" spans="1:6" x14ac:dyDescent="0.25">
      <c r="A438" s="86"/>
      <c r="B438" s="86"/>
      <c r="C438" s="88"/>
      <c r="D438" s="91"/>
      <c r="E438" s="92"/>
      <c r="F438" s="94"/>
    </row>
    <row r="439" spans="1:6" x14ac:dyDescent="0.25">
      <c r="A439" s="86"/>
      <c r="B439" s="86"/>
      <c r="C439" s="88"/>
      <c r="D439" s="91"/>
      <c r="E439" s="92"/>
      <c r="F439" s="94"/>
    </row>
    <row r="440" spans="1:6" x14ac:dyDescent="0.25">
      <c r="A440" s="86"/>
      <c r="B440" s="86"/>
      <c r="C440" s="88"/>
      <c r="D440" s="91"/>
      <c r="E440" s="92"/>
      <c r="F440" s="94"/>
    </row>
    <row r="441" spans="1:6" x14ac:dyDescent="0.25">
      <c r="A441" s="86"/>
      <c r="B441" s="86"/>
      <c r="C441" s="88"/>
      <c r="D441" s="91"/>
      <c r="E441" s="92"/>
      <c r="F441" s="94"/>
    </row>
    <row r="442" spans="1:6" x14ac:dyDescent="0.25">
      <c r="A442" s="86"/>
      <c r="B442" s="86"/>
      <c r="C442" s="88"/>
      <c r="D442" s="91"/>
      <c r="E442" s="92"/>
      <c r="F442" s="94"/>
    </row>
    <row r="443" spans="1:6" x14ac:dyDescent="0.25">
      <c r="A443" s="86"/>
      <c r="B443" s="86"/>
      <c r="C443" s="88"/>
      <c r="D443" s="91"/>
      <c r="E443" s="92"/>
      <c r="F443" s="94"/>
    </row>
    <row r="444" spans="1:6" x14ac:dyDescent="0.25">
      <c r="A444" s="86"/>
      <c r="B444" s="86"/>
      <c r="C444" s="88"/>
      <c r="D444" s="91"/>
      <c r="E444" s="92"/>
      <c r="F444" s="94"/>
    </row>
    <row r="445" spans="1:6" x14ac:dyDescent="0.25">
      <c r="A445" s="86"/>
      <c r="B445" s="86"/>
      <c r="C445" s="88"/>
      <c r="D445" s="91"/>
      <c r="E445" s="92"/>
      <c r="F445" s="94"/>
    </row>
    <row r="446" spans="1:6" x14ac:dyDescent="0.25">
      <c r="A446" s="86"/>
      <c r="B446" s="86"/>
      <c r="C446" s="88"/>
      <c r="D446" s="91"/>
      <c r="E446" s="92"/>
      <c r="F446" s="94"/>
    </row>
    <row r="447" spans="1:6" x14ac:dyDescent="0.25">
      <c r="A447" s="86"/>
      <c r="B447" s="86"/>
      <c r="C447" s="88"/>
      <c r="D447" s="91"/>
      <c r="E447" s="92"/>
      <c r="F447" s="94"/>
    </row>
    <row r="448" spans="1:6" x14ac:dyDescent="0.25">
      <c r="A448" s="86"/>
      <c r="B448" s="86"/>
      <c r="C448" s="88"/>
      <c r="D448" s="91"/>
      <c r="E448" s="92"/>
      <c r="F448" s="94"/>
    </row>
    <row r="449" spans="1:6" x14ac:dyDescent="0.25">
      <c r="A449" s="86"/>
      <c r="B449" s="86"/>
      <c r="C449" s="88"/>
      <c r="D449" s="91"/>
      <c r="E449" s="92"/>
      <c r="F449" s="94"/>
    </row>
    <row r="450" spans="1:6" x14ac:dyDescent="0.25">
      <c r="A450" s="86"/>
      <c r="B450" s="86"/>
      <c r="C450" s="88"/>
      <c r="D450" s="91"/>
      <c r="E450" s="92"/>
      <c r="F450" s="94"/>
    </row>
    <row r="451" spans="1:6" x14ac:dyDescent="0.25">
      <c r="A451" s="86"/>
      <c r="B451" s="86"/>
      <c r="C451" s="88"/>
      <c r="D451" s="91"/>
      <c r="E451" s="92"/>
      <c r="F451" s="94"/>
    </row>
    <row r="452" spans="1:6" x14ac:dyDescent="0.25">
      <c r="A452" s="86"/>
      <c r="B452" s="86"/>
      <c r="C452" s="88"/>
      <c r="D452" s="91"/>
      <c r="E452" s="92"/>
      <c r="F452" s="94"/>
    </row>
    <row r="453" spans="1:6" x14ac:dyDescent="0.25">
      <c r="A453" s="86"/>
      <c r="B453" s="86"/>
      <c r="C453" s="88"/>
      <c r="D453" s="91"/>
      <c r="E453" s="92"/>
      <c r="F453" s="94"/>
    </row>
    <row r="454" spans="1:6" x14ac:dyDescent="0.25">
      <c r="A454" s="86"/>
      <c r="B454" s="86"/>
      <c r="C454" s="88"/>
      <c r="D454" s="91"/>
      <c r="E454" s="92"/>
      <c r="F454" s="94"/>
    </row>
    <row r="455" spans="1:6" x14ac:dyDescent="0.25">
      <c r="A455" s="86"/>
      <c r="B455" s="86"/>
      <c r="C455" s="88"/>
      <c r="D455" s="91"/>
      <c r="E455" s="92"/>
      <c r="F455" s="94"/>
    </row>
    <row r="456" spans="1:6" x14ac:dyDescent="0.25">
      <c r="A456" s="86"/>
      <c r="B456" s="86"/>
      <c r="C456" s="88"/>
      <c r="D456" s="91"/>
      <c r="E456" s="92"/>
      <c r="F456" s="94"/>
    </row>
    <row r="457" spans="1:6" x14ac:dyDescent="0.25">
      <c r="A457" s="86"/>
      <c r="B457" s="86"/>
      <c r="C457" s="88"/>
      <c r="D457" s="91"/>
      <c r="E457" s="92"/>
      <c r="F457" s="94"/>
    </row>
    <row r="458" spans="1:6" x14ac:dyDescent="0.25">
      <c r="A458" s="86"/>
      <c r="B458" s="86"/>
      <c r="C458" s="88"/>
      <c r="D458" s="91"/>
      <c r="E458" s="92"/>
      <c r="F458" s="94"/>
    </row>
    <row r="459" spans="1:6" x14ac:dyDescent="0.25">
      <c r="A459" s="86"/>
      <c r="B459" s="86"/>
      <c r="C459" s="88"/>
      <c r="D459" s="91"/>
      <c r="E459" s="92"/>
      <c r="F459" s="94"/>
    </row>
    <row r="460" spans="1:6" x14ac:dyDescent="0.25">
      <c r="A460" s="86"/>
      <c r="B460" s="86"/>
      <c r="C460" s="88"/>
      <c r="D460" s="91"/>
      <c r="E460" s="92"/>
      <c r="F460" s="94"/>
    </row>
    <row r="461" spans="1:6" x14ac:dyDescent="0.25">
      <c r="A461" s="86"/>
      <c r="B461" s="86"/>
      <c r="C461" s="88"/>
      <c r="D461" s="91"/>
      <c r="E461" s="92"/>
      <c r="F461" s="94"/>
    </row>
    <row r="462" spans="1:6" x14ac:dyDescent="0.25">
      <c r="A462" s="86"/>
      <c r="B462" s="86"/>
      <c r="C462" s="88"/>
      <c r="D462" s="91"/>
      <c r="E462" s="92"/>
      <c r="F462" s="94"/>
    </row>
    <row r="463" spans="1:6" x14ac:dyDescent="0.25">
      <c r="A463" s="86"/>
      <c r="B463" s="86"/>
      <c r="C463" s="88"/>
      <c r="D463" s="91"/>
      <c r="E463" s="92"/>
      <c r="F463" s="94"/>
    </row>
    <row r="464" spans="1:6" x14ac:dyDescent="0.25">
      <c r="A464" s="86"/>
      <c r="B464" s="86"/>
      <c r="C464" s="88"/>
      <c r="D464" s="91"/>
      <c r="E464" s="92"/>
      <c r="F464" s="94"/>
    </row>
    <row r="465" spans="1:6" x14ac:dyDescent="0.25">
      <c r="A465" s="86"/>
      <c r="B465" s="86"/>
      <c r="C465" s="88"/>
      <c r="D465" s="91"/>
      <c r="E465" s="92"/>
      <c r="F465" s="94"/>
    </row>
    <row r="466" spans="1:6" x14ac:dyDescent="0.25">
      <c r="A466" s="86"/>
      <c r="B466" s="86"/>
      <c r="C466" s="88"/>
      <c r="D466" s="91"/>
      <c r="E466" s="92"/>
      <c r="F466" s="94"/>
    </row>
    <row r="467" spans="1:6" x14ac:dyDescent="0.25">
      <c r="A467" s="86"/>
      <c r="B467" s="86"/>
      <c r="C467" s="88"/>
      <c r="D467" s="91"/>
      <c r="E467" s="92"/>
      <c r="F467" s="94"/>
    </row>
    <row r="468" spans="1:6" x14ac:dyDescent="0.25">
      <c r="A468" s="86"/>
      <c r="B468" s="86"/>
      <c r="C468" s="88"/>
      <c r="D468" s="91"/>
      <c r="E468" s="92"/>
      <c r="F468" s="94"/>
    </row>
    <row r="469" spans="1:6" x14ac:dyDescent="0.25">
      <c r="A469" s="86"/>
      <c r="B469" s="86"/>
      <c r="C469" s="88"/>
      <c r="D469" s="91"/>
      <c r="E469" s="92"/>
      <c r="F469" s="94"/>
    </row>
    <row r="470" spans="1:6" x14ac:dyDescent="0.25">
      <c r="A470" s="86"/>
      <c r="B470" s="86"/>
      <c r="C470" s="88"/>
      <c r="D470" s="91"/>
      <c r="E470" s="92"/>
      <c r="F470" s="94"/>
    </row>
    <row r="471" spans="1:6" x14ac:dyDescent="0.25">
      <c r="A471" s="86"/>
      <c r="B471" s="86"/>
      <c r="C471" s="88"/>
      <c r="D471" s="91"/>
      <c r="E471" s="92"/>
      <c r="F471" s="94"/>
    </row>
    <row r="472" spans="1:6" x14ac:dyDescent="0.25">
      <c r="A472" s="86"/>
      <c r="B472" s="86"/>
      <c r="C472" s="88"/>
      <c r="D472" s="91"/>
      <c r="E472" s="92"/>
      <c r="F472" s="94"/>
    </row>
    <row r="473" spans="1:6" x14ac:dyDescent="0.25">
      <c r="A473" s="86"/>
      <c r="B473" s="86"/>
      <c r="C473" s="88"/>
      <c r="D473" s="91"/>
      <c r="E473" s="92"/>
      <c r="F473" s="94"/>
    </row>
    <row r="474" spans="1:6" x14ac:dyDescent="0.25">
      <c r="A474" s="86"/>
      <c r="B474" s="86"/>
      <c r="C474" s="88"/>
      <c r="D474" s="91"/>
      <c r="E474" s="92"/>
      <c r="F474" s="94"/>
    </row>
    <row r="475" spans="1:6" x14ac:dyDescent="0.25">
      <c r="A475" s="86"/>
      <c r="B475" s="86"/>
      <c r="C475" s="88"/>
      <c r="D475" s="91"/>
      <c r="E475" s="92"/>
      <c r="F475" s="94"/>
    </row>
    <row r="476" spans="1:6" x14ac:dyDescent="0.25">
      <c r="A476" s="86"/>
      <c r="B476" s="86"/>
      <c r="C476" s="88"/>
      <c r="D476" s="91"/>
      <c r="E476" s="92"/>
      <c r="F476" s="94"/>
    </row>
    <row r="477" spans="1:6" x14ac:dyDescent="0.25">
      <c r="A477" s="86"/>
      <c r="B477" s="86"/>
      <c r="C477" s="88"/>
      <c r="D477" s="91"/>
      <c r="E477" s="92"/>
      <c r="F477" s="94"/>
    </row>
    <row r="478" spans="1:6" x14ac:dyDescent="0.25">
      <c r="A478" s="86"/>
      <c r="B478" s="86"/>
      <c r="C478" s="88"/>
      <c r="D478" s="91"/>
      <c r="E478" s="92"/>
      <c r="F478" s="94"/>
    </row>
    <row r="479" spans="1:6" x14ac:dyDescent="0.25">
      <c r="A479" s="86"/>
      <c r="B479" s="86"/>
      <c r="C479" s="88"/>
      <c r="D479" s="91"/>
      <c r="E479" s="92"/>
      <c r="F479" s="94"/>
    </row>
    <row r="480" spans="1:6" x14ac:dyDescent="0.25">
      <c r="A480" s="86"/>
      <c r="B480" s="86"/>
      <c r="C480" s="88"/>
      <c r="D480" s="91"/>
      <c r="E480" s="92"/>
      <c r="F480" s="94"/>
    </row>
    <row r="481" spans="1:6" x14ac:dyDescent="0.25">
      <c r="A481" s="86"/>
      <c r="B481" s="86"/>
      <c r="C481" s="88"/>
      <c r="D481" s="91"/>
      <c r="E481" s="92"/>
      <c r="F481" s="94"/>
    </row>
    <row r="482" spans="1:6" x14ac:dyDescent="0.25">
      <c r="A482" s="86"/>
      <c r="B482" s="86"/>
      <c r="C482" s="88"/>
      <c r="D482" s="91"/>
      <c r="E482" s="92"/>
      <c r="F482" s="94"/>
    </row>
    <row r="483" spans="1:6" x14ac:dyDescent="0.25">
      <c r="A483" s="86"/>
      <c r="B483" s="86"/>
      <c r="C483" s="88"/>
      <c r="D483" s="91"/>
      <c r="E483" s="92"/>
      <c r="F483" s="94"/>
    </row>
    <row r="484" spans="1:6" x14ac:dyDescent="0.25">
      <c r="A484" s="86"/>
      <c r="B484" s="86"/>
      <c r="C484" s="88"/>
      <c r="D484" s="91"/>
      <c r="E484" s="92"/>
      <c r="F484" s="94"/>
    </row>
    <row r="485" spans="1:6" x14ac:dyDescent="0.25">
      <c r="A485" s="86"/>
      <c r="B485" s="86"/>
      <c r="C485" s="88"/>
      <c r="D485" s="91"/>
      <c r="E485" s="92"/>
      <c r="F485" s="94"/>
    </row>
    <row r="486" spans="1:6" x14ac:dyDescent="0.25">
      <c r="A486" s="86"/>
      <c r="B486" s="86"/>
      <c r="C486" s="88"/>
      <c r="D486" s="91"/>
      <c r="E486" s="92"/>
      <c r="F486" s="94"/>
    </row>
    <row r="487" spans="1:6" x14ac:dyDescent="0.25">
      <c r="A487" s="86"/>
      <c r="B487" s="86"/>
      <c r="C487" s="88"/>
      <c r="D487" s="91"/>
      <c r="E487" s="92"/>
      <c r="F487" s="94"/>
    </row>
    <row r="488" spans="1:6" x14ac:dyDescent="0.25">
      <c r="A488" s="86"/>
      <c r="B488" s="86"/>
      <c r="C488" s="88"/>
      <c r="D488" s="91"/>
      <c r="E488" s="92"/>
      <c r="F488" s="94"/>
    </row>
    <row r="489" spans="1:6" x14ac:dyDescent="0.25">
      <c r="A489" s="86"/>
      <c r="B489" s="86"/>
      <c r="C489" s="88"/>
      <c r="D489" s="91"/>
      <c r="E489" s="92"/>
      <c r="F489" s="94"/>
    </row>
    <row r="490" spans="1:6" x14ac:dyDescent="0.25">
      <c r="A490" s="86"/>
      <c r="B490" s="86"/>
      <c r="C490" s="88"/>
      <c r="D490" s="91"/>
      <c r="E490" s="92"/>
      <c r="F490" s="94"/>
    </row>
    <row r="491" spans="1:6" x14ac:dyDescent="0.25">
      <c r="A491" s="86"/>
      <c r="B491" s="86"/>
      <c r="C491" s="88"/>
      <c r="D491" s="91"/>
      <c r="E491" s="92"/>
      <c r="F491" s="94"/>
    </row>
    <row r="492" spans="1:6" x14ac:dyDescent="0.25">
      <c r="A492" s="86"/>
      <c r="B492" s="86"/>
      <c r="C492" s="88"/>
      <c r="D492" s="91"/>
      <c r="E492" s="92"/>
      <c r="F492" s="94"/>
    </row>
    <row r="493" spans="1:6" x14ac:dyDescent="0.25">
      <c r="A493" s="86"/>
      <c r="B493" s="86"/>
      <c r="C493" s="88"/>
      <c r="D493" s="91"/>
      <c r="E493" s="92"/>
      <c r="F493" s="94"/>
    </row>
    <row r="494" spans="1:6" x14ac:dyDescent="0.25">
      <c r="A494" s="86"/>
      <c r="B494" s="86"/>
      <c r="C494" s="88"/>
      <c r="D494" s="91"/>
      <c r="E494" s="92"/>
      <c r="F494" s="94"/>
    </row>
    <row r="495" spans="1:6" x14ac:dyDescent="0.25">
      <c r="A495" s="86"/>
      <c r="B495" s="86"/>
      <c r="C495" s="88"/>
      <c r="D495" s="91"/>
      <c r="E495" s="92"/>
      <c r="F495" s="94"/>
    </row>
    <row r="496" spans="1:6" x14ac:dyDescent="0.25">
      <c r="A496" s="86"/>
      <c r="B496" s="86"/>
      <c r="C496" s="88"/>
      <c r="D496" s="91"/>
      <c r="E496" s="92"/>
      <c r="F496" s="94"/>
    </row>
    <row r="497" spans="1:6" x14ac:dyDescent="0.25">
      <c r="A497" s="86"/>
      <c r="B497" s="86"/>
      <c r="C497" s="88"/>
      <c r="D497" s="91"/>
      <c r="E497" s="92"/>
      <c r="F497" s="94"/>
    </row>
    <row r="498" spans="1:6" x14ac:dyDescent="0.25">
      <c r="A498" s="86"/>
      <c r="B498" s="86"/>
      <c r="C498" s="88"/>
      <c r="D498" s="91"/>
      <c r="E498" s="92"/>
      <c r="F498" s="94"/>
    </row>
    <row r="499" spans="1:6" x14ac:dyDescent="0.25">
      <c r="A499" s="86"/>
      <c r="B499" s="86"/>
      <c r="C499" s="88"/>
      <c r="D499" s="91"/>
      <c r="E499" s="92"/>
      <c r="F499" s="94"/>
    </row>
    <row r="500" spans="1:6" x14ac:dyDescent="0.25">
      <c r="A500" s="86"/>
      <c r="B500" s="86"/>
      <c r="C500" s="88"/>
      <c r="D500" s="91"/>
      <c r="E500" s="92"/>
      <c r="F500" s="94"/>
    </row>
    <row r="501" spans="1:6" x14ac:dyDescent="0.25">
      <c r="A501" s="86"/>
      <c r="B501" s="86"/>
      <c r="C501" s="88"/>
      <c r="D501" s="91"/>
      <c r="E501" s="92"/>
      <c r="F501" s="94"/>
    </row>
    <row r="502" spans="1:6" x14ac:dyDescent="0.25">
      <c r="A502" s="86"/>
      <c r="B502" s="86"/>
      <c r="C502" s="88"/>
      <c r="D502" s="91"/>
      <c r="E502" s="92"/>
      <c r="F502" s="94"/>
    </row>
    <row r="503" spans="1:6" x14ac:dyDescent="0.25">
      <c r="A503" s="86"/>
      <c r="B503" s="86"/>
      <c r="C503" s="88"/>
      <c r="D503" s="91"/>
      <c r="E503" s="92"/>
      <c r="F503" s="94"/>
    </row>
    <row r="504" spans="1:6" x14ac:dyDescent="0.25">
      <c r="A504" s="86"/>
      <c r="B504" s="86"/>
      <c r="C504" s="88"/>
      <c r="D504" s="91"/>
      <c r="E504" s="92"/>
      <c r="F504" s="94"/>
    </row>
    <row r="505" spans="1:6" x14ac:dyDescent="0.25">
      <c r="A505" s="86"/>
      <c r="B505" s="86"/>
      <c r="C505" s="88"/>
      <c r="D505" s="91"/>
      <c r="E505" s="92"/>
      <c r="F505" s="94"/>
    </row>
    <row r="506" spans="1:6" x14ac:dyDescent="0.25">
      <c r="A506" s="86"/>
      <c r="B506" s="86"/>
      <c r="C506" s="88"/>
      <c r="D506" s="91"/>
      <c r="E506" s="92"/>
      <c r="F506" s="94"/>
    </row>
    <row r="507" spans="1:6" x14ac:dyDescent="0.25">
      <c r="A507" s="86"/>
      <c r="B507" s="86"/>
      <c r="C507" s="88"/>
      <c r="D507" s="91"/>
      <c r="E507" s="92"/>
      <c r="F507" s="94"/>
    </row>
    <row r="508" spans="1:6" x14ac:dyDescent="0.25">
      <c r="A508" s="86"/>
      <c r="B508" s="86"/>
      <c r="C508" s="88"/>
      <c r="D508" s="91"/>
      <c r="E508" s="92"/>
      <c r="F508" s="94"/>
    </row>
    <row r="509" spans="1:6" x14ac:dyDescent="0.25">
      <c r="A509" s="86"/>
      <c r="B509" s="86"/>
      <c r="C509" s="88"/>
      <c r="D509" s="91"/>
      <c r="E509" s="92"/>
      <c r="F509" s="94"/>
    </row>
    <row r="510" spans="1:6" x14ac:dyDescent="0.25">
      <c r="A510" s="86"/>
      <c r="B510" s="86"/>
      <c r="C510" s="88"/>
      <c r="D510" s="91"/>
      <c r="E510" s="92"/>
      <c r="F510" s="94"/>
    </row>
    <row r="511" spans="1:6" x14ac:dyDescent="0.25">
      <c r="A511" s="86"/>
      <c r="B511" s="86"/>
      <c r="C511" s="88"/>
      <c r="D511" s="91"/>
      <c r="E511" s="92"/>
      <c r="F511" s="94"/>
    </row>
    <row r="512" spans="1:6" x14ac:dyDescent="0.25">
      <c r="A512" s="86"/>
      <c r="B512" s="86"/>
      <c r="C512" s="88"/>
      <c r="D512" s="91"/>
      <c r="E512" s="92"/>
      <c r="F512" s="94"/>
    </row>
    <row r="513" spans="1:6" x14ac:dyDescent="0.25">
      <c r="A513" s="86"/>
      <c r="B513" s="86"/>
      <c r="C513" s="88"/>
      <c r="D513" s="91"/>
      <c r="E513" s="92"/>
      <c r="F513" s="94"/>
    </row>
    <row r="514" spans="1:6" x14ac:dyDescent="0.25">
      <c r="A514" s="86"/>
      <c r="B514" s="86"/>
      <c r="C514" s="88"/>
      <c r="D514" s="91"/>
      <c r="E514" s="92"/>
      <c r="F514" s="94"/>
    </row>
    <row r="515" spans="1:6" x14ac:dyDescent="0.25">
      <c r="A515" s="86"/>
      <c r="B515" s="86"/>
      <c r="C515" s="88"/>
      <c r="D515" s="91"/>
      <c r="E515" s="92"/>
      <c r="F515" s="94"/>
    </row>
    <row r="516" spans="1:6" x14ac:dyDescent="0.25">
      <c r="A516" s="86"/>
      <c r="B516" s="86"/>
      <c r="C516" s="88"/>
      <c r="D516" s="91"/>
      <c r="E516" s="92"/>
      <c r="F516" s="94"/>
    </row>
    <row r="517" spans="1:6" x14ac:dyDescent="0.25">
      <c r="A517" s="86"/>
      <c r="B517" s="86"/>
      <c r="C517" s="88"/>
      <c r="D517" s="91"/>
      <c r="E517" s="92"/>
      <c r="F517" s="94"/>
    </row>
    <row r="518" spans="1:6" x14ac:dyDescent="0.25">
      <c r="A518" s="86"/>
      <c r="B518" s="86"/>
      <c r="C518" s="88"/>
      <c r="D518" s="91"/>
      <c r="E518" s="92"/>
      <c r="F518" s="94"/>
    </row>
    <row r="519" spans="1:6" x14ac:dyDescent="0.25">
      <c r="A519" s="86"/>
      <c r="B519" s="86"/>
      <c r="C519" s="88"/>
      <c r="D519" s="91"/>
      <c r="E519" s="92"/>
      <c r="F519" s="94"/>
    </row>
    <row r="520" spans="1:6" x14ac:dyDescent="0.25">
      <c r="A520" s="86"/>
      <c r="B520" s="86"/>
      <c r="C520" s="88"/>
      <c r="D520" s="91"/>
      <c r="E520" s="92"/>
      <c r="F520" s="94"/>
    </row>
    <row r="521" spans="1:6" x14ac:dyDescent="0.25">
      <c r="A521" s="86"/>
      <c r="B521" s="86"/>
      <c r="C521" s="88"/>
      <c r="D521" s="91"/>
      <c r="E521" s="92"/>
      <c r="F521" s="94"/>
    </row>
    <row r="522" spans="1:6" x14ac:dyDescent="0.25">
      <c r="A522" s="86"/>
      <c r="B522" s="86"/>
      <c r="C522" s="88"/>
      <c r="D522" s="91"/>
      <c r="E522" s="92"/>
      <c r="F522" s="94"/>
    </row>
    <row r="523" spans="1:6" x14ac:dyDescent="0.25">
      <c r="A523" s="86"/>
      <c r="B523" s="86"/>
      <c r="C523" s="88"/>
      <c r="D523" s="91"/>
      <c r="E523" s="92"/>
      <c r="F523" s="94"/>
    </row>
    <row r="524" spans="1:6" x14ac:dyDescent="0.25">
      <c r="A524" s="86"/>
      <c r="B524" s="86"/>
      <c r="C524" s="88"/>
      <c r="D524" s="91"/>
      <c r="E524" s="92"/>
      <c r="F524" s="94"/>
    </row>
    <row r="525" spans="1:6" x14ac:dyDescent="0.25">
      <c r="A525" s="86"/>
      <c r="B525" s="86"/>
      <c r="C525" s="88"/>
      <c r="D525" s="91"/>
      <c r="E525" s="92"/>
      <c r="F525" s="94"/>
    </row>
    <row r="526" spans="1:6" x14ac:dyDescent="0.25">
      <c r="A526" s="86"/>
      <c r="B526" s="86"/>
      <c r="C526" s="88"/>
      <c r="D526" s="91"/>
      <c r="E526" s="92"/>
      <c r="F526" s="94"/>
    </row>
    <row r="527" spans="1:6" x14ac:dyDescent="0.25">
      <c r="A527" s="86"/>
      <c r="B527" s="86"/>
      <c r="C527" s="88"/>
      <c r="D527" s="91"/>
      <c r="E527" s="92"/>
      <c r="F527" s="94"/>
    </row>
    <row r="528" spans="1:6" x14ac:dyDescent="0.25">
      <c r="A528" s="86"/>
      <c r="B528" s="86"/>
      <c r="C528" s="88"/>
      <c r="D528" s="91"/>
      <c r="E528" s="92"/>
      <c r="F528" s="94"/>
    </row>
    <row r="529" spans="1:6" x14ac:dyDescent="0.25">
      <c r="A529" s="86"/>
      <c r="B529" s="86"/>
      <c r="C529" s="88"/>
      <c r="D529" s="91"/>
      <c r="E529" s="92"/>
      <c r="F529" s="94"/>
    </row>
    <row r="530" spans="1:6" x14ac:dyDescent="0.25">
      <c r="A530" s="86"/>
      <c r="B530" s="86"/>
      <c r="C530" s="88"/>
      <c r="D530" s="91"/>
      <c r="E530" s="92"/>
      <c r="F530" s="94"/>
    </row>
    <row r="531" spans="1:6" x14ac:dyDescent="0.25">
      <c r="A531" s="86"/>
      <c r="B531" s="86"/>
      <c r="C531" s="88"/>
      <c r="D531" s="91"/>
      <c r="E531" s="92"/>
      <c r="F531" s="94"/>
    </row>
    <row r="532" spans="1:6" x14ac:dyDescent="0.25">
      <c r="A532" s="86"/>
      <c r="B532" s="86"/>
      <c r="C532" s="88"/>
      <c r="D532" s="91"/>
      <c r="E532" s="92"/>
      <c r="F532" s="94"/>
    </row>
    <row r="533" spans="1:6" x14ac:dyDescent="0.25">
      <c r="A533" s="86"/>
      <c r="B533" s="86"/>
      <c r="C533" s="88"/>
      <c r="D533" s="91"/>
      <c r="E533" s="92"/>
      <c r="F533" s="94"/>
    </row>
    <row r="534" spans="1:6" x14ac:dyDescent="0.25">
      <c r="A534" s="86"/>
      <c r="B534" s="86"/>
      <c r="C534" s="88"/>
      <c r="D534" s="91"/>
      <c r="E534" s="92"/>
      <c r="F534" s="94"/>
    </row>
    <row r="535" spans="1:6" x14ac:dyDescent="0.25">
      <c r="A535" s="86"/>
      <c r="B535" s="86"/>
      <c r="C535" s="88"/>
      <c r="D535" s="91"/>
      <c r="E535" s="92"/>
      <c r="F535" s="94"/>
    </row>
    <row r="536" spans="1:6" x14ac:dyDescent="0.25">
      <c r="A536" s="86"/>
      <c r="B536" s="86"/>
      <c r="C536" s="88"/>
      <c r="D536" s="91"/>
      <c r="E536" s="92"/>
      <c r="F536" s="94"/>
    </row>
    <row r="537" spans="1:6" x14ac:dyDescent="0.25">
      <c r="A537" s="86"/>
      <c r="B537" s="86"/>
      <c r="C537" s="88"/>
      <c r="D537" s="91"/>
      <c r="E537" s="92"/>
      <c r="F537" s="94"/>
    </row>
    <row r="538" spans="1:6" x14ac:dyDescent="0.25">
      <c r="A538" s="86"/>
      <c r="B538" s="86"/>
      <c r="C538" s="88"/>
      <c r="D538" s="91"/>
      <c r="E538" s="92"/>
      <c r="F538" s="94"/>
    </row>
    <row r="539" spans="1:6" x14ac:dyDescent="0.25">
      <c r="A539" s="86"/>
      <c r="B539" s="86"/>
      <c r="C539" s="88"/>
      <c r="D539" s="91"/>
      <c r="E539" s="92"/>
      <c r="F539" s="94"/>
    </row>
    <row r="540" spans="1:6" x14ac:dyDescent="0.25">
      <c r="A540" s="86"/>
      <c r="B540" s="86"/>
      <c r="C540" s="88"/>
      <c r="D540" s="91"/>
      <c r="E540" s="92"/>
      <c r="F540" s="94"/>
    </row>
    <row r="541" spans="1:6" x14ac:dyDescent="0.25">
      <c r="A541" s="86"/>
      <c r="B541" s="86"/>
      <c r="C541" s="88"/>
      <c r="D541" s="91"/>
      <c r="E541" s="92"/>
      <c r="F541" s="94"/>
    </row>
    <row r="542" spans="1:6" x14ac:dyDescent="0.25">
      <c r="A542" s="86"/>
      <c r="B542" s="86"/>
      <c r="C542" s="88"/>
      <c r="D542" s="91"/>
      <c r="E542" s="92"/>
      <c r="F542" s="94"/>
    </row>
    <row r="543" spans="1:6" x14ac:dyDescent="0.25">
      <c r="A543" s="86"/>
      <c r="B543" s="86"/>
      <c r="C543" s="88"/>
      <c r="D543" s="91"/>
      <c r="E543" s="92"/>
      <c r="F543" s="94"/>
    </row>
    <row r="544" spans="1:6" x14ac:dyDescent="0.25">
      <c r="A544" s="86"/>
      <c r="B544" s="86"/>
      <c r="C544" s="88"/>
      <c r="D544" s="91"/>
      <c r="E544" s="92"/>
      <c r="F544" s="94"/>
    </row>
    <row r="545" spans="1:6" x14ac:dyDescent="0.25">
      <c r="A545" s="86"/>
      <c r="B545" s="86"/>
      <c r="C545" s="88"/>
      <c r="D545" s="91"/>
      <c r="E545" s="92"/>
      <c r="F545" s="94"/>
    </row>
    <row r="546" spans="1:6" x14ac:dyDescent="0.25">
      <c r="A546" s="86"/>
      <c r="B546" s="86"/>
      <c r="C546" s="88"/>
      <c r="D546" s="91"/>
      <c r="E546" s="92"/>
      <c r="F546" s="94"/>
    </row>
    <row r="547" spans="1:6" x14ac:dyDescent="0.25">
      <c r="A547" s="86"/>
      <c r="B547" s="86"/>
      <c r="C547" s="88"/>
      <c r="D547" s="91"/>
      <c r="E547" s="92"/>
      <c r="F547" s="94"/>
    </row>
    <row r="548" spans="1:6" x14ac:dyDescent="0.25">
      <c r="A548" s="86"/>
      <c r="B548" s="86"/>
      <c r="C548" s="88"/>
      <c r="D548" s="91"/>
      <c r="E548" s="92"/>
      <c r="F548" s="94"/>
    </row>
    <row r="549" spans="1:6" x14ac:dyDescent="0.25">
      <c r="A549" s="86"/>
      <c r="B549" s="86"/>
      <c r="C549" s="88"/>
      <c r="D549" s="91"/>
      <c r="E549" s="92"/>
      <c r="F549" s="94"/>
    </row>
    <row r="550" spans="1:6" x14ac:dyDescent="0.25">
      <c r="A550" s="86"/>
      <c r="B550" s="86"/>
      <c r="C550" s="88"/>
      <c r="D550" s="91"/>
      <c r="E550" s="92"/>
      <c r="F550" s="94"/>
    </row>
    <row r="551" spans="1:6" x14ac:dyDescent="0.25">
      <c r="A551" s="86"/>
      <c r="B551" s="86"/>
      <c r="C551" s="88"/>
      <c r="D551" s="91"/>
      <c r="E551" s="92"/>
      <c r="F551" s="94"/>
    </row>
    <row r="552" spans="1:6" x14ac:dyDescent="0.25">
      <c r="A552" s="86"/>
      <c r="B552" s="86"/>
      <c r="C552" s="88"/>
      <c r="D552" s="91"/>
      <c r="E552" s="92"/>
      <c r="F552" s="94"/>
    </row>
    <row r="553" spans="1:6" x14ac:dyDescent="0.25">
      <c r="A553" s="86"/>
      <c r="B553" s="86"/>
      <c r="C553" s="88"/>
      <c r="D553" s="91"/>
      <c r="E553" s="92"/>
      <c r="F553" s="94"/>
    </row>
    <row r="554" spans="1:6" x14ac:dyDescent="0.25">
      <c r="A554" s="86"/>
      <c r="B554" s="86"/>
      <c r="C554" s="88"/>
      <c r="D554" s="91"/>
      <c r="E554" s="92"/>
      <c r="F554" s="94"/>
    </row>
    <row r="555" spans="1:6" x14ac:dyDescent="0.25">
      <c r="A555" s="86"/>
      <c r="B555" s="86"/>
      <c r="C555" s="88"/>
      <c r="D555" s="91"/>
      <c r="E555" s="92"/>
      <c r="F555" s="94"/>
    </row>
    <row r="556" spans="1:6" x14ac:dyDescent="0.25">
      <c r="A556" s="86"/>
      <c r="B556" s="86"/>
      <c r="C556" s="88"/>
      <c r="D556" s="91"/>
      <c r="E556" s="92"/>
      <c r="F556" s="94"/>
    </row>
    <row r="557" spans="1:6" x14ac:dyDescent="0.25">
      <c r="A557" s="86"/>
      <c r="B557" s="86"/>
      <c r="C557" s="88"/>
      <c r="D557" s="91"/>
      <c r="E557" s="92"/>
      <c r="F557" s="94"/>
    </row>
    <row r="558" spans="1:6" x14ac:dyDescent="0.25">
      <c r="A558" s="86"/>
      <c r="B558" s="86"/>
      <c r="C558" s="88"/>
      <c r="D558" s="91"/>
      <c r="E558" s="92"/>
      <c r="F558" s="94"/>
    </row>
    <row r="559" spans="1:6" x14ac:dyDescent="0.25">
      <c r="A559" s="86"/>
      <c r="B559" s="86"/>
      <c r="C559" s="88"/>
      <c r="D559" s="91"/>
      <c r="E559" s="92"/>
      <c r="F559" s="94"/>
    </row>
    <row r="560" spans="1:6" x14ac:dyDescent="0.25">
      <c r="A560" s="86"/>
      <c r="B560" s="86"/>
      <c r="C560" s="88"/>
      <c r="D560" s="91"/>
      <c r="E560" s="92"/>
      <c r="F560" s="94"/>
    </row>
    <row r="561" spans="1:6" x14ac:dyDescent="0.25">
      <c r="A561" s="86"/>
      <c r="B561" s="86"/>
      <c r="C561" s="88"/>
      <c r="D561" s="91"/>
      <c r="E561" s="92"/>
      <c r="F561" s="94"/>
    </row>
    <row r="562" spans="1:6" x14ac:dyDescent="0.25">
      <c r="A562" s="86"/>
      <c r="B562" s="86"/>
      <c r="C562" s="88"/>
      <c r="D562" s="91"/>
      <c r="E562" s="92"/>
      <c r="F562" s="94"/>
    </row>
    <row r="563" spans="1:6" x14ac:dyDescent="0.25">
      <c r="A563" s="86"/>
      <c r="B563" s="86"/>
      <c r="C563" s="88"/>
      <c r="D563" s="91"/>
      <c r="E563" s="92"/>
      <c r="F563" s="94"/>
    </row>
    <row r="564" spans="1:6" x14ac:dyDescent="0.25">
      <c r="A564" s="86"/>
      <c r="B564" s="86"/>
      <c r="C564" s="88"/>
      <c r="D564" s="91"/>
      <c r="E564" s="92"/>
      <c r="F564" s="94"/>
    </row>
    <row r="565" spans="1:6" x14ac:dyDescent="0.25">
      <c r="A565" s="86"/>
      <c r="B565" s="86"/>
      <c r="C565" s="88"/>
      <c r="D565" s="91"/>
      <c r="E565" s="92"/>
      <c r="F565" s="94"/>
    </row>
    <row r="566" spans="1:6" x14ac:dyDescent="0.25">
      <c r="A566" s="86"/>
      <c r="B566" s="86"/>
      <c r="C566" s="88"/>
      <c r="D566" s="91"/>
      <c r="E566" s="92"/>
      <c r="F566" s="94"/>
    </row>
    <row r="567" spans="1:6" x14ac:dyDescent="0.25">
      <c r="A567" s="86"/>
      <c r="B567" s="86"/>
      <c r="C567" s="88"/>
      <c r="D567" s="91"/>
      <c r="E567" s="92"/>
      <c r="F567" s="94"/>
    </row>
    <row r="568" spans="1:6" x14ac:dyDescent="0.25">
      <c r="A568" s="86"/>
      <c r="B568" s="86"/>
      <c r="C568" s="88"/>
      <c r="D568" s="91"/>
      <c r="E568" s="92"/>
      <c r="F568" s="94"/>
    </row>
    <row r="569" spans="1:6" x14ac:dyDescent="0.25">
      <c r="A569" s="86"/>
      <c r="B569" s="86"/>
      <c r="C569" s="88"/>
      <c r="D569" s="91"/>
      <c r="E569" s="92"/>
      <c r="F569" s="94"/>
    </row>
    <row r="570" spans="1:6" x14ac:dyDescent="0.25">
      <c r="A570" s="86"/>
      <c r="B570" s="86"/>
      <c r="C570" s="88"/>
      <c r="D570" s="91"/>
      <c r="E570" s="92"/>
      <c r="F570" s="94"/>
    </row>
    <row r="571" spans="1:6" x14ac:dyDescent="0.25">
      <c r="A571" s="86"/>
      <c r="B571" s="86"/>
      <c r="C571" s="88"/>
      <c r="D571" s="91"/>
      <c r="E571" s="92"/>
      <c r="F571" s="94"/>
    </row>
    <row r="572" spans="1:6" x14ac:dyDescent="0.25">
      <c r="A572" s="86"/>
      <c r="B572" s="86"/>
      <c r="C572" s="88"/>
      <c r="D572" s="91"/>
      <c r="E572" s="92"/>
      <c r="F572" s="94"/>
    </row>
    <row r="573" spans="1:6" x14ac:dyDescent="0.25">
      <c r="A573" s="86"/>
      <c r="B573" s="86"/>
      <c r="C573" s="88"/>
      <c r="D573" s="91"/>
      <c r="E573" s="92"/>
      <c r="F573" s="94"/>
    </row>
    <row r="574" spans="1:6" x14ac:dyDescent="0.25">
      <c r="A574" s="86"/>
      <c r="B574" s="86"/>
      <c r="C574" s="88"/>
      <c r="D574" s="91"/>
      <c r="E574" s="92"/>
      <c r="F574" s="94"/>
    </row>
    <row r="575" spans="1:6" x14ac:dyDescent="0.25">
      <c r="A575" s="86"/>
      <c r="B575" s="86"/>
      <c r="C575" s="88"/>
      <c r="D575" s="91"/>
      <c r="E575" s="92"/>
      <c r="F575" s="94"/>
    </row>
    <row r="576" spans="1:6" x14ac:dyDescent="0.25">
      <c r="A576" s="86"/>
      <c r="B576" s="86"/>
      <c r="C576" s="88"/>
      <c r="D576" s="91"/>
      <c r="E576" s="92"/>
      <c r="F576" s="94"/>
    </row>
    <row r="577" spans="1:6" x14ac:dyDescent="0.25">
      <c r="A577" s="86"/>
      <c r="B577" s="86"/>
      <c r="C577" s="88"/>
      <c r="D577" s="91"/>
      <c r="E577" s="92"/>
      <c r="F577" s="94"/>
    </row>
    <row r="578" spans="1:6" x14ac:dyDescent="0.25">
      <c r="A578" s="86"/>
      <c r="B578" s="86"/>
      <c r="C578" s="88"/>
      <c r="D578" s="91"/>
      <c r="E578" s="92"/>
      <c r="F578" s="94"/>
    </row>
    <row r="579" spans="1:6" x14ac:dyDescent="0.25">
      <c r="A579" s="86"/>
      <c r="B579" s="86"/>
      <c r="C579" s="88"/>
      <c r="D579" s="91"/>
      <c r="E579" s="92"/>
      <c r="F579" s="94"/>
    </row>
    <row r="580" spans="1:6" x14ac:dyDescent="0.25">
      <c r="A580" s="86"/>
      <c r="B580" s="86"/>
      <c r="C580" s="88"/>
      <c r="D580" s="91"/>
      <c r="E580" s="92"/>
      <c r="F580" s="94"/>
    </row>
    <row r="581" spans="1:6" x14ac:dyDescent="0.25">
      <c r="A581" s="86"/>
      <c r="B581" s="86"/>
      <c r="C581" s="88"/>
      <c r="D581" s="91"/>
      <c r="E581" s="92"/>
      <c r="F581" s="94"/>
    </row>
    <row r="582" spans="1:6" x14ac:dyDescent="0.25">
      <c r="A582" s="86"/>
      <c r="B582" s="86"/>
      <c r="C582" s="88"/>
      <c r="D582" s="91"/>
      <c r="E582" s="92"/>
      <c r="F582" s="94"/>
    </row>
    <row r="583" spans="1:6" x14ac:dyDescent="0.25">
      <c r="A583" s="86"/>
      <c r="B583" s="86"/>
      <c r="C583" s="88"/>
      <c r="D583" s="91"/>
      <c r="E583" s="92"/>
      <c r="F583" s="94"/>
    </row>
    <row r="584" spans="1:6" x14ac:dyDescent="0.25">
      <c r="A584" s="86"/>
      <c r="B584" s="86"/>
      <c r="C584" s="88"/>
      <c r="D584" s="91"/>
      <c r="E584" s="92"/>
      <c r="F584" s="94"/>
    </row>
    <row r="585" spans="1:6" x14ac:dyDescent="0.25">
      <c r="A585" s="86"/>
      <c r="B585" s="86"/>
      <c r="C585" s="88"/>
      <c r="D585" s="91"/>
      <c r="E585" s="92"/>
      <c r="F585" s="94"/>
    </row>
    <row r="586" spans="1:6" x14ac:dyDescent="0.25">
      <c r="A586" s="86"/>
      <c r="B586" s="86"/>
      <c r="C586" s="88"/>
      <c r="D586" s="91"/>
      <c r="E586" s="92"/>
      <c r="F586" s="94"/>
    </row>
    <row r="587" spans="1:6" x14ac:dyDescent="0.25">
      <c r="A587" s="86"/>
      <c r="B587" s="86"/>
      <c r="C587" s="88"/>
      <c r="D587" s="91"/>
      <c r="E587" s="92"/>
      <c r="F587" s="94"/>
    </row>
    <row r="588" spans="1:6" x14ac:dyDescent="0.25">
      <c r="A588" s="86"/>
      <c r="B588" s="86"/>
      <c r="C588" s="88"/>
      <c r="D588" s="91"/>
      <c r="E588" s="92"/>
      <c r="F588" s="94"/>
    </row>
    <row r="589" spans="1:6" x14ac:dyDescent="0.25">
      <c r="A589" s="86"/>
      <c r="B589" s="86"/>
      <c r="C589" s="88"/>
      <c r="D589" s="91"/>
      <c r="E589" s="92"/>
      <c r="F589" s="94"/>
    </row>
    <row r="590" spans="1:6" x14ac:dyDescent="0.25">
      <c r="A590" s="86"/>
      <c r="B590" s="86"/>
      <c r="C590" s="88"/>
      <c r="D590" s="91"/>
      <c r="E590" s="92"/>
      <c r="F590" s="94"/>
    </row>
    <row r="591" spans="1:6" x14ac:dyDescent="0.25">
      <c r="A591" s="86"/>
      <c r="B591" s="86"/>
      <c r="C591" s="88"/>
      <c r="D591" s="91"/>
      <c r="E591" s="92"/>
      <c r="F591" s="94"/>
    </row>
    <row r="592" spans="1:6" x14ac:dyDescent="0.25">
      <c r="A592" s="86"/>
      <c r="B592" s="86"/>
      <c r="C592" s="88"/>
      <c r="D592" s="91"/>
      <c r="E592" s="92"/>
      <c r="F592" s="94"/>
    </row>
    <row r="593" spans="1:6" x14ac:dyDescent="0.25">
      <c r="A593" s="86"/>
      <c r="B593" s="86"/>
      <c r="C593" s="88"/>
      <c r="D593" s="91"/>
      <c r="E593" s="92"/>
      <c r="F593" s="94"/>
    </row>
    <row r="594" spans="1:6" x14ac:dyDescent="0.25">
      <c r="A594" s="86"/>
      <c r="B594" s="86"/>
      <c r="C594" s="88"/>
      <c r="D594" s="91"/>
      <c r="E594" s="92"/>
      <c r="F594" s="94"/>
    </row>
    <row r="595" spans="1:6" x14ac:dyDescent="0.25">
      <c r="A595" s="86"/>
      <c r="B595" s="86"/>
      <c r="C595" s="88"/>
      <c r="D595" s="91"/>
      <c r="E595" s="92"/>
      <c r="F595" s="94"/>
    </row>
    <row r="596" spans="1:6" x14ac:dyDescent="0.25">
      <c r="A596" s="86"/>
      <c r="B596" s="86"/>
      <c r="C596" s="88"/>
      <c r="D596" s="91"/>
      <c r="E596" s="92"/>
      <c r="F596" s="94"/>
    </row>
    <row r="597" spans="1:6" x14ac:dyDescent="0.25">
      <c r="A597" s="86"/>
      <c r="B597" s="86"/>
      <c r="C597" s="88"/>
      <c r="D597" s="91"/>
      <c r="E597" s="92"/>
      <c r="F597" s="94"/>
    </row>
    <row r="598" spans="1:6" x14ac:dyDescent="0.25">
      <c r="A598" s="86"/>
      <c r="B598" s="86"/>
      <c r="C598" s="88"/>
      <c r="D598" s="91"/>
      <c r="E598" s="92"/>
      <c r="F598" s="94"/>
    </row>
    <row r="599" spans="1:6" x14ac:dyDescent="0.25">
      <c r="A599" s="86"/>
      <c r="B599" s="86"/>
      <c r="C599" s="88"/>
      <c r="D599" s="91"/>
      <c r="E599" s="92"/>
      <c r="F599" s="94"/>
    </row>
    <row r="600" spans="1:6" x14ac:dyDescent="0.25">
      <c r="A600" s="86"/>
      <c r="B600" s="86"/>
      <c r="C600" s="88"/>
      <c r="D600" s="91"/>
      <c r="E600" s="92"/>
      <c r="F600" s="94"/>
    </row>
    <row r="601" spans="1:6" x14ac:dyDescent="0.25">
      <c r="A601" s="86"/>
      <c r="B601" s="86"/>
      <c r="C601" s="88"/>
      <c r="D601" s="91"/>
      <c r="E601" s="92"/>
      <c r="F601" s="94"/>
    </row>
    <row r="602" spans="1:6" x14ac:dyDescent="0.25">
      <c r="A602" s="86"/>
      <c r="B602" s="86"/>
      <c r="C602" s="88"/>
      <c r="D602" s="91"/>
      <c r="E602" s="92"/>
      <c r="F602" s="94"/>
    </row>
    <row r="603" spans="1:6" x14ac:dyDescent="0.25">
      <c r="A603" s="86"/>
      <c r="B603" s="86"/>
      <c r="C603" s="88"/>
      <c r="D603" s="91"/>
      <c r="E603" s="92"/>
      <c r="F603" s="94"/>
    </row>
    <row r="604" spans="1:6" x14ac:dyDescent="0.25">
      <c r="A604" s="86"/>
      <c r="B604" s="86"/>
      <c r="C604" s="88"/>
      <c r="D604" s="91"/>
      <c r="E604" s="92"/>
      <c r="F604" s="94"/>
    </row>
    <row r="605" spans="1:6" x14ac:dyDescent="0.25">
      <c r="A605" s="86"/>
      <c r="B605" s="86"/>
      <c r="C605" s="88"/>
      <c r="D605" s="91"/>
      <c r="E605" s="92"/>
      <c r="F605" s="94"/>
    </row>
    <row r="606" spans="1:6" x14ac:dyDescent="0.25">
      <c r="A606" s="86"/>
      <c r="B606" s="86"/>
      <c r="C606" s="88"/>
      <c r="D606" s="91"/>
      <c r="E606" s="92"/>
      <c r="F606" s="94"/>
    </row>
    <row r="607" spans="1:6" x14ac:dyDescent="0.25">
      <c r="A607" s="86"/>
      <c r="B607" s="86"/>
      <c r="C607" s="88"/>
      <c r="D607" s="91"/>
      <c r="E607" s="92"/>
      <c r="F607" s="94"/>
    </row>
    <row r="608" spans="1:6" x14ac:dyDescent="0.25">
      <c r="A608" s="86"/>
      <c r="B608" s="86"/>
      <c r="C608" s="88"/>
      <c r="D608" s="91"/>
      <c r="E608" s="92"/>
      <c r="F608" s="94"/>
    </row>
    <row r="609" spans="1:6" x14ac:dyDescent="0.25">
      <c r="A609" s="86"/>
      <c r="B609" s="86"/>
      <c r="C609" s="88"/>
      <c r="D609" s="91"/>
      <c r="E609" s="92"/>
      <c r="F609" s="94"/>
    </row>
    <row r="610" spans="1:6" x14ac:dyDescent="0.25">
      <c r="A610" s="86"/>
      <c r="B610" s="86"/>
      <c r="C610" s="88"/>
      <c r="D610" s="91"/>
      <c r="E610" s="92"/>
      <c r="F610" s="94"/>
    </row>
    <row r="611" spans="1:6" x14ac:dyDescent="0.25">
      <c r="A611" s="86"/>
      <c r="B611" s="86"/>
      <c r="C611" s="88"/>
      <c r="D611" s="91"/>
      <c r="E611" s="92"/>
      <c r="F611" s="94"/>
    </row>
    <row r="612" spans="1:6" x14ac:dyDescent="0.25">
      <c r="A612" s="86"/>
      <c r="B612" s="86"/>
      <c r="C612" s="88"/>
      <c r="D612" s="91"/>
      <c r="E612" s="92"/>
      <c r="F612" s="94"/>
    </row>
    <row r="613" spans="1:6" x14ac:dyDescent="0.25">
      <c r="A613" s="86"/>
      <c r="B613" s="86"/>
      <c r="C613" s="88"/>
      <c r="D613" s="91"/>
      <c r="E613" s="92"/>
      <c r="F613" s="94"/>
    </row>
    <row r="614" spans="1:6" x14ac:dyDescent="0.25">
      <c r="A614" s="86"/>
      <c r="B614" s="86"/>
      <c r="C614" s="88"/>
      <c r="D614" s="91"/>
      <c r="E614" s="92"/>
      <c r="F614" s="94"/>
    </row>
    <row r="615" spans="1:6" x14ac:dyDescent="0.25">
      <c r="A615" s="86"/>
      <c r="B615" s="86"/>
      <c r="C615" s="88"/>
      <c r="D615" s="91"/>
      <c r="E615" s="92"/>
      <c r="F615" s="94"/>
    </row>
    <row r="616" spans="1:6" x14ac:dyDescent="0.25">
      <c r="A616" s="86"/>
      <c r="B616" s="86"/>
      <c r="C616" s="88"/>
      <c r="D616" s="91"/>
      <c r="E616" s="92"/>
      <c r="F616" s="94"/>
    </row>
    <row r="617" spans="1:6" x14ac:dyDescent="0.25">
      <c r="A617" s="86"/>
      <c r="B617" s="86"/>
      <c r="C617" s="88"/>
      <c r="D617" s="91"/>
      <c r="E617" s="92"/>
      <c r="F617" s="94"/>
    </row>
    <row r="618" spans="1:6" x14ac:dyDescent="0.25">
      <c r="A618" s="86"/>
      <c r="B618" s="86"/>
      <c r="C618" s="88"/>
      <c r="D618" s="91"/>
      <c r="E618" s="92"/>
      <c r="F618" s="94"/>
    </row>
    <row r="619" spans="1:6" x14ac:dyDescent="0.25">
      <c r="A619" s="86"/>
      <c r="B619" s="86"/>
      <c r="C619" s="88"/>
      <c r="D619" s="91"/>
      <c r="E619" s="92"/>
      <c r="F619" s="94"/>
    </row>
    <row r="620" spans="1:6" x14ac:dyDescent="0.25">
      <c r="A620" s="86"/>
      <c r="B620" s="86"/>
      <c r="C620" s="88"/>
      <c r="D620" s="91"/>
      <c r="E620" s="92"/>
      <c r="F620" s="94"/>
    </row>
    <row r="621" spans="1:6" x14ac:dyDescent="0.25">
      <c r="A621" s="86"/>
      <c r="B621" s="86"/>
      <c r="C621" s="88"/>
      <c r="D621" s="91"/>
      <c r="E621" s="92"/>
      <c r="F621" s="94"/>
    </row>
    <row r="622" spans="1:6" x14ac:dyDescent="0.25">
      <c r="A622" s="86"/>
      <c r="B622" s="86"/>
      <c r="C622" s="88"/>
      <c r="D622" s="91"/>
      <c r="E622" s="92"/>
      <c r="F622" s="94"/>
    </row>
    <row r="623" spans="1:6" x14ac:dyDescent="0.25">
      <c r="A623" s="86"/>
      <c r="B623" s="86"/>
      <c r="C623" s="88"/>
      <c r="D623" s="91"/>
      <c r="E623" s="92"/>
      <c r="F623" s="94"/>
    </row>
    <row r="624" spans="1:6" x14ac:dyDescent="0.25">
      <c r="A624" s="86"/>
      <c r="B624" s="86"/>
      <c r="C624" s="88"/>
      <c r="D624" s="91"/>
      <c r="E624" s="92"/>
      <c r="F624" s="94"/>
    </row>
    <row r="625" spans="1:6" x14ac:dyDescent="0.25">
      <c r="A625" s="86"/>
      <c r="B625" s="86"/>
      <c r="C625" s="88"/>
      <c r="D625" s="91"/>
      <c r="E625" s="92"/>
      <c r="F625" s="94"/>
    </row>
    <row r="626" spans="1:6" x14ac:dyDescent="0.25">
      <c r="A626" s="86"/>
      <c r="B626" s="86"/>
      <c r="C626" s="88"/>
      <c r="D626" s="91"/>
      <c r="E626" s="92"/>
      <c r="F626" s="94"/>
    </row>
    <row r="627" spans="1:6" x14ac:dyDescent="0.25">
      <c r="A627" s="86"/>
      <c r="B627" s="86"/>
      <c r="C627" s="88"/>
      <c r="D627" s="91"/>
      <c r="E627" s="92"/>
      <c r="F627" s="94"/>
    </row>
    <row r="628" spans="1:6" x14ac:dyDescent="0.25">
      <c r="A628" s="86"/>
      <c r="B628" s="86"/>
      <c r="C628" s="88"/>
      <c r="D628" s="91"/>
      <c r="E628" s="92"/>
      <c r="F628" s="94"/>
    </row>
    <row r="629" spans="1:6" x14ac:dyDescent="0.25">
      <c r="A629" s="86"/>
      <c r="B629" s="86"/>
      <c r="C629" s="88"/>
      <c r="D629" s="91"/>
      <c r="E629" s="92"/>
      <c r="F629" s="94"/>
    </row>
    <row r="630" spans="1:6" x14ac:dyDescent="0.25">
      <c r="A630" s="86"/>
      <c r="B630" s="86"/>
      <c r="C630" s="88"/>
      <c r="D630" s="91"/>
      <c r="E630" s="92"/>
      <c r="F630" s="94"/>
    </row>
    <row r="631" spans="1:6" x14ac:dyDescent="0.25">
      <c r="A631" s="86"/>
      <c r="B631" s="86"/>
      <c r="C631" s="88"/>
      <c r="D631" s="91"/>
      <c r="E631" s="92"/>
      <c r="F631" s="94"/>
    </row>
    <row r="632" spans="1:6" x14ac:dyDescent="0.25">
      <c r="A632" s="86"/>
      <c r="B632" s="86"/>
      <c r="C632" s="88"/>
      <c r="D632" s="91"/>
      <c r="E632" s="92"/>
      <c r="F632" s="94"/>
    </row>
    <row r="633" spans="1:6" x14ac:dyDescent="0.25">
      <c r="A633" s="86"/>
      <c r="B633" s="86"/>
      <c r="C633" s="88"/>
      <c r="D633" s="91"/>
      <c r="E633" s="92"/>
      <c r="F633" s="94"/>
    </row>
    <row r="634" spans="1:6" x14ac:dyDescent="0.25">
      <c r="A634" s="86"/>
      <c r="B634" s="86"/>
      <c r="C634" s="88"/>
      <c r="D634" s="91"/>
      <c r="E634" s="92"/>
      <c r="F634" s="94"/>
    </row>
    <row r="635" spans="1:6" x14ac:dyDescent="0.25">
      <c r="A635" s="86"/>
      <c r="B635" s="86"/>
      <c r="C635" s="88"/>
      <c r="D635" s="91"/>
      <c r="E635" s="92"/>
      <c r="F635" s="94"/>
    </row>
    <row r="636" spans="1:6" x14ac:dyDescent="0.25">
      <c r="A636" s="86"/>
      <c r="B636" s="86"/>
      <c r="C636" s="88"/>
      <c r="D636" s="91"/>
      <c r="E636" s="92"/>
      <c r="F636" s="94"/>
    </row>
    <row r="637" spans="1:6" x14ac:dyDescent="0.25">
      <c r="A637" s="86"/>
      <c r="B637" s="86"/>
      <c r="C637" s="88"/>
      <c r="D637" s="91"/>
      <c r="E637" s="92"/>
      <c r="F637" s="94"/>
    </row>
    <row r="638" spans="1:6" x14ac:dyDescent="0.25">
      <c r="A638" s="86"/>
      <c r="B638" s="86"/>
      <c r="C638" s="88"/>
      <c r="D638" s="91"/>
      <c r="E638" s="92"/>
      <c r="F638" s="94"/>
    </row>
    <row r="639" spans="1:6" x14ac:dyDescent="0.25">
      <c r="A639" s="86"/>
      <c r="B639" s="86"/>
      <c r="C639" s="88"/>
      <c r="D639" s="91"/>
      <c r="E639" s="92"/>
      <c r="F639" s="94"/>
    </row>
    <row r="640" spans="1:6" x14ac:dyDescent="0.25">
      <c r="A640" s="86"/>
      <c r="B640" s="86"/>
      <c r="C640" s="88"/>
      <c r="D640" s="91"/>
      <c r="E640" s="92"/>
      <c r="F640" s="94"/>
    </row>
    <row r="641" spans="1:6" x14ac:dyDescent="0.25">
      <c r="A641" s="86"/>
      <c r="B641" s="86"/>
      <c r="C641" s="88"/>
      <c r="D641" s="91"/>
      <c r="E641" s="92"/>
      <c r="F641" s="94"/>
    </row>
    <row r="642" spans="1:6" x14ac:dyDescent="0.25">
      <c r="A642" s="86"/>
      <c r="B642" s="86"/>
      <c r="C642" s="88"/>
      <c r="D642" s="91"/>
      <c r="E642" s="92"/>
      <c r="F642" s="94"/>
    </row>
    <row r="643" spans="1:6" x14ac:dyDescent="0.25">
      <c r="A643" s="86"/>
      <c r="B643" s="86"/>
      <c r="C643" s="88"/>
      <c r="D643" s="91"/>
      <c r="E643" s="92"/>
      <c r="F643" s="94"/>
    </row>
    <row r="644" spans="1:6" x14ac:dyDescent="0.25">
      <c r="A644" s="86"/>
      <c r="B644" s="86"/>
      <c r="C644" s="88"/>
      <c r="D644" s="91"/>
      <c r="E644" s="92"/>
      <c r="F644" s="94"/>
    </row>
    <row r="645" spans="1:6" x14ac:dyDescent="0.25">
      <c r="A645" s="86"/>
      <c r="B645" s="86"/>
      <c r="C645" s="88"/>
      <c r="D645" s="91"/>
      <c r="E645" s="92"/>
      <c r="F645" s="94"/>
    </row>
    <row r="646" spans="1:6" x14ac:dyDescent="0.25">
      <c r="A646" s="86"/>
      <c r="B646" s="86"/>
      <c r="C646" s="88"/>
      <c r="D646" s="91"/>
      <c r="E646" s="92"/>
      <c r="F646" s="94"/>
    </row>
    <row r="647" spans="1:6" x14ac:dyDescent="0.25">
      <c r="A647" s="86"/>
      <c r="B647" s="86"/>
      <c r="C647" s="88"/>
      <c r="D647" s="91"/>
      <c r="E647" s="92"/>
      <c r="F647" s="94"/>
    </row>
    <row r="648" spans="1:6" x14ac:dyDescent="0.25">
      <c r="A648" s="86"/>
      <c r="B648" s="86"/>
      <c r="C648" s="88"/>
      <c r="D648" s="91"/>
      <c r="E648" s="92"/>
      <c r="F648" s="94"/>
    </row>
    <row r="649" spans="1:6" x14ac:dyDescent="0.25">
      <c r="A649" s="86"/>
      <c r="B649" s="86"/>
      <c r="C649" s="88"/>
      <c r="D649" s="91"/>
      <c r="E649" s="92"/>
      <c r="F649" s="94"/>
    </row>
    <row r="650" spans="1:6" x14ac:dyDescent="0.25">
      <c r="A650" s="86"/>
      <c r="B650" s="86"/>
      <c r="C650" s="88"/>
      <c r="D650" s="91"/>
      <c r="E650" s="92"/>
      <c r="F650" s="94"/>
    </row>
    <row r="651" spans="1:6" x14ac:dyDescent="0.25">
      <c r="A651" s="86"/>
      <c r="B651" s="86"/>
      <c r="C651" s="88"/>
      <c r="D651" s="91"/>
      <c r="E651" s="92"/>
      <c r="F651" s="94"/>
    </row>
    <row r="652" spans="1:6" x14ac:dyDescent="0.25">
      <c r="A652" s="86"/>
      <c r="B652" s="86"/>
      <c r="C652" s="88"/>
      <c r="D652" s="91"/>
      <c r="E652" s="92"/>
      <c r="F652" s="94"/>
    </row>
    <row r="653" spans="1:6" x14ac:dyDescent="0.25">
      <c r="A653" s="86"/>
      <c r="B653" s="86"/>
      <c r="C653" s="88"/>
      <c r="D653" s="91"/>
      <c r="E653" s="92"/>
      <c r="F653" s="94"/>
    </row>
    <row r="654" spans="1:6" x14ac:dyDescent="0.25">
      <c r="A654" s="86"/>
      <c r="B654" s="86"/>
      <c r="C654" s="88"/>
      <c r="D654" s="91"/>
      <c r="E654" s="92"/>
      <c r="F654" s="94"/>
    </row>
    <row r="655" spans="1:6" x14ac:dyDescent="0.25">
      <c r="A655" s="86"/>
      <c r="B655" s="86"/>
      <c r="C655" s="88"/>
      <c r="D655" s="91"/>
      <c r="E655" s="92"/>
      <c r="F655" s="94"/>
    </row>
    <row r="656" spans="1:6" x14ac:dyDescent="0.25">
      <c r="A656" s="86"/>
      <c r="B656" s="86"/>
      <c r="C656" s="88"/>
      <c r="D656" s="91"/>
      <c r="E656" s="92"/>
      <c r="F656" s="94"/>
    </row>
    <row r="657" spans="1:6" x14ac:dyDescent="0.25">
      <c r="A657" s="86"/>
      <c r="B657" s="86"/>
      <c r="C657" s="88"/>
      <c r="D657" s="91"/>
      <c r="E657" s="92"/>
      <c r="F657" s="94"/>
    </row>
    <row r="658" spans="1:6" x14ac:dyDescent="0.25">
      <c r="A658" s="86"/>
      <c r="B658" s="86"/>
      <c r="C658" s="88"/>
      <c r="D658" s="91"/>
      <c r="E658" s="92"/>
      <c r="F658" s="94"/>
    </row>
    <row r="659" spans="1:6" x14ac:dyDescent="0.25">
      <c r="A659" s="86"/>
      <c r="B659" s="86"/>
      <c r="C659" s="88"/>
      <c r="D659" s="91"/>
      <c r="E659" s="92"/>
      <c r="F659" s="94"/>
    </row>
    <row r="660" spans="1:6" x14ac:dyDescent="0.25">
      <c r="A660" s="86"/>
      <c r="B660" s="86"/>
      <c r="C660" s="88"/>
      <c r="D660" s="91"/>
      <c r="E660" s="92"/>
      <c r="F660" s="94"/>
    </row>
    <row r="661" spans="1:6" x14ac:dyDescent="0.25">
      <c r="A661" s="86"/>
      <c r="B661" s="86"/>
      <c r="C661" s="88"/>
      <c r="D661" s="91"/>
      <c r="E661" s="92"/>
      <c r="F661" s="94"/>
    </row>
    <row r="662" spans="1:6" x14ac:dyDescent="0.25">
      <c r="A662" s="86"/>
      <c r="B662" s="86"/>
      <c r="C662" s="88"/>
      <c r="D662" s="91"/>
      <c r="E662" s="92"/>
      <c r="F662" s="94"/>
    </row>
    <row r="663" spans="1:6" x14ac:dyDescent="0.25">
      <c r="A663" s="86"/>
      <c r="B663" s="86"/>
      <c r="C663" s="88"/>
      <c r="D663" s="91"/>
      <c r="E663" s="92"/>
      <c r="F663" s="94"/>
    </row>
    <row r="664" spans="1:6" x14ac:dyDescent="0.25">
      <c r="A664" s="86"/>
      <c r="B664" s="86"/>
      <c r="C664" s="88"/>
      <c r="D664" s="91"/>
      <c r="E664" s="92"/>
      <c r="F664" s="94"/>
    </row>
    <row r="665" spans="1:6" x14ac:dyDescent="0.25">
      <c r="A665" s="86"/>
      <c r="B665" s="86"/>
      <c r="C665" s="88"/>
      <c r="D665" s="91"/>
      <c r="E665" s="92"/>
      <c r="F665" s="94"/>
    </row>
    <row r="666" spans="1:6" x14ac:dyDescent="0.25">
      <c r="A666" s="86"/>
      <c r="B666" s="86"/>
      <c r="C666" s="88"/>
      <c r="D666" s="91"/>
      <c r="E666" s="92"/>
      <c r="F666" s="94"/>
    </row>
    <row r="667" spans="1:6" x14ac:dyDescent="0.25">
      <c r="A667" s="86"/>
      <c r="B667" s="86"/>
      <c r="C667" s="88"/>
      <c r="D667" s="91"/>
      <c r="E667" s="92"/>
      <c r="F667" s="94"/>
    </row>
    <row r="668" spans="1:6" x14ac:dyDescent="0.25">
      <c r="A668" s="86"/>
      <c r="B668" s="86"/>
      <c r="C668" s="88"/>
      <c r="D668" s="91"/>
      <c r="E668" s="92"/>
      <c r="F668" s="94"/>
    </row>
    <row r="669" spans="1:6" x14ac:dyDescent="0.25">
      <c r="A669" s="86"/>
      <c r="B669" s="86"/>
      <c r="C669" s="88"/>
      <c r="D669" s="91"/>
      <c r="E669" s="92"/>
      <c r="F669" s="94"/>
    </row>
    <row r="670" spans="1:6" x14ac:dyDescent="0.25">
      <c r="A670" s="86"/>
      <c r="B670" s="86"/>
      <c r="C670" s="88"/>
      <c r="D670" s="91"/>
      <c r="E670" s="92"/>
      <c r="F670" s="94"/>
    </row>
    <row r="671" spans="1:6" x14ac:dyDescent="0.25">
      <c r="A671" s="86"/>
      <c r="B671" s="86"/>
      <c r="C671" s="88"/>
      <c r="D671" s="91"/>
      <c r="E671" s="92"/>
      <c r="F671" s="94"/>
    </row>
    <row r="672" spans="1:6" x14ac:dyDescent="0.25">
      <c r="A672" s="86"/>
      <c r="B672" s="86"/>
      <c r="C672" s="88"/>
      <c r="D672" s="91"/>
      <c r="E672" s="92"/>
      <c r="F672" s="94"/>
    </row>
    <row r="673" spans="1:6" x14ac:dyDescent="0.25">
      <c r="A673" s="86"/>
      <c r="B673" s="86"/>
      <c r="C673" s="88"/>
      <c r="D673" s="91"/>
      <c r="E673" s="92"/>
      <c r="F673" s="94"/>
    </row>
    <row r="674" spans="1:6" x14ac:dyDescent="0.25">
      <c r="A674" s="86"/>
      <c r="B674" s="86"/>
      <c r="C674" s="88"/>
      <c r="D674" s="91"/>
      <c r="E674" s="92"/>
      <c r="F674" s="94"/>
    </row>
    <row r="675" spans="1:6" x14ac:dyDescent="0.25">
      <c r="A675" s="86"/>
      <c r="B675" s="86"/>
      <c r="C675" s="88"/>
      <c r="D675" s="91"/>
      <c r="E675" s="92"/>
      <c r="F675" s="94"/>
    </row>
    <row r="676" spans="1:6" x14ac:dyDescent="0.25">
      <c r="A676" s="86"/>
      <c r="B676" s="86"/>
      <c r="C676" s="88"/>
      <c r="D676" s="91"/>
      <c r="E676" s="92"/>
      <c r="F676" s="94"/>
    </row>
    <row r="677" spans="1:6" x14ac:dyDescent="0.25">
      <c r="A677" s="86"/>
      <c r="B677" s="86"/>
      <c r="C677" s="88"/>
      <c r="D677" s="91"/>
      <c r="E677" s="92"/>
      <c r="F677" s="94"/>
    </row>
    <row r="678" spans="1:6" x14ac:dyDescent="0.25">
      <c r="A678" s="86"/>
      <c r="B678" s="86"/>
      <c r="C678" s="88"/>
      <c r="D678" s="91"/>
      <c r="E678" s="92"/>
      <c r="F678" s="94"/>
    </row>
    <row r="679" spans="1:6" x14ac:dyDescent="0.25">
      <c r="A679" s="86"/>
      <c r="B679" s="86"/>
      <c r="C679" s="88"/>
      <c r="D679" s="91"/>
      <c r="E679" s="92"/>
      <c r="F679" s="94"/>
    </row>
    <row r="680" spans="1:6" x14ac:dyDescent="0.25">
      <c r="A680" s="86"/>
      <c r="B680" s="86"/>
      <c r="C680" s="88"/>
      <c r="D680" s="91"/>
      <c r="E680" s="92"/>
      <c r="F680" s="94"/>
    </row>
    <row r="681" spans="1:6" x14ac:dyDescent="0.25">
      <c r="A681" s="86"/>
      <c r="B681" s="86"/>
      <c r="C681" s="88"/>
      <c r="D681" s="91"/>
      <c r="E681" s="92"/>
      <c r="F681" s="94"/>
    </row>
    <row r="682" spans="1:6" x14ac:dyDescent="0.25">
      <c r="A682" s="86"/>
      <c r="B682" s="86"/>
      <c r="C682" s="88"/>
      <c r="D682" s="91"/>
      <c r="E682" s="92"/>
      <c r="F682" s="94"/>
    </row>
    <row r="683" spans="1:6" x14ac:dyDescent="0.25">
      <c r="A683" s="86"/>
      <c r="B683" s="86"/>
      <c r="C683" s="88"/>
      <c r="D683" s="91"/>
      <c r="E683" s="92"/>
      <c r="F683" s="94"/>
    </row>
    <row r="684" spans="1:6" x14ac:dyDescent="0.25">
      <c r="A684" s="86"/>
      <c r="B684" s="86"/>
      <c r="C684" s="88"/>
      <c r="D684" s="91"/>
      <c r="E684" s="92"/>
      <c r="F684" s="94"/>
    </row>
    <row r="685" spans="1:6" x14ac:dyDescent="0.25">
      <c r="A685" s="86"/>
      <c r="B685" s="86"/>
      <c r="C685" s="88"/>
      <c r="D685" s="91"/>
      <c r="E685" s="92"/>
      <c r="F685" s="94"/>
    </row>
    <row r="686" spans="1:6" x14ac:dyDescent="0.25">
      <c r="A686" s="86"/>
      <c r="B686" s="86"/>
      <c r="C686" s="88"/>
      <c r="D686" s="91"/>
      <c r="E686" s="92"/>
      <c r="F686" s="94"/>
    </row>
    <row r="687" spans="1:6" x14ac:dyDescent="0.25">
      <c r="A687" s="86"/>
      <c r="B687" s="86"/>
      <c r="C687" s="88"/>
      <c r="D687" s="91"/>
      <c r="E687" s="92"/>
      <c r="F687" s="94"/>
    </row>
    <row r="688" spans="1:6" x14ac:dyDescent="0.25">
      <c r="A688" s="86"/>
      <c r="B688" s="86"/>
      <c r="C688" s="88"/>
      <c r="D688" s="91"/>
      <c r="E688" s="92"/>
      <c r="F688" s="94"/>
    </row>
    <row r="689" spans="1:6" x14ac:dyDescent="0.25">
      <c r="A689" s="86"/>
      <c r="B689" s="86"/>
      <c r="C689" s="88"/>
      <c r="D689" s="91"/>
      <c r="E689" s="92"/>
      <c r="F689" s="94"/>
    </row>
    <row r="690" spans="1:6" x14ac:dyDescent="0.25">
      <c r="A690" s="86"/>
      <c r="B690" s="86"/>
      <c r="C690" s="88"/>
      <c r="D690" s="91"/>
      <c r="E690" s="92"/>
      <c r="F690" s="94"/>
    </row>
    <row r="691" spans="1:6" x14ac:dyDescent="0.25">
      <c r="A691" s="86"/>
      <c r="B691" s="86"/>
      <c r="C691" s="88"/>
      <c r="D691" s="91"/>
      <c r="E691" s="92"/>
      <c r="F691" s="94"/>
    </row>
    <row r="692" spans="1:6" x14ac:dyDescent="0.25">
      <c r="A692" s="86"/>
      <c r="B692" s="86"/>
      <c r="C692" s="88"/>
      <c r="D692" s="91"/>
      <c r="E692" s="92"/>
      <c r="F692" s="94"/>
    </row>
    <row r="693" spans="1:6" x14ac:dyDescent="0.25">
      <c r="A693" s="86"/>
      <c r="B693" s="86"/>
      <c r="C693" s="88"/>
      <c r="D693" s="91"/>
      <c r="E693" s="92"/>
      <c r="F693" s="94"/>
    </row>
    <row r="694" spans="1:6" x14ac:dyDescent="0.25">
      <c r="A694" s="86"/>
      <c r="B694" s="86"/>
      <c r="C694" s="88"/>
      <c r="D694" s="91"/>
      <c r="E694" s="92"/>
      <c r="F694" s="94"/>
    </row>
    <row r="695" spans="1:6" x14ac:dyDescent="0.25">
      <c r="A695" s="86"/>
      <c r="B695" s="86"/>
      <c r="C695" s="88"/>
      <c r="D695" s="91"/>
      <c r="E695" s="92"/>
      <c r="F695" s="94"/>
    </row>
    <row r="696" spans="1:6" x14ac:dyDescent="0.25">
      <c r="A696" s="86"/>
      <c r="B696" s="86"/>
      <c r="C696" s="88"/>
      <c r="D696" s="91"/>
      <c r="E696" s="92"/>
      <c r="F696" s="94"/>
    </row>
    <row r="697" spans="1:6" x14ac:dyDescent="0.25">
      <c r="A697" s="86"/>
      <c r="B697" s="86"/>
      <c r="C697" s="88"/>
      <c r="D697" s="91"/>
      <c r="E697" s="92"/>
      <c r="F697" s="94"/>
    </row>
    <row r="698" spans="1:6" x14ac:dyDescent="0.25">
      <c r="A698" s="86"/>
      <c r="B698" s="86"/>
      <c r="C698" s="88"/>
      <c r="D698" s="91"/>
      <c r="E698" s="92"/>
      <c r="F698" s="94"/>
    </row>
    <row r="699" spans="1:6" x14ac:dyDescent="0.25">
      <c r="A699" s="86"/>
      <c r="B699" s="86"/>
      <c r="C699" s="88"/>
      <c r="D699" s="91"/>
      <c r="E699" s="92"/>
      <c r="F699" s="94"/>
    </row>
    <row r="700" spans="1:6" x14ac:dyDescent="0.25">
      <c r="A700" s="86"/>
      <c r="B700" s="86"/>
      <c r="C700" s="88"/>
      <c r="D700" s="91"/>
      <c r="E700" s="92"/>
      <c r="F700" s="94"/>
    </row>
    <row r="701" spans="1:6" x14ac:dyDescent="0.25">
      <c r="A701" s="86"/>
      <c r="B701" s="86"/>
      <c r="C701" s="88"/>
      <c r="D701" s="91"/>
      <c r="E701" s="92"/>
      <c r="F701" s="94"/>
    </row>
    <row r="702" spans="1:6" x14ac:dyDescent="0.25">
      <c r="A702" s="86"/>
      <c r="B702" s="86"/>
      <c r="C702" s="88"/>
      <c r="D702" s="91"/>
      <c r="E702" s="92"/>
      <c r="F702" s="94"/>
    </row>
    <row r="703" spans="1:6" x14ac:dyDescent="0.25">
      <c r="A703" s="86"/>
      <c r="B703" s="86"/>
      <c r="C703" s="88"/>
      <c r="D703" s="91"/>
      <c r="E703" s="92"/>
      <c r="F703" s="94"/>
    </row>
    <row r="704" spans="1:6" x14ac:dyDescent="0.25">
      <c r="A704" s="86"/>
      <c r="B704" s="86"/>
      <c r="C704" s="88"/>
      <c r="D704" s="91"/>
      <c r="E704" s="92"/>
      <c r="F704" s="94"/>
    </row>
    <row r="705" spans="1:6" x14ac:dyDescent="0.25">
      <c r="A705" s="86"/>
      <c r="B705" s="86"/>
      <c r="C705" s="88"/>
      <c r="D705" s="91"/>
      <c r="E705" s="92"/>
      <c r="F705" s="94"/>
    </row>
    <row r="706" spans="1:6" x14ac:dyDescent="0.25">
      <c r="A706" s="86"/>
      <c r="B706" s="86"/>
      <c r="C706" s="88"/>
      <c r="D706" s="91"/>
      <c r="E706" s="92"/>
      <c r="F706" s="94"/>
    </row>
    <row r="707" spans="1:6" x14ac:dyDescent="0.25">
      <c r="A707" s="86"/>
      <c r="B707" s="86"/>
      <c r="C707" s="88"/>
      <c r="D707" s="91"/>
      <c r="E707" s="92"/>
      <c r="F707" s="94"/>
    </row>
    <row r="708" spans="1:6" x14ac:dyDescent="0.25">
      <c r="A708" s="86"/>
      <c r="B708" s="86"/>
      <c r="C708" s="88"/>
      <c r="D708" s="91"/>
      <c r="E708" s="92"/>
      <c r="F708" s="94"/>
    </row>
    <row r="709" spans="1:6" x14ac:dyDescent="0.25">
      <c r="A709" s="86"/>
      <c r="B709" s="86"/>
      <c r="C709" s="88"/>
      <c r="D709" s="91"/>
      <c r="E709" s="92"/>
      <c r="F709" s="94"/>
    </row>
    <row r="710" spans="1:6" x14ac:dyDescent="0.25">
      <c r="A710" s="86"/>
      <c r="B710" s="86"/>
      <c r="C710" s="88"/>
      <c r="D710" s="91"/>
      <c r="E710" s="92"/>
      <c r="F710" s="94"/>
    </row>
    <row r="711" spans="1:6" x14ac:dyDescent="0.25">
      <c r="A711" s="86"/>
      <c r="B711" s="86"/>
      <c r="C711" s="88"/>
      <c r="D711" s="91"/>
      <c r="E711" s="92"/>
      <c r="F711" s="94"/>
    </row>
    <row r="712" spans="1:6" x14ac:dyDescent="0.25">
      <c r="A712" s="86"/>
      <c r="B712" s="86"/>
      <c r="C712" s="88"/>
      <c r="D712" s="91"/>
      <c r="E712" s="92"/>
      <c r="F712" s="94"/>
    </row>
    <row r="713" spans="1:6" x14ac:dyDescent="0.25">
      <c r="A713" s="86"/>
      <c r="B713" s="86"/>
      <c r="C713" s="88"/>
      <c r="D713" s="91"/>
      <c r="E713" s="92"/>
      <c r="F713" s="94"/>
    </row>
    <row r="714" spans="1:6" x14ac:dyDescent="0.25">
      <c r="A714" s="86"/>
      <c r="B714" s="86"/>
      <c r="C714" s="88"/>
      <c r="D714" s="91"/>
      <c r="E714" s="92"/>
      <c r="F714" s="94"/>
    </row>
    <row r="715" spans="1:6" x14ac:dyDescent="0.25">
      <c r="A715" s="86"/>
      <c r="B715" s="86"/>
      <c r="C715" s="88"/>
      <c r="D715" s="91"/>
      <c r="E715" s="92"/>
      <c r="F715" s="94"/>
    </row>
    <row r="716" spans="1:6" x14ac:dyDescent="0.25">
      <c r="A716" s="86"/>
      <c r="B716" s="86"/>
      <c r="C716" s="88"/>
      <c r="D716" s="91"/>
      <c r="E716" s="92"/>
      <c r="F716" s="94"/>
    </row>
    <row r="717" spans="1:6" x14ac:dyDescent="0.25">
      <c r="A717" s="86"/>
      <c r="B717" s="86"/>
      <c r="C717" s="88"/>
      <c r="D717" s="91"/>
      <c r="E717" s="92"/>
      <c r="F717" s="94"/>
    </row>
    <row r="718" spans="1:6" x14ac:dyDescent="0.25">
      <c r="A718" s="86"/>
      <c r="B718" s="86"/>
      <c r="C718" s="88"/>
      <c r="D718" s="91"/>
      <c r="E718" s="92"/>
      <c r="F718" s="94"/>
    </row>
    <row r="719" spans="1:6" x14ac:dyDescent="0.25">
      <c r="A719" s="86"/>
      <c r="B719" s="86"/>
      <c r="C719" s="88"/>
      <c r="D719" s="91"/>
      <c r="E719" s="92"/>
      <c r="F719" s="94"/>
    </row>
    <row r="720" spans="1:6" x14ac:dyDescent="0.25">
      <c r="A720" s="86"/>
      <c r="B720" s="86"/>
      <c r="C720" s="88"/>
      <c r="D720" s="91"/>
      <c r="E720" s="92"/>
      <c r="F720" s="94"/>
    </row>
    <row r="721" spans="1:6" x14ac:dyDescent="0.25">
      <c r="A721" s="86"/>
      <c r="B721" s="86"/>
      <c r="C721" s="88"/>
      <c r="D721" s="91"/>
      <c r="E721" s="92"/>
      <c r="F721" s="94"/>
    </row>
    <row r="722" spans="1:6" x14ac:dyDescent="0.25">
      <c r="A722" s="86"/>
      <c r="B722" s="86"/>
      <c r="C722" s="88"/>
      <c r="D722" s="91"/>
      <c r="E722" s="92"/>
      <c r="F722" s="94"/>
    </row>
    <row r="723" spans="1:6" x14ac:dyDescent="0.25">
      <c r="A723" s="86"/>
      <c r="B723" s="86"/>
      <c r="C723" s="88"/>
      <c r="D723" s="91"/>
      <c r="E723" s="92"/>
      <c r="F723" s="94"/>
    </row>
    <row r="724" spans="1:6" x14ac:dyDescent="0.25">
      <c r="A724" s="86"/>
      <c r="B724" s="86"/>
      <c r="C724" s="88"/>
      <c r="D724" s="91"/>
      <c r="E724" s="92"/>
      <c r="F724" s="94"/>
    </row>
    <row r="725" spans="1:6" x14ac:dyDescent="0.25">
      <c r="A725" s="86"/>
      <c r="B725" s="86"/>
      <c r="C725" s="88"/>
      <c r="D725" s="91"/>
      <c r="E725" s="92"/>
      <c r="F725" s="94"/>
    </row>
    <row r="726" spans="1:6" x14ac:dyDescent="0.25">
      <c r="A726" s="86"/>
      <c r="B726" s="86"/>
      <c r="C726" s="88"/>
      <c r="D726" s="91"/>
      <c r="E726" s="92"/>
      <c r="F726" s="94"/>
    </row>
    <row r="727" spans="1:6" x14ac:dyDescent="0.25">
      <c r="A727" s="86"/>
      <c r="B727" s="86"/>
      <c r="C727" s="88"/>
      <c r="D727" s="91"/>
      <c r="E727" s="92"/>
      <c r="F727" s="94"/>
    </row>
    <row r="728" spans="1:6" x14ac:dyDescent="0.25">
      <c r="A728" s="86"/>
      <c r="B728" s="86"/>
      <c r="C728" s="88"/>
      <c r="D728" s="91"/>
      <c r="E728" s="92"/>
      <c r="F728" s="94"/>
    </row>
    <row r="729" spans="1:6" x14ac:dyDescent="0.25">
      <c r="A729" s="86"/>
      <c r="B729" s="86"/>
      <c r="C729" s="88"/>
      <c r="D729" s="91"/>
      <c r="E729" s="92"/>
      <c r="F729" s="94"/>
    </row>
    <row r="730" spans="1:6" x14ac:dyDescent="0.25">
      <c r="A730" s="86"/>
      <c r="B730" s="86"/>
      <c r="C730" s="88"/>
      <c r="D730" s="91"/>
      <c r="E730" s="92"/>
      <c r="F730" s="94"/>
    </row>
    <row r="731" spans="1:6" x14ac:dyDescent="0.25">
      <c r="A731" s="86"/>
      <c r="B731" s="86"/>
      <c r="C731" s="88"/>
      <c r="D731" s="91"/>
      <c r="E731" s="92"/>
      <c r="F731" s="94"/>
    </row>
    <row r="732" spans="1:6" x14ac:dyDescent="0.25">
      <c r="A732" s="86"/>
      <c r="B732" s="86"/>
      <c r="C732" s="88"/>
      <c r="D732" s="91"/>
      <c r="E732" s="92"/>
      <c r="F732" s="94"/>
    </row>
    <row r="733" spans="1:6" x14ac:dyDescent="0.25">
      <c r="A733" s="86"/>
      <c r="B733" s="86"/>
      <c r="C733" s="88"/>
      <c r="D733" s="91"/>
      <c r="E733" s="92"/>
      <c r="F733" s="94"/>
    </row>
    <row r="734" spans="1:6" x14ac:dyDescent="0.25">
      <c r="A734" s="86"/>
      <c r="B734" s="86"/>
      <c r="C734" s="88"/>
      <c r="D734" s="91"/>
      <c r="E734" s="92"/>
      <c r="F734" s="94"/>
    </row>
    <row r="735" spans="1:6" x14ac:dyDescent="0.25">
      <c r="A735" s="86"/>
      <c r="B735" s="86"/>
      <c r="C735" s="88"/>
      <c r="D735" s="91"/>
      <c r="E735" s="92"/>
      <c r="F735" s="94"/>
    </row>
    <row r="736" spans="1:6" x14ac:dyDescent="0.25">
      <c r="A736" s="86"/>
      <c r="B736" s="86"/>
      <c r="C736" s="88"/>
      <c r="D736" s="91"/>
      <c r="E736" s="92"/>
      <c r="F736" s="94"/>
    </row>
    <row r="737" spans="1:6" x14ac:dyDescent="0.25">
      <c r="A737" s="86"/>
      <c r="B737" s="86"/>
      <c r="C737" s="88"/>
      <c r="D737" s="91"/>
      <c r="E737" s="92"/>
      <c r="F737" s="94"/>
    </row>
    <row r="738" spans="1:6" x14ac:dyDescent="0.25">
      <c r="A738" s="86"/>
      <c r="B738" s="86"/>
      <c r="C738" s="88"/>
      <c r="D738" s="91"/>
      <c r="E738" s="92"/>
      <c r="F738" s="94"/>
    </row>
    <row r="739" spans="1:6" x14ac:dyDescent="0.25">
      <c r="A739" s="86"/>
      <c r="B739" s="86"/>
      <c r="C739" s="88"/>
      <c r="D739" s="91"/>
      <c r="E739" s="92"/>
      <c r="F739" s="94"/>
    </row>
    <row r="740" spans="1:6" x14ac:dyDescent="0.25">
      <c r="A740" s="86"/>
      <c r="B740" s="86"/>
      <c r="C740" s="88"/>
      <c r="D740" s="91"/>
      <c r="E740" s="92"/>
      <c r="F740" s="94"/>
    </row>
    <row r="741" spans="1:6" x14ac:dyDescent="0.25">
      <c r="A741" s="86"/>
      <c r="B741" s="86"/>
      <c r="C741" s="88"/>
      <c r="D741" s="91"/>
      <c r="E741" s="92"/>
      <c r="F741" s="94"/>
    </row>
    <row r="742" spans="1:6" x14ac:dyDescent="0.25">
      <c r="A742" s="86"/>
      <c r="B742" s="86"/>
      <c r="C742" s="88"/>
      <c r="D742" s="91"/>
      <c r="E742" s="92"/>
      <c r="F742" s="94"/>
    </row>
    <row r="743" spans="1:6" x14ac:dyDescent="0.25">
      <c r="A743" s="86"/>
      <c r="B743" s="86"/>
      <c r="C743" s="88"/>
      <c r="D743" s="91"/>
      <c r="E743" s="92"/>
      <c r="F743" s="94"/>
    </row>
    <row r="744" spans="1:6" x14ac:dyDescent="0.25">
      <c r="A744" s="86"/>
      <c r="B744" s="86"/>
      <c r="C744" s="88"/>
      <c r="D744" s="91"/>
      <c r="E744" s="92"/>
      <c r="F744" s="94"/>
    </row>
    <row r="745" spans="1:6" x14ac:dyDescent="0.25">
      <c r="A745" s="86"/>
      <c r="B745" s="86"/>
      <c r="C745" s="88"/>
      <c r="D745" s="91"/>
      <c r="E745" s="92"/>
      <c r="F745" s="94"/>
    </row>
    <row r="746" spans="1:6" x14ac:dyDescent="0.25">
      <c r="A746" s="86"/>
      <c r="B746" s="86"/>
      <c r="C746" s="88"/>
      <c r="D746" s="91"/>
      <c r="E746" s="92"/>
      <c r="F746" s="94"/>
    </row>
    <row r="747" spans="1:6" x14ac:dyDescent="0.25">
      <c r="A747" s="86"/>
      <c r="B747" s="86"/>
      <c r="C747" s="88"/>
      <c r="D747" s="91"/>
      <c r="E747" s="92"/>
      <c r="F747" s="94"/>
    </row>
    <row r="748" spans="1:6" x14ac:dyDescent="0.25">
      <c r="A748" s="86"/>
      <c r="B748" s="86"/>
      <c r="C748" s="88"/>
      <c r="D748" s="91"/>
      <c r="E748" s="92"/>
      <c r="F748" s="94"/>
    </row>
    <row r="749" spans="1:6" x14ac:dyDescent="0.25">
      <c r="A749" s="86"/>
      <c r="B749" s="86"/>
      <c r="C749" s="88"/>
      <c r="D749" s="91"/>
      <c r="E749" s="92"/>
      <c r="F749" s="94"/>
    </row>
    <row r="750" spans="1:6" x14ac:dyDescent="0.25">
      <c r="A750" s="86"/>
      <c r="B750" s="86"/>
      <c r="C750" s="88"/>
      <c r="D750" s="91"/>
      <c r="E750" s="92"/>
      <c r="F750" s="94"/>
    </row>
    <row r="751" spans="1:6" x14ac:dyDescent="0.25">
      <c r="A751" s="86"/>
      <c r="B751" s="86"/>
      <c r="C751" s="88"/>
      <c r="D751" s="91"/>
      <c r="E751" s="92"/>
      <c r="F751" s="94"/>
    </row>
    <row r="752" spans="1:6" x14ac:dyDescent="0.25">
      <c r="A752" s="86"/>
      <c r="B752" s="86"/>
      <c r="C752" s="88"/>
      <c r="D752" s="91"/>
      <c r="E752" s="92"/>
      <c r="F752" s="94"/>
    </row>
    <row r="753" spans="1:6" x14ac:dyDescent="0.25">
      <c r="A753" s="86"/>
      <c r="B753" s="86"/>
      <c r="C753" s="88"/>
      <c r="D753" s="91"/>
      <c r="E753" s="92"/>
      <c r="F753" s="94"/>
    </row>
    <row r="754" spans="1:6" x14ac:dyDescent="0.25">
      <c r="A754" s="86"/>
      <c r="B754" s="86"/>
      <c r="C754" s="88"/>
      <c r="D754" s="91"/>
      <c r="E754" s="92"/>
      <c r="F754" s="94"/>
    </row>
    <row r="755" spans="1:6" x14ac:dyDescent="0.25">
      <c r="A755" s="86"/>
      <c r="B755" s="86"/>
      <c r="C755" s="88"/>
      <c r="D755" s="91"/>
      <c r="E755" s="92"/>
      <c r="F755" s="94"/>
    </row>
    <row r="756" spans="1:6" x14ac:dyDescent="0.25">
      <c r="A756" s="86"/>
      <c r="B756" s="86"/>
      <c r="C756" s="88"/>
      <c r="D756" s="91"/>
      <c r="E756" s="92"/>
      <c r="F756" s="94"/>
    </row>
    <row r="757" spans="1:6" x14ac:dyDescent="0.25">
      <c r="A757" s="86"/>
      <c r="B757" s="86"/>
      <c r="C757" s="88"/>
      <c r="D757" s="91"/>
      <c r="E757" s="92"/>
      <c r="F757" s="94"/>
    </row>
    <row r="758" spans="1:6" x14ac:dyDescent="0.25">
      <c r="A758" s="86"/>
      <c r="B758" s="86"/>
      <c r="C758" s="88"/>
      <c r="D758" s="91"/>
      <c r="E758" s="92"/>
      <c r="F758" s="94"/>
    </row>
    <row r="759" spans="1:6" x14ac:dyDescent="0.25">
      <c r="A759" s="86"/>
      <c r="B759" s="86"/>
      <c r="C759" s="88"/>
      <c r="D759" s="91"/>
      <c r="E759" s="92"/>
      <c r="F759" s="94"/>
    </row>
    <row r="760" spans="1:6" x14ac:dyDescent="0.25">
      <c r="A760" s="86"/>
      <c r="B760" s="86"/>
      <c r="C760" s="88"/>
      <c r="D760" s="91"/>
      <c r="E760" s="92"/>
      <c r="F760" s="94"/>
    </row>
    <row r="761" spans="1:6" x14ac:dyDescent="0.25">
      <c r="A761" s="86"/>
      <c r="B761" s="86"/>
      <c r="C761" s="88"/>
      <c r="D761" s="91"/>
      <c r="E761" s="92"/>
      <c r="F761" s="94"/>
    </row>
    <row r="762" spans="1:6" x14ac:dyDescent="0.25">
      <c r="A762" s="86"/>
      <c r="B762" s="86"/>
      <c r="C762" s="88"/>
      <c r="D762" s="91"/>
      <c r="E762" s="92"/>
      <c r="F762" s="94"/>
    </row>
    <row r="763" spans="1:6" x14ac:dyDescent="0.25">
      <c r="A763" s="86"/>
      <c r="B763" s="86"/>
      <c r="C763" s="88"/>
      <c r="D763" s="91"/>
      <c r="E763" s="92"/>
      <c r="F763" s="94"/>
    </row>
    <row r="764" spans="1:6" x14ac:dyDescent="0.25">
      <c r="A764" s="86"/>
      <c r="B764" s="86"/>
      <c r="C764" s="88"/>
      <c r="D764" s="91"/>
      <c r="E764" s="92"/>
      <c r="F764" s="94"/>
    </row>
    <row r="765" spans="1:6" x14ac:dyDescent="0.25">
      <c r="A765" s="86"/>
      <c r="B765" s="86"/>
      <c r="C765" s="88"/>
      <c r="D765" s="91"/>
      <c r="E765" s="92"/>
      <c r="F765" s="94"/>
    </row>
    <row r="766" spans="1:6" x14ac:dyDescent="0.25">
      <c r="A766" s="86"/>
      <c r="B766" s="86"/>
      <c r="C766" s="88"/>
      <c r="D766" s="91"/>
      <c r="E766" s="92"/>
      <c r="F766" s="94"/>
    </row>
    <row r="767" spans="1:6" x14ac:dyDescent="0.25">
      <c r="A767" s="86"/>
      <c r="B767" s="86"/>
      <c r="C767" s="88"/>
      <c r="D767" s="91"/>
      <c r="E767" s="92"/>
      <c r="F767" s="94"/>
    </row>
    <row r="768" spans="1:6" x14ac:dyDescent="0.25">
      <c r="A768" s="86"/>
      <c r="B768" s="86"/>
      <c r="C768" s="88"/>
      <c r="D768" s="91"/>
      <c r="E768" s="92"/>
      <c r="F768" s="94"/>
    </row>
    <row r="769" spans="1:6" x14ac:dyDescent="0.25">
      <c r="A769" s="86"/>
      <c r="B769" s="86"/>
      <c r="C769" s="88"/>
      <c r="D769" s="91"/>
      <c r="E769" s="92"/>
      <c r="F769" s="94"/>
    </row>
    <row r="770" spans="1:6" x14ac:dyDescent="0.25">
      <c r="A770" s="86"/>
      <c r="B770" s="86"/>
      <c r="C770" s="88"/>
      <c r="D770" s="91"/>
      <c r="E770" s="92"/>
      <c r="F770" s="94"/>
    </row>
    <row r="771" spans="1:6" x14ac:dyDescent="0.25">
      <c r="A771" s="86"/>
      <c r="B771" s="86"/>
      <c r="C771" s="88"/>
      <c r="D771" s="91"/>
      <c r="E771" s="92"/>
      <c r="F771" s="94"/>
    </row>
    <row r="772" spans="1:6" x14ac:dyDescent="0.25">
      <c r="A772" s="86"/>
      <c r="B772" s="86"/>
      <c r="C772" s="88"/>
      <c r="D772" s="91"/>
      <c r="E772" s="92"/>
      <c r="F772" s="94"/>
    </row>
    <row r="773" spans="1:6" x14ac:dyDescent="0.25">
      <c r="A773" s="86"/>
      <c r="B773" s="86"/>
      <c r="C773" s="88"/>
      <c r="D773" s="91"/>
      <c r="E773" s="92"/>
      <c r="F773" s="94"/>
    </row>
    <row r="774" spans="1:6" x14ac:dyDescent="0.25">
      <c r="A774" s="86"/>
      <c r="B774" s="86"/>
      <c r="C774" s="88"/>
      <c r="D774" s="91"/>
      <c r="E774" s="92"/>
      <c r="F774" s="94"/>
    </row>
    <row r="775" spans="1:6" x14ac:dyDescent="0.25">
      <c r="A775" s="86"/>
      <c r="B775" s="86"/>
      <c r="C775" s="88"/>
      <c r="D775" s="91"/>
      <c r="E775" s="92"/>
      <c r="F775" s="94"/>
    </row>
    <row r="776" spans="1:6" x14ac:dyDescent="0.25">
      <c r="A776" s="86"/>
      <c r="B776" s="86"/>
      <c r="C776" s="88"/>
      <c r="D776" s="91"/>
      <c r="E776" s="92"/>
      <c r="F776" s="94"/>
    </row>
    <row r="777" spans="1:6" x14ac:dyDescent="0.25">
      <c r="A777" s="86"/>
      <c r="B777" s="86"/>
      <c r="C777" s="88"/>
      <c r="D777" s="91"/>
      <c r="E777" s="92"/>
      <c r="F777" s="94"/>
    </row>
    <row r="778" spans="1:6" x14ac:dyDescent="0.25">
      <c r="A778" s="86"/>
      <c r="B778" s="86"/>
      <c r="C778" s="88"/>
      <c r="D778" s="91"/>
      <c r="E778" s="92"/>
      <c r="F778" s="94"/>
    </row>
    <row r="779" spans="1:6" x14ac:dyDescent="0.25">
      <c r="A779" s="86"/>
      <c r="B779" s="86"/>
      <c r="C779" s="88"/>
      <c r="D779" s="91"/>
      <c r="E779" s="92"/>
      <c r="F779" s="94"/>
    </row>
    <row r="780" spans="1:6" x14ac:dyDescent="0.25">
      <c r="A780" s="86"/>
      <c r="B780" s="86"/>
      <c r="C780" s="88"/>
      <c r="D780" s="91"/>
      <c r="E780" s="92"/>
      <c r="F780" s="94"/>
    </row>
    <row r="781" spans="1:6" x14ac:dyDescent="0.25">
      <c r="A781" s="86"/>
      <c r="B781" s="86"/>
      <c r="C781" s="88"/>
      <c r="D781" s="91"/>
      <c r="E781" s="92"/>
      <c r="F781" s="94"/>
    </row>
    <row r="782" spans="1:6" x14ac:dyDescent="0.25">
      <c r="A782" s="86"/>
      <c r="B782" s="86"/>
      <c r="C782" s="88"/>
      <c r="D782" s="91"/>
      <c r="E782" s="92"/>
      <c r="F782" s="94"/>
    </row>
    <row r="783" spans="1:6" x14ac:dyDescent="0.25">
      <c r="A783" s="86"/>
      <c r="B783" s="86"/>
      <c r="C783" s="88"/>
      <c r="D783" s="91"/>
      <c r="E783" s="92"/>
      <c r="F783" s="94"/>
    </row>
    <row r="784" spans="1:6" x14ac:dyDescent="0.25">
      <c r="A784" s="86"/>
      <c r="B784" s="86"/>
      <c r="C784" s="88"/>
      <c r="D784" s="91"/>
      <c r="E784" s="92"/>
      <c r="F784" s="94"/>
    </row>
    <row r="785" spans="1:6" x14ac:dyDescent="0.25">
      <c r="A785" s="86"/>
      <c r="B785" s="86"/>
      <c r="C785" s="88"/>
      <c r="D785" s="91"/>
      <c r="E785" s="92"/>
      <c r="F785" s="94"/>
    </row>
    <row r="786" spans="1:6" x14ac:dyDescent="0.25">
      <c r="A786" s="86"/>
      <c r="B786" s="86"/>
      <c r="C786" s="88"/>
      <c r="D786" s="91"/>
      <c r="E786" s="92"/>
      <c r="F786" s="94"/>
    </row>
    <row r="787" spans="1:6" x14ac:dyDescent="0.25">
      <c r="A787" s="86"/>
      <c r="B787" s="86"/>
      <c r="C787" s="88"/>
      <c r="D787" s="91"/>
      <c r="E787" s="92"/>
      <c r="F787" s="94"/>
    </row>
    <row r="788" spans="1:6" x14ac:dyDescent="0.25">
      <c r="A788" s="86"/>
      <c r="B788" s="86"/>
      <c r="C788" s="88"/>
      <c r="D788" s="91"/>
      <c r="E788" s="92"/>
      <c r="F788" s="94"/>
    </row>
    <row r="789" spans="1:6" x14ac:dyDescent="0.25">
      <c r="A789" s="86"/>
      <c r="B789" s="86"/>
      <c r="C789" s="88"/>
      <c r="D789" s="91"/>
      <c r="E789" s="92"/>
      <c r="F789" s="94"/>
    </row>
    <row r="790" spans="1:6" x14ac:dyDescent="0.25">
      <c r="A790" s="86"/>
      <c r="B790" s="86"/>
      <c r="C790" s="88"/>
      <c r="D790" s="91"/>
      <c r="E790" s="92"/>
      <c r="F790" s="94"/>
    </row>
    <row r="791" spans="1:6" x14ac:dyDescent="0.25">
      <c r="A791" s="86"/>
      <c r="B791" s="86"/>
      <c r="C791" s="88"/>
      <c r="D791" s="91"/>
      <c r="E791" s="92"/>
      <c r="F791" s="94"/>
    </row>
    <row r="792" spans="1:6" x14ac:dyDescent="0.25">
      <c r="A792" s="86"/>
      <c r="B792" s="86"/>
      <c r="C792" s="88"/>
      <c r="D792" s="91"/>
      <c r="E792" s="92"/>
      <c r="F792" s="94"/>
    </row>
    <row r="793" spans="1:6" x14ac:dyDescent="0.25">
      <c r="A793" s="86"/>
      <c r="B793" s="86"/>
      <c r="C793" s="88"/>
      <c r="D793" s="91"/>
      <c r="E793" s="92"/>
      <c r="F793" s="94"/>
    </row>
    <row r="794" spans="1:6" x14ac:dyDescent="0.25">
      <c r="A794" s="86"/>
      <c r="B794" s="86"/>
      <c r="C794" s="88"/>
      <c r="D794" s="91"/>
      <c r="E794" s="92"/>
      <c r="F794" s="94"/>
    </row>
    <row r="795" spans="1:6" x14ac:dyDescent="0.25">
      <c r="A795" s="86"/>
      <c r="B795" s="86"/>
      <c r="C795" s="88"/>
      <c r="D795" s="91"/>
      <c r="E795" s="92"/>
      <c r="F795" s="94"/>
    </row>
    <row r="796" spans="1:6" x14ac:dyDescent="0.25">
      <c r="A796" s="86"/>
      <c r="B796" s="86"/>
      <c r="C796" s="88"/>
      <c r="D796" s="91"/>
      <c r="E796" s="92"/>
      <c r="F796" s="94"/>
    </row>
    <row r="797" spans="1:6" x14ac:dyDescent="0.25">
      <c r="A797" s="86"/>
      <c r="B797" s="86"/>
      <c r="C797" s="88"/>
      <c r="D797" s="91"/>
      <c r="E797" s="92"/>
      <c r="F797" s="94"/>
    </row>
    <row r="798" spans="1:6" x14ac:dyDescent="0.25">
      <c r="A798" s="86"/>
      <c r="B798" s="86"/>
      <c r="C798" s="88"/>
      <c r="D798" s="91"/>
      <c r="E798" s="92"/>
      <c r="F798" s="94"/>
    </row>
    <row r="799" spans="1:6" x14ac:dyDescent="0.25">
      <c r="A799" s="86"/>
      <c r="B799" s="86"/>
      <c r="C799" s="88"/>
      <c r="D799" s="91"/>
      <c r="E799" s="92"/>
      <c r="F799" s="94"/>
    </row>
    <row r="800" spans="1:6" x14ac:dyDescent="0.25">
      <c r="A800" s="86"/>
      <c r="B800" s="86"/>
      <c r="C800" s="88"/>
      <c r="D800" s="91"/>
      <c r="E800" s="92"/>
      <c r="F800" s="94"/>
    </row>
    <row r="801" spans="1:6" x14ac:dyDescent="0.25">
      <c r="A801" s="86"/>
      <c r="B801" s="86"/>
      <c r="C801" s="88"/>
      <c r="D801" s="91"/>
      <c r="E801" s="92"/>
      <c r="F801" s="94"/>
    </row>
    <row r="802" spans="1:6" x14ac:dyDescent="0.25">
      <c r="A802" s="86"/>
      <c r="B802" s="86"/>
      <c r="C802" s="88"/>
      <c r="D802" s="91"/>
      <c r="E802" s="92"/>
      <c r="F802" s="94"/>
    </row>
    <row r="803" spans="1:6" x14ac:dyDescent="0.25">
      <c r="A803" s="86"/>
      <c r="B803" s="86"/>
      <c r="C803" s="88"/>
      <c r="D803" s="91"/>
      <c r="E803" s="92"/>
      <c r="F803" s="94"/>
    </row>
    <row r="804" spans="1:6" x14ac:dyDescent="0.25">
      <c r="A804" s="86"/>
      <c r="B804" s="86"/>
      <c r="C804" s="88"/>
      <c r="D804" s="91"/>
      <c r="E804" s="92"/>
      <c r="F804" s="94"/>
    </row>
    <row r="805" spans="1:6" x14ac:dyDescent="0.25">
      <c r="A805" s="86"/>
      <c r="B805" s="86"/>
      <c r="C805" s="88"/>
      <c r="D805" s="91"/>
      <c r="E805" s="92"/>
      <c r="F805" s="94"/>
    </row>
    <row r="806" spans="1:6" x14ac:dyDescent="0.25">
      <c r="A806" s="86"/>
      <c r="B806" s="86"/>
      <c r="C806" s="88"/>
      <c r="D806" s="91"/>
      <c r="E806" s="92"/>
      <c r="F806" s="94"/>
    </row>
    <row r="807" spans="1:6" x14ac:dyDescent="0.25">
      <c r="A807" s="86"/>
      <c r="B807" s="86"/>
      <c r="C807" s="88"/>
      <c r="D807" s="91"/>
      <c r="E807" s="92"/>
      <c r="F807" s="94"/>
    </row>
    <row r="808" spans="1:6" x14ac:dyDescent="0.25">
      <c r="A808" s="86"/>
      <c r="B808" s="86"/>
      <c r="C808" s="88"/>
      <c r="D808" s="91"/>
      <c r="E808" s="92"/>
      <c r="F808" s="94"/>
    </row>
    <row r="809" spans="1:6" x14ac:dyDescent="0.25">
      <c r="A809" s="86"/>
      <c r="B809" s="86"/>
      <c r="C809" s="88"/>
      <c r="D809" s="91"/>
      <c r="E809" s="92"/>
      <c r="F809" s="94"/>
    </row>
    <row r="810" spans="1:6" x14ac:dyDescent="0.25">
      <c r="A810" s="86"/>
      <c r="B810" s="86"/>
      <c r="C810" s="88"/>
      <c r="D810" s="91"/>
      <c r="E810" s="92"/>
      <c r="F810" s="94"/>
    </row>
    <row r="811" spans="1:6" x14ac:dyDescent="0.25">
      <c r="A811" s="86"/>
      <c r="B811" s="86"/>
      <c r="C811" s="88"/>
      <c r="D811" s="91"/>
      <c r="E811" s="92"/>
      <c r="F811" s="94"/>
    </row>
    <row r="812" spans="1:6" x14ac:dyDescent="0.25">
      <c r="A812" s="86"/>
      <c r="B812" s="86"/>
      <c r="C812" s="88"/>
      <c r="D812" s="91"/>
      <c r="E812" s="92"/>
      <c r="F812" s="94"/>
    </row>
    <row r="813" spans="1:6" x14ac:dyDescent="0.25">
      <c r="A813" s="86"/>
      <c r="B813" s="86"/>
      <c r="C813" s="88"/>
      <c r="D813" s="91"/>
      <c r="E813" s="92"/>
      <c r="F813" s="94"/>
    </row>
    <row r="814" spans="1:6" x14ac:dyDescent="0.25">
      <c r="A814" s="86"/>
      <c r="B814" s="86"/>
      <c r="C814" s="88"/>
      <c r="D814" s="91"/>
      <c r="E814" s="92"/>
      <c r="F814" s="94"/>
    </row>
    <row r="815" spans="1:6" x14ac:dyDescent="0.25">
      <c r="A815" s="86"/>
      <c r="B815" s="86"/>
      <c r="C815" s="88"/>
      <c r="D815" s="91"/>
      <c r="E815" s="92"/>
      <c r="F815" s="94"/>
    </row>
    <row r="816" spans="1:6" x14ac:dyDescent="0.25">
      <c r="A816" s="86"/>
      <c r="B816" s="86"/>
      <c r="C816" s="88"/>
      <c r="D816" s="91"/>
      <c r="E816" s="92"/>
      <c r="F816" s="94"/>
    </row>
    <row r="817" spans="1:6" x14ac:dyDescent="0.25">
      <c r="A817" s="86"/>
      <c r="B817" s="86"/>
      <c r="C817" s="88"/>
      <c r="D817" s="91"/>
      <c r="E817" s="92"/>
      <c r="F817" s="94"/>
    </row>
    <row r="818" spans="1:6" x14ac:dyDescent="0.25">
      <c r="A818" s="86"/>
      <c r="B818" s="86"/>
      <c r="C818" s="88"/>
      <c r="D818" s="91"/>
      <c r="E818" s="92"/>
      <c r="F818" s="94"/>
    </row>
    <row r="819" spans="1:6" x14ac:dyDescent="0.25">
      <c r="A819" s="86"/>
      <c r="B819" s="86"/>
      <c r="C819" s="88"/>
      <c r="D819" s="91"/>
      <c r="E819" s="92"/>
      <c r="F819" s="94"/>
    </row>
    <row r="820" spans="1:6" x14ac:dyDescent="0.25">
      <c r="A820" s="86"/>
      <c r="B820" s="86"/>
      <c r="C820" s="88"/>
      <c r="D820" s="91"/>
      <c r="E820" s="92"/>
      <c r="F820" s="94"/>
    </row>
    <row r="821" spans="1:6" x14ac:dyDescent="0.25">
      <c r="A821" s="86"/>
      <c r="B821" s="86"/>
      <c r="C821" s="88"/>
      <c r="D821" s="91"/>
      <c r="E821" s="92"/>
      <c r="F821" s="94"/>
    </row>
    <row r="822" spans="1:6" x14ac:dyDescent="0.25">
      <c r="A822" s="86"/>
      <c r="B822" s="86"/>
      <c r="C822" s="88"/>
      <c r="D822" s="91"/>
      <c r="E822" s="92"/>
      <c r="F822" s="94"/>
    </row>
    <row r="823" spans="1:6" x14ac:dyDescent="0.25">
      <c r="A823" s="86"/>
      <c r="B823" s="86"/>
      <c r="C823" s="88"/>
      <c r="D823" s="91"/>
      <c r="E823" s="92"/>
      <c r="F823" s="94"/>
    </row>
    <row r="824" spans="1:6" x14ac:dyDescent="0.25">
      <c r="A824" s="86"/>
      <c r="B824" s="86"/>
      <c r="C824" s="88"/>
      <c r="D824" s="91"/>
      <c r="E824" s="92"/>
      <c r="F824" s="94"/>
    </row>
    <row r="825" spans="1:6" x14ac:dyDescent="0.25">
      <c r="A825" s="86"/>
      <c r="B825" s="86"/>
      <c r="C825" s="88"/>
      <c r="D825" s="91"/>
      <c r="E825" s="92"/>
      <c r="F825" s="94"/>
    </row>
    <row r="826" spans="1:6" x14ac:dyDescent="0.25">
      <c r="A826" s="86"/>
      <c r="B826" s="86"/>
      <c r="C826" s="88"/>
      <c r="D826" s="91"/>
      <c r="E826" s="92"/>
      <c r="F826" s="94"/>
    </row>
    <row r="827" spans="1:6" x14ac:dyDescent="0.25">
      <c r="A827" s="86"/>
      <c r="B827" s="86"/>
      <c r="C827" s="88"/>
      <c r="D827" s="91"/>
      <c r="E827" s="92"/>
      <c r="F827" s="94"/>
    </row>
    <row r="828" spans="1:6" x14ac:dyDescent="0.25">
      <c r="A828" s="86"/>
      <c r="B828" s="86"/>
      <c r="C828" s="88"/>
      <c r="D828" s="91"/>
      <c r="E828" s="92"/>
      <c r="F828" s="94"/>
    </row>
    <row r="829" spans="1:6" x14ac:dyDescent="0.25">
      <c r="A829" s="86"/>
      <c r="B829" s="86"/>
      <c r="C829" s="88"/>
      <c r="D829" s="91"/>
      <c r="E829" s="92"/>
      <c r="F829" s="94"/>
    </row>
    <row r="830" spans="1:6" x14ac:dyDescent="0.25">
      <c r="A830" s="86"/>
      <c r="B830" s="86"/>
      <c r="C830" s="88"/>
      <c r="D830" s="91"/>
      <c r="E830" s="92"/>
      <c r="F830" s="94"/>
    </row>
    <row r="831" spans="1:6" x14ac:dyDescent="0.25">
      <c r="A831" s="86"/>
      <c r="B831" s="86"/>
      <c r="C831" s="88"/>
      <c r="D831" s="91"/>
      <c r="E831" s="92"/>
      <c r="F831" s="94"/>
    </row>
    <row r="832" spans="1:6" x14ac:dyDescent="0.25">
      <c r="A832" s="86"/>
      <c r="B832" s="86"/>
      <c r="C832" s="88"/>
      <c r="D832" s="91"/>
      <c r="E832" s="92"/>
      <c r="F832" s="94"/>
    </row>
    <row r="833" spans="1:6" x14ac:dyDescent="0.25">
      <c r="A833" s="86"/>
      <c r="B833" s="86"/>
      <c r="C833" s="88"/>
      <c r="D833" s="91"/>
      <c r="E833" s="92"/>
      <c r="F833" s="94"/>
    </row>
    <row r="834" spans="1:6" x14ac:dyDescent="0.25">
      <c r="A834" s="86"/>
      <c r="B834" s="86"/>
      <c r="C834" s="88"/>
      <c r="D834" s="91"/>
      <c r="E834" s="92"/>
      <c r="F834" s="94"/>
    </row>
    <row r="835" spans="1:6" x14ac:dyDescent="0.25">
      <c r="A835" s="86"/>
      <c r="B835" s="86"/>
      <c r="C835" s="88"/>
      <c r="D835" s="91"/>
      <c r="E835" s="92"/>
      <c r="F835" s="94"/>
    </row>
    <row r="836" spans="1:6" x14ac:dyDescent="0.25">
      <c r="A836" s="86"/>
      <c r="B836" s="86"/>
      <c r="C836" s="88"/>
      <c r="D836" s="91"/>
      <c r="E836" s="92"/>
      <c r="F836" s="94"/>
    </row>
    <row r="837" spans="1:6" x14ac:dyDescent="0.25">
      <c r="A837" s="86"/>
      <c r="B837" s="86"/>
      <c r="C837" s="88"/>
      <c r="D837" s="91"/>
      <c r="E837" s="92"/>
      <c r="F837" s="94"/>
    </row>
    <row r="838" spans="1:6" x14ac:dyDescent="0.25">
      <c r="A838" s="86"/>
      <c r="B838" s="86"/>
      <c r="C838" s="88"/>
      <c r="D838" s="91"/>
      <c r="E838" s="92"/>
      <c r="F838" s="94"/>
    </row>
    <row r="839" spans="1:6" x14ac:dyDescent="0.25">
      <c r="A839" s="86"/>
      <c r="B839" s="86"/>
      <c r="C839" s="88"/>
      <c r="D839" s="91"/>
      <c r="E839" s="92"/>
      <c r="F839" s="94"/>
    </row>
    <row r="840" spans="1:6" x14ac:dyDescent="0.25">
      <c r="A840" s="86"/>
      <c r="B840" s="86"/>
      <c r="C840" s="88"/>
      <c r="D840" s="91"/>
      <c r="E840" s="92"/>
      <c r="F840" s="94"/>
    </row>
    <row r="841" spans="1:6" x14ac:dyDescent="0.25">
      <c r="A841" s="86"/>
      <c r="B841" s="86"/>
      <c r="C841" s="88"/>
      <c r="D841" s="91"/>
      <c r="E841" s="92"/>
      <c r="F841" s="94"/>
    </row>
    <row r="842" spans="1:6" x14ac:dyDescent="0.25">
      <c r="A842" s="86"/>
      <c r="B842" s="86"/>
      <c r="C842" s="88"/>
      <c r="D842" s="91"/>
      <c r="E842" s="92"/>
      <c r="F842" s="94"/>
    </row>
    <row r="843" spans="1:6" x14ac:dyDescent="0.25">
      <c r="A843" s="86"/>
      <c r="B843" s="86"/>
      <c r="C843" s="88"/>
      <c r="D843" s="91"/>
      <c r="E843" s="92"/>
      <c r="F843" s="94"/>
    </row>
    <row r="844" spans="1:6" x14ac:dyDescent="0.25">
      <c r="A844" s="86"/>
      <c r="B844" s="86"/>
      <c r="C844" s="88"/>
      <c r="D844" s="91"/>
      <c r="E844" s="92"/>
      <c r="F844" s="94"/>
    </row>
    <row r="845" spans="1:6" x14ac:dyDescent="0.25">
      <c r="A845" s="86"/>
      <c r="B845" s="86"/>
      <c r="C845" s="88"/>
      <c r="D845" s="91"/>
      <c r="E845" s="92"/>
      <c r="F845" s="94"/>
    </row>
    <row r="846" spans="1:6" x14ac:dyDescent="0.25">
      <c r="A846" s="86"/>
      <c r="B846" s="86"/>
      <c r="C846" s="88"/>
      <c r="D846" s="91"/>
      <c r="E846" s="92"/>
      <c r="F846" s="94"/>
    </row>
    <row r="847" spans="1:6" x14ac:dyDescent="0.25">
      <c r="A847" s="86"/>
      <c r="B847" s="86"/>
      <c r="C847" s="88"/>
      <c r="D847" s="91"/>
      <c r="E847" s="92"/>
      <c r="F847" s="94"/>
    </row>
    <row r="848" spans="1:6" x14ac:dyDescent="0.25">
      <c r="A848" s="86"/>
      <c r="B848" s="86"/>
      <c r="C848" s="88"/>
      <c r="D848" s="91"/>
      <c r="E848" s="92"/>
      <c r="F848" s="94"/>
    </row>
    <row r="849" spans="1:6" x14ac:dyDescent="0.25">
      <c r="A849" s="86"/>
      <c r="B849" s="86"/>
      <c r="C849" s="88"/>
      <c r="D849" s="91"/>
      <c r="E849" s="92"/>
      <c r="F849" s="94"/>
    </row>
    <row r="850" spans="1:6" x14ac:dyDescent="0.25">
      <c r="A850" s="86"/>
      <c r="B850" s="86"/>
      <c r="C850" s="88"/>
      <c r="D850" s="91"/>
      <c r="E850" s="92"/>
      <c r="F850" s="94"/>
    </row>
    <row r="851" spans="1:6" x14ac:dyDescent="0.25">
      <c r="A851" s="86"/>
      <c r="B851" s="86"/>
      <c r="C851" s="88"/>
      <c r="D851" s="91"/>
      <c r="E851" s="92"/>
      <c r="F851" s="94"/>
    </row>
    <row r="852" spans="1:6" x14ac:dyDescent="0.25">
      <c r="A852" s="86"/>
      <c r="B852" s="86"/>
      <c r="C852" s="88"/>
      <c r="D852" s="91"/>
      <c r="E852" s="92"/>
      <c r="F852" s="94"/>
    </row>
    <row r="853" spans="1:6" x14ac:dyDescent="0.25">
      <c r="A853" s="86"/>
      <c r="B853" s="86"/>
      <c r="C853" s="88"/>
      <c r="D853" s="91"/>
      <c r="E853" s="92"/>
      <c r="F853" s="94"/>
    </row>
    <row r="854" spans="1:6" x14ac:dyDescent="0.25">
      <c r="A854" s="86"/>
      <c r="B854" s="86"/>
      <c r="C854" s="88"/>
      <c r="D854" s="91"/>
      <c r="E854" s="92"/>
      <c r="F854" s="94"/>
    </row>
    <row r="855" spans="1:6" x14ac:dyDescent="0.25">
      <c r="A855" s="86"/>
      <c r="B855" s="86"/>
      <c r="C855" s="88"/>
      <c r="D855" s="91"/>
      <c r="E855" s="92"/>
      <c r="F855" s="94"/>
    </row>
    <row r="856" spans="1:6" x14ac:dyDescent="0.25">
      <c r="A856" s="86"/>
      <c r="B856" s="86"/>
      <c r="C856" s="88"/>
      <c r="D856" s="91"/>
      <c r="E856" s="92"/>
      <c r="F856" s="94"/>
    </row>
    <row r="857" spans="1:6" x14ac:dyDescent="0.25">
      <c r="A857" s="86"/>
      <c r="B857" s="86"/>
      <c r="C857" s="88"/>
      <c r="D857" s="91"/>
      <c r="E857" s="92"/>
      <c r="F857" s="94"/>
    </row>
    <row r="858" spans="1:6" x14ac:dyDescent="0.25">
      <c r="A858" s="86"/>
      <c r="B858" s="86"/>
      <c r="C858" s="88"/>
      <c r="D858" s="91"/>
      <c r="E858" s="92"/>
      <c r="F858" s="94"/>
    </row>
    <row r="859" spans="1:6" x14ac:dyDescent="0.25">
      <c r="A859" s="86"/>
      <c r="B859" s="86"/>
      <c r="C859" s="88"/>
      <c r="D859" s="91"/>
      <c r="E859" s="92"/>
      <c r="F859" s="94"/>
    </row>
    <row r="860" spans="1:6" x14ac:dyDescent="0.25">
      <c r="A860" s="86"/>
      <c r="B860" s="86"/>
      <c r="C860" s="88"/>
      <c r="D860" s="91"/>
      <c r="E860" s="92"/>
      <c r="F860" s="94"/>
    </row>
    <row r="861" spans="1:6" x14ac:dyDescent="0.25">
      <c r="A861" s="86"/>
      <c r="B861" s="86"/>
      <c r="C861" s="88"/>
      <c r="D861" s="91"/>
      <c r="E861" s="92"/>
      <c r="F861" s="94"/>
    </row>
    <row r="862" spans="1:6" x14ac:dyDescent="0.25">
      <c r="A862" s="86"/>
      <c r="B862" s="86"/>
      <c r="C862" s="88"/>
      <c r="D862" s="91"/>
      <c r="E862" s="92"/>
      <c r="F862" s="94"/>
    </row>
    <row r="863" spans="1:6" x14ac:dyDescent="0.25">
      <c r="A863" s="86"/>
      <c r="B863" s="86"/>
      <c r="C863" s="88"/>
      <c r="D863" s="91"/>
      <c r="E863" s="92"/>
      <c r="F863" s="94"/>
    </row>
    <row r="864" spans="1:6" x14ac:dyDescent="0.25">
      <c r="A864" s="86"/>
      <c r="B864" s="86"/>
      <c r="C864" s="88"/>
      <c r="D864" s="91"/>
      <c r="E864" s="92"/>
      <c r="F864" s="94"/>
    </row>
    <row r="865" spans="1:6" x14ac:dyDescent="0.25">
      <c r="A865" s="86"/>
      <c r="B865" s="86"/>
      <c r="C865" s="88"/>
      <c r="D865" s="91"/>
      <c r="E865" s="92"/>
      <c r="F865" s="94"/>
    </row>
    <row r="866" spans="1:6" x14ac:dyDescent="0.25">
      <c r="A866" s="86"/>
      <c r="B866" s="86"/>
      <c r="C866" s="88"/>
      <c r="D866" s="91"/>
      <c r="E866" s="92"/>
      <c r="F866" s="94"/>
    </row>
    <row r="867" spans="1:6" x14ac:dyDescent="0.25">
      <c r="A867" s="86"/>
      <c r="B867" s="86"/>
      <c r="C867" s="88"/>
      <c r="D867" s="91"/>
      <c r="E867" s="92"/>
      <c r="F867" s="94"/>
    </row>
    <row r="868" spans="1:6" x14ac:dyDescent="0.25">
      <c r="A868" s="86"/>
      <c r="B868" s="86"/>
      <c r="C868" s="88"/>
      <c r="D868" s="91"/>
      <c r="E868" s="92"/>
      <c r="F868" s="94"/>
    </row>
    <row r="869" spans="1:6" x14ac:dyDescent="0.25">
      <c r="A869" s="86"/>
      <c r="B869" s="86"/>
      <c r="C869" s="88"/>
      <c r="D869" s="91"/>
      <c r="E869" s="92"/>
      <c r="F869" s="94"/>
    </row>
    <row r="870" spans="1:6" x14ac:dyDescent="0.25">
      <c r="A870" s="86"/>
      <c r="B870" s="86"/>
      <c r="C870" s="88"/>
      <c r="D870" s="91"/>
      <c r="E870" s="92"/>
      <c r="F870" s="94"/>
    </row>
    <row r="871" spans="1:6" x14ac:dyDescent="0.25">
      <c r="A871" s="86"/>
      <c r="B871" s="86"/>
      <c r="C871" s="88"/>
      <c r="D871" s="91"/>
      <c r="E871" s="92"/>
      <c r="F871" s="94"/>
    </row>
    <row r="872" spans="1:6" x14ac:dyDescent="0.25">
      <c r="A872" s="86"/>
      <c r="B872" s="86"/>
      <c r="C872" s="88"/>
      <c r="D872" s="91"/>
      <c r="E872" s="92"/>
      <c r="F872" s="94"/>
    </row>
    <row r="873" spans="1:6" x14ac:dyDescent="0.25">
      <c r="A873" s="86"/>
      <c r="B873" s="86"/>
      <c r="C873" s="88"/>
      <c r="D873" s="91"/>
      <c r="E873" s="92"/>
      <c r="F873" s="94"/>
    </row>
    <row r="874" spans="1:6" x14ac:dyDescent="0.25">
      <c r="A874" s="86"/>
      <c r="B874" s="86"/>
      <c r="C874" s="88"/>
      <c r="D874" s="91"/>
      <c r="E874" s="92"/>
      <c r="F874" s="94"/>
    </row>
    <row r="875" spans="1:6" x14ac:dyDescent="0.25">
      <c r="A875" s="86"/>
      <c r="B875" s="86"/>
      <c r="C875" s="88"/>
      <c r="D875" s="91"/>
      <c r="E875" s="92"/>
      <c r="F875" s="94"/>
    </row>
    <row r="876" spans="1:6" x14ac:dyDescent="0.25">
      <c r="A876" s="86"/>
      <c r="B876" s="86"/>
      <c r="C876" s="88"/>
      <c r="D876" s="91"/>
      <c r="E876" s="92"/>
      <c r="F876" s="94"/>
    </row>
    <row r="877" spans="1:6" x14ac:dyDescent="0.25">
      <c r="A877" s="86"/>
      <c r="B877" s="86"/>
      <c r="C877" s="88"/>
      <c r="D877" s="91"/>
      <c r="E877" s="92"/>
      <c r="F877" s="94"/>
    </row>
    <row r="878" spans="1:6" x14ac:dyDescent="0.25">
      <c r="A878" s="86"/>
      <c r="B878" s="86"/>
      <c r="C878" s="88"/>
      <c r="D878" s="91"/>
      <c r="E878" s="92"/>
      <c r="F878" s="94"/>
    </row>
    <row r="879" spans="1:6" x14ac:dyDescent="0.25">
      <c r="A879" s="86"/>
      <c r="B879" s="86"/>
      <c r="C879" s="88"/>
      <c r="D879" s="91"/>
      <c r="E879" s="92"/>
      <c r="F879" s="94"/>
    </row>
    <row r="880" spans="1:6" x14ac:dyDescent="0.25">
      <c r="A880" s="86"/>
      <c r="B880" s="86"/>
      <c r="C880" s="88"/>
      <c r="D880" s="91"/>
      <c r="E880" s="92"/>
      <c r="F880" s="94"/>
    </row>
    <row r="881" spans="1:6" x14ac:dyDescent="0.25">
      <c r="A881" s="86"/>
      <c r="B881" s="86"/>
      <c r="C881" s="88"/>
      <c r="D881" s="91"/>
      <c r="E881" s="92"/>
      <c r="F881" s="94"/>
    </row>
    <row r="882" spans="1:6" x14ac:dyDescent="0.25">
      <c r="A882" s="86"/>
      <c r="B882" s="86"/>
      <c r="C882" s="88"/>
      <c r="D882" s="91"/>
      <c r="E882" s="92"/>
      <c r="F882" s="94"/>
    </row>
    <row r="883" spans="1:6" x14ac:dyDescent="0.25">
      <c r="A883" s="86"/>
      <c r="B883" s="86"/>
      <c r="C883" s="88"/>
      <c r="D883" s="91"/>
      <c r="E883" s="92"/>
      <c r="F883" s="94"/>
    </row>
    <row r="884" spans="1:6" x14ac:dyDescent="0.25">
      <c r="A884" s="86"/>
      <c r="B884" s="86"/>
      <c r="C884" s="88"/>
      <c r="D884" s="91"/>
      <c r="E884" s="92"/>
      <c r="F884" s="94"/>
    </row>
    <row r="885" spans="1:6" x14ac:dyDescent="0.25">
      <c r="A885" s="86"/>
      <c r="B885" s="86"/>
      <c r="C885" s="88"/>
      <c r="D885" s="91"/>
      <c r="E885" s="92"/>
      <c r="F885" s="94"/>
    </row>
    <row r="886" spans="1:6" x14ac:dyDescent="0.25">
      <c r="A886" s="86"/>
      <c r="B886" s="86"/>
      <c r="C886" s="88"/>
      <c r="D886" s="91"/>
      <c r="E886" s="92"/>
      <c r="F886" s="94"/>
    </row>
    <row r="887" spans="1:6" x14ac:dyDescent="0.25">
      <c r="A887" s="86"/>
      <c r="B887" s="86"/>
      <c r="C887" s="88"/>
      <c r="D887" s="91"/>
      <c r="E887" s="92"/>
      <c r="F887" s="94"/>
    </row>
    <row r="888" spans="1:6" x14ac:dyDescent="0.25">
      <c r="A888" s="86"/>
      <c r="B888" s="86"/>
      <c r="C888" s="88"/>
      <c r="D888" s="91"/>
      <c r="E888" s="92"/>
      <c r="F888" s="94"/>
    </row>
    <row r="889" spans="1:6" x14ac:dyDescent="0.25">
      <c r="A889" s="86"/>
      <c r="B889" s="86"/>
      <c r="C889" s="88"/>
      <c r="D889" s="91"/>
      <c r="E889" s="92"/>
      <c r="F889" s="94"/>
    </row>
    <row r="890" spans="1:6" x14ac:dyDescent="0.25">
      <c r="A890" s="86"/>
      <c r="B890" s="86"/>
      <c r="C890" s="88"/>
      <c r="D890" s="91"/>
      <c r="E890" s="92"/>
      <c r="F890" s="94"/>
    </row>
    <row r="891" spans="1:6" x14ac:dyDescent="0.25">
      <c r="A891" s="86"/>
      <c r="B891" s="86"/>
      <c r="C891" s="88"/>
      <c r="D891" s="91"/>
      <c r="E891" s="92"/>
      <c r="F891" s="94"/>
    </row>
    <row r="892" spans="1:6" x14ac:dyDescent="0.25">
      <c r="A892" s="86"/>
      <c r="B892" s="86"/>
      <c r="C892" s="88"/>
      <c r="D892" s="91"/>
      <c r="E892" s="92"/>
      <c r="F892" s="94"/>
    </row>
    <row r="893" spans="1:6" x14ac:dyDescent="0.25">
      <c r="A893" s="86"/>
      <c r="B893" s="86"/>
      <c r="C893" s="88"/>
      <c r="D893" s="91"/>
      <c r="E893" s="92"/>
      <c r="F893" s="94"/>
    </row>
    <row r="894" spans="1:6" x14ac:dyDescent="0.25">
      <c r="A894" s="86"/>
      <c r="B894" s="86"/>
      <c r="C894" s="88"/>
      <c r="D894" s="91"/>
      <c r="E894" s="92"/>
      <c r="F894" s="94"/>
    </row>
    <row r="895" spans="1:6" x14ac:dyDescent="0.25">
      <c r="A895" s="86"/>
      <c r="B895" s="86"/>
      <c r="C895" s="88"/>
      <c r="D895" s="91"/>
      <c r="E895" s="92"/>
      <c r="F895" s="94"/>
    </row>
    <row r="896" spans="1:6" x14ac:dyDescent="0.25">
      <c r="A896" s="86"/>
      <c r="B896" s="86"/>
      <c r="C896" s="88"/>
      <c r="D896" s="91"/>
      <c r="E896" s="92"/>
      <c r="F896" s="94"/>
    </row>
    <row r="897" spans="1:6" x14ac:dyDescent="0.25">
      <c r="A897" s="86"/>
      <c r="B897" s="86"/>
      <c r="C897" s="88"/>
      <c r="D897" s="91"/>
      <c r="E897" s="92"/>
      <c r="F897" s="94"/>
    </row>
    <row r="898" spans="1:6" x14ac:dyDescent="0.25">
      <c r="A898" s="86"/>
      <c r="B898" s="86"/>
      <c r="C898" s="88"/>
      <c r="D898" s="91"/>
      <c r="E898" s="92"/>
      <c r="F898" s="94"/>
    </row>
    <row r="899" spans="1:6" x14ac:dyDescent="0.25">
      <c r="A899" s="86"/>
      <c r="B899" s="86"/>
      <c r="C899" s="88"/>
      <c r="D899" s="91"/>
      <c r="E899" s="92"/>
      <c r="F899" s="94"/>
    </row>
    <row r="900" spans="1:6" x14ac:dyDescent="0.25">
      <c r="A900" s="86"/>
      <c r="B900" s="86"/>
      <c r="C900" s="88"/>
      <c r="D900" s="91"/>
      <c r="E900" s="92"/>
      <c r="F900" s="94"/>
    </row>
    <row r="901" spans="1:6" x14ac:dyDescent="0.25">
      <c r="A901" s="86"/>
      <c r="B901" s="86"/>
      <c r="C901" s="88"/>
      <c r="D901" s="91"/>
      <c r="E901" s="92"/>
      <c r="F901" s="94"/>
    </row>
    <row r="902" spans="1:6" x14ac:dyDescent="0.25">
      <c r="A902" s="86"/>
      <c r="B902" s="86"/>
      <c r="C902" s="88"/>
      <c r="D902" s="91"/>
      <c r="E902" s="92"/>
      <c r="F902" s="94"/>
    </row>
    <row r="903" spans="1:6" x14ac:dyDescent="0.25">
      <c r="A903" s="86"/>
      <c r="B903" s="86"/>
      <c r="C903" s="88"/>
      <c r="D903" s="91"/>
      <c r="E903" s="92"/>
      <c r="F903" s="94"/>
    </row>
    <row r="904" spans="1:6" x14ac:dyDescent="0.25">
      <c r="A904" s="86"/>
      <c r="B904" s="86"/>
      <c r="C904" s="88"/>
      <c r="D904" s="91"/>
      <c r="E904" s="92"/>
      <c r="F904" s="94"/>
    </row>
    <row r="905" spans="1:6" x14ac:dyDescent="0.25">
      <c r="A905" s="86"/>
      <c r="B905" s="86"/>
      <c r="C905" s="88"/>
      <c r="D905" s="91"/>
      <c r="E905" s="92"/>
      <c r="F905" s="94"/>
    </row>
    <row r="906" spans="1:6" x14ac:dyDescent="0.25">
      <c r="A906" s="86"/>
      <c r="B906" s="86"/>
      <c r="C906" s="88"/>
      <c r="D906" s="91"/>
      <c r="E906" s="92"/>
      <c r="F906" s="94"/>
    </row>
    <row r="907" spans="1:6" x14ac:dyDescent="0.25">
      <c r="A907" s="86"/>
      <c r="B907" s="86"/>
      <c r="C907" s="88"/>
      <c r="D907" s="91"/>
      <c r="E907" s="92"/>
      <c r="F907" s="94"/>
    </row>
    <row r="908" spans="1:6" x14ac:dyDescent="0.25">
      <c r="A908" s="86"/>
      <c r="B908" s="86"/>
      <c r="C908" s="88"/>
      <c r="D908" s="91"/>
      <c r="E908" s="92"/>
      <c r="F908" s="94"/>
    </row>
    <row r="909" spans="1:6" x14ac:dyDescent="0.25">
      <c r="A909" s="86"/>
      <c r="B909" s="86"/>
      <c r="C909" s="88"/>
      <c r="D909" s="91"/>
      <c r="E909" s="92"/>
      <c r="F909" s="94"/>
    </row>
    <row r="910" spans="1:6" x14ac:dyDescent="0.25">
      <c r="A910" s="86"/>
      <c r="B910" s="86"/>
      <c r="C910" s="88"/>
      <c r="D910" s="91"/>
      <c r="E910" s="92"/>
      <c r="F910" s="94"/>
    </row>
    <row r="911" spans="1:6" x14ac:dyDescent="0.25">
      <c r="A911" s="86"/>
      <c r="B911" s="86"/>
      <c r="C911" s="88"/>
      <c r="D911" s="91"/>
      <c r="E911" s="92"/>
      <c r="F911" s="94"/>
    </row>
    <row r="912" spans="1:6" x14ac:dyDescent="0.25">
      <c r="A912" s="86"/>
      <c r="B912" s="86"/>
      <c r="C912" s="88"/>
      <c r="D912" s="91"/>
      <c r="E912" s="92"/>
      <c r="F912" s="94"/>
    </row>
    <row r="913" spans="1:6" x14ac:dyDescent="0.25">
      <c r="A913" s="86"/>
      <c r="B913" s="86"/>
      <c r="C913" s="88"/>
      <c r="D913" s="91"/>
      <c r="E913" s="92"/>
      <c r="F913" s="94"/>
    </row>
    <row r="914" spans="1:6" x14ac:dyDescent="0.25">
      <c r="A914" s="86"/>
      <c r="B914" s="86"/>
      <c r="C914" s="88"/>
      <c r="D914" s="91"/>
      <c r="E914" s="92"/>
      <c r="F914" s="94"/>
    </row>
    <row r="915" spans="1:6" x14ac:dyDescent="0.25">
      <c r="A915" s="86"/>
      <c r="B915" s="86"/>
      <c r="C915" s="88"/>
      <c r="D915" s="91"/>
      <c r="E915" s="92"/>
      <c r="F915" s="94"/>
    </row>
    <row r="916" spans="1:6" x14ac:dyDescent="0.25">
      <c r="A916" s="86"/>
      <c r="B916" s="86"/>
      <c r="C916" s="88"/>
      <c r="D916" s="91"/>
      <c r="E916" s="92"/>
      <c r="F916" s="94"/>
    </row>
    <row r="917" spans="1:6" x14ac:dyDescent="0.25">
      <c r="A917" s="86"/>
      <c r="B917" s="86"/>
      <c r="C917" s="88"/>
      <c r="D917" s="91"/>
      <c r="E917" s="92"/>
      <c r="F917" s="94"/>
    </row>
    <row r="918" spans="1:6" x14ac:dyDescent="0.25">
      <c r="A918" s="86"/>
      <c r="B918" s="86"/>
      <c r="C918" s="88"/>
      <c r="D918" s="91"/>
      <c r="E918" s="92"/>
      <c r="F918" s="94"/>
    </row>
    <row r="919" spans="1:6" x14ac:dyDescent="0.25">
      <c r="A919" s="86"/>
      <c r="B919" s="86"/>
      <c r="C919" s="88"/>
      <c r="D919" s="91"/>
      <c r="E919" s="92"/>
      <c r="F919" s="94"/>
    </row>
    <row r="920" spans="1:6" x14ac:dyDescent="0.25">
      <c r="A920" s="86"/>
      <c r="B920" s="86"/>
      <c r="C920" s="88"/>
      <c r="D920" s="91"/>
      <c r="E920" s="92"/>
      <c r="F920" s="94"/>
    </row>
    <row r="921" spans="1:6" x14ac:dyDescent="0.25">
      <c r="A921" s="86"/>
      <c r="B921" s="86"/>
      <c r="C921" s="88"/>
      <c r="D921" s="91"/>
      <c r="E921" s="92"/>
      <c r="F921" s="94"/>
    </row>
    <row r="922" spans="1:6" x14ac:dyDescent="0.25">
      <c r="A922" s="86"/>
      <c r="B922" s="86"/>
      <c r="C922" s="88"/>
      <c r="D922" s="91"/>
      <c r="E922" s="92"/>
      <c r="F922" s="94"/>
    </row>
    <row r="923" spans="1:6" x14ac:dyDescent="0.25">
      <c r="A923" s="86"/>
      <c r="B923" s="86"/>
      <c r="C923" s="88"/>
      <c r="D923" s="91"/>
      <c r="E923" s="92"/>
      <c r="F923" s="94"/>
    </row>
    <row r="924" spans="1:6" x14ac:dyDescent="0.25">
      <c r="A924" s="86"/>
      <c r="B924" s="86"/>
      <c r="C924" s="88"/>
      <c r="D924" s="91"/>
      <c r="E924" s="92"/>
      <c r="F924" s="94"/>
    </row>
    <row r="925" spans="1:6" x14ac:dyDescent="0.25">
      <c r="A925" s="86"/>
      <c r="B925" s="86"/>
      <c r="C925" s="88"/>
      <c r="D925" s="91"/>
      <c r="E925" s="92"/>
      <c r="F925" s="94"/>
    </row>
    <row r="926" spans="1:6" x14ac:dyDescent="0.25">
      <c r="A926" s="86"/>
      <c r="B926" s="86"/>
      <c r="C926" s="88"/>
      <c r="D926" s="91"/>
      <c r="E926" s="92"/>
      <c r="F926" s="94"/>
    </row>
    <row r="927" spans="1:6" x14ac:dyDescent="0.25">
      <c r="A927" s="86"/>
      <c r="B927" s="86"/>
      <c r="C927" s="88"/>
      <c r="D927" s="91"/>
      <c r="E927" s="92"/>
      <c r="F927" s="94"/>
    </row>
    <row r="928" spans="1:6" x14ac:dyDescent="0.25">
      <c r="A928" s="86"/>
      <c r="B928" s="86"/>
      <c r="C928" s="88"/>
      <c r="D928" s="91"/>
      <c r="E928" s="92"/>
      <c r="F928" s="94"/>
    </row>
    <row r="929" spans="1:6" x14ac:dyDescent="0.25">
      <c r="A929" s="86"/>
      <c r="B929" s="86"/>
      <c r="C929" s="88"/>
      <c r="D929" s="91"/>
      <c r="E929" s="92"/>
      <c r="F929" s="94"/>
    </row>
    <row r="930" spans="1:6" x14ac:dyDescent="0.25">
      <c r="A930" s="86"/>
      <c r="B930" s="86"/>
      <c r="C930" s="88"/>
      <c r="D930" s="91"/>
      <c r="E930" s="92"/>
      <c r="F930" s="94"/>
    </row>
    <row r="931" spans="1:6" x14ac:dyDescent="0.25">
      <c r="A931" s="86"/>
      <c r="B931" s="86"/>
      <c r="C931" s="88"/>
      <c r="D931" s="91"/>
      <c r="E931" s="92"/>
      <c r="F931" s="94"/>
    </row>
    <row r="932" spans="1:6" x14ac:dyDescent="0.25">
      <c r="A932" s="86"/>
      <c r="B932" s="86"/>
      <c r="C932" s="88"/>
      <c r="D932" s="91"/>
      <c r="E932" s="92"/>
      <c r="F932" s="94"/>
    </row>
    <row r="933" spans="1:6" x14ac:dyDescent="0.25">
      <c r="A933" s="86"/>
      <c r="B933" s="86"/>
      <c r="C933" s="88"/>
      <c r="D933" s="91"/>
      <c r="E933" s="92"/>
      <c r="F933" s="94"/>
    </row>
    <row r="934" spans="1:6" x14ac:dyDescent="0.25">
      <c r="A934" s="86"/>
      <c r="B934" s="86"/>
      <c r="C934" s="88"/>
      <c r="D934" s="91"/>
      <c r="E934" s="92"/>
      <c r="F934" s="94"/>
    </row>
    <row r="935" spans="1:6" x14ac:dyDescent="0.25">
      <c r="A935" s="86"/>
      <c r="B935" s="86"/>
      <c r="C935" s="88"/>
      <c r="D935" s="91"/>
      <c r="E935" s="92"/>
      <c r="F935" s="94"/>
    </row>
    <row r="936" spans="1:6" x14ac:dyDescent="0.25">
      <c r="A936" s="86"/>
      <c r="B936" s="86"/>
      <c r="C936" s="88"/>
      <c r="D936" s="91"/>
      <c r="E936" s="92"/>
      <c r="F936" s="94"/>
    </row>
    <row r="937" spans="1:6" x14ac:dyDescent="0.25">
      <c r="A937" s="86"/>
      <c r="B937" s="86"/>
      <c r="C937" s="88"/>
      <c r="D937" s="91"/>
      <c r="E937" s="92"/>
      <c r="F937" s="94"/>
    </row>
    <row r="938" spans="1:6" x14ac:dyDescent="0.25">
      <c r="A938" s="86"/>
      <c r="B938" s="86"/>
      <c r="C938" s="88"/>
      <c r="D938" s="91"/>
      <c r="E938" s="92"/>
      <c r="F938" s="94"/>
    </row>
    <row r="939" spans="1:6" x14ac:dyDescent="0.25">
      <c r="A939" s="86"/>
      <c r="B939" s="86"/>
      <c r="C939" s="88"/>
      <c r="D939" s="91"/>
      <c r="E939" s="92"/>
      <c r="F939" s="94"/>
    </row>
    <row r="940" spans="1:6" x14ac:dyDescent="0.25">
      <c r="A940" s="86"/>
      <c r="B940" s="86"/>
      <c r="C940" s="88"/>
      <c r="D940" s="91"/>
      <c r="E940" s="92"/>
      <c r="F940" s="94"/>
    </row>
    <row r="941" spans="1:6" x14ac:dyDescent="0.25">
      <c r="A941" s="86"/>
      <c r="B941" s="86"/>
      <c r="C941" s="88"/>
      <c r="D941" s="91"/>
      <c r="E941" s="92"/>
      <c r="F941" s="94"/>
    </row>
    <row r="942" spans="1:6" x14ac:dyDescent="0.25">
      <c r="A942" s="86"/>
      <c r="B942" s="86"/>
      <c r="C942" s="88"/>
      <c r="D942" s="91"/>
      <c r="E942" s="92"/>
      <c r="F942" s="94"/>
    </row>
    <row r="943" spans="1:6" x14ac:dyDescent="0.25">
      <c r="A943" s="86"/>
      <c r="B943" s="86"/>
      <c r="C943" s="88"/>
      <c r="D943" s="91"/>
      <c r="E943" s="92"/>
      <c r="F943" s="94"/>
    </row>
    <row r="944" spans="1:6" x14ac:dyDescent="0.25">
      <c r="A944" s="86"/>
      <c r="B944" s="86"/>
      <c r="C944" s="88"/>
      <c r="D944" s="91"/>
      <c r="E944" s="92"/>
      <c r="F944" s="94"/>
    </row>
    <row r="945" spans="1:6" x14ac:dyDescent="0.25">
      <c r="A945" s="86"/>
      <c r="B945" s="86"/>
      <c r="C945" s="88"/>
      <c r="D945" s="91"/>
      <c r="E945" s="92"/>
      <c r="F945" s="94"/>
    </row>
    <row r="946" spans="1:6" x14ac:dyDescent="0.25">
      <c r="A946" s="86"/>
      <c r="B946" s="86"/>
      <c r="C946" s="88"/>
      <c r="D946" s="91"/>
      <c r="E946" s="92"/>
      <c r="F946" s="94"/>
    </row>
    <row r="947" spans="1:6" x14ac:dyDescent="0.25">
      <c r="A947" s="86"/>
      <c r="B947" s="86"/>
      <c r="C947" s="88"/>
      <c r="D947" s="91"/>
      <c r="E947" s="92"/>
      <c r="F947" s="94"/>
    </row>
    <row r="948" spans="1:6" x14ac:dyDescent="0.25">
      <c r="A948" s="86"/>
      <c r="B948" s="86"/>
      <c r="C948" s="88"/>
      <c r="D948" s="91"/>
      <c r="E948" s="92"/>
      <c r="F948" s="94"/>
    </row>
    <row r="949" spans="1:6" x14ac:dyDescent="0.25">
      <c r="A949" s="86"/>
      <c r="B949" s="86"/>
      <c r="C949" s="88"/>
      <c r="D949" s="91"/>
      <c r="E949" s="92"/>
      <c r="F949" s="94"/>
    </row>
    <row r="950" spans="1:6" x14ac:dyDescent="0.25">
      <c r="A950" s="86"/>
      <c r="B950" s="86"/>
      <c r="C950" s="88"/>
      <c r="D950" s="91"/>
      <c r="E950" s="92"/>
      <c r="F950" s="94"/>
    </row>
    <row r="951" spans="1:6" x14ac:dyDescent="0.25">
      <c r="A951" s="86"/>
      <c r="B951" s="86"/>
      <c r="C951" s="88"/>
      <c r="D951" s="91"/>
      <c r="E951" s="92"/>
      <c r="F951" s="94"/>
    </row>
    <row r="952" spans="1:6" x14ac:dyDescent="0.25">
      <c r="A952" s="86"/>
      <c r="B952" s="86"/>
      <c r="C952" s="88"/>
      <c r="D952" s="91"/>
      <c r="E952" s="92"/>
      <c r="F952" s="94"/>
    </row>
    <row r="953" spans="1:6" x14ac:dyDescent="0.25">
      <c r="A953" s="86"/>
      <c r="B953" s="86"/>
      <c r="C953" s="88"/>
      <c r="D953" s="91"/>
      <c r="E953" s="92"/>
      <c r="F953" s="94"/>
    </row>
    <row r="954" spans="1:6" x14ac:dyDescent="0.25">
      <c r="A954" s="86"/>
      <c r="B954" s="86"/>
      <c r="C954" s="88"/>
      <c r="D954" s="91"/>
      <c r="E954" s="92"/>
      <c r="F954" s="94"/>
    </row>
    <row r="955" spans="1:6" x14ac:dyDescent="0.25">
      <c r="A955" s="86"/>
      <c r="B955" s="86"/>
      <c r="C955" s="88"/>
      <c r="D955" s="91"/>
      <c r="E955" s="92"/>
      <c r="F955" s="94"/>
    </row>
    <row r="956" spans="1:6" x14ac:dyDescent="0.25">
      <c r="A956" s="86"/>
      <c r="B956" s="86"/>
      <c r="C956" s="88"/>
      <c r="D956" s="91"/>
      <c r="E956" s="92"/>
      <c r="F956" s="94"/>
    </row>
    <row r="957" spans="1:6" x14ac:dyDescent="0.25">
      <c r="A957" s="86"/>
      <c r="B957" s="86"/>
      <c r="C957" s="88"/>
      <c r="D957" s="91"/>
      <c r="E957" s="92"/>
      <c r="F957" s="94"/>
    </row>
    <row r="958" spans="1:6" x14ac:dyDescent="0.25">
      <c r="A958" s="86"/>
      <c r="B958" s="86"/>
      <c r="C958" s="88"/>
      <c r="D958" s="91"/>
      <c r="E958" s="92"/>
      <c r="F958" s="94"/>
    </row>
    <row r="959" spans="1:6" x14ac:dyDescent="0.25">
      <c r="A959" s="86"/>
      <c r="B959" s="86"/>
      <c r="C959" s="88"/>
      <c r="D959" s="91"/>
      <c r="E959" s="92"/>
      <c r="F959" s="94"/>
    </row>
    <row r="960" spans="1:6" x14ac:dyDescent="0.25">
      <c r="A960" s="86"/>
      <c r="B960" s="86"/>
      <c r="C960" s="88"/>
      <c r="D960" s="91"/>
      <c r="E960" s="92"/>
      <c r="F960" s="94"/>
    </row>
    <row r="961" spans="1:6" x14ac:dyDescent="0.25">
      <c r="A961" s="86"/>
      <c r="B961" s="86"/>
      <c r="C961" s="88"/>
      <c r="D961" s="91"/>
      <c r="E961" s="92"/>
      <c r="F961" s="94"/>
    </row>
    <row r="962" spans="1:6" x14ac:dyDescent="0.25">
      <c r="A962" s="86"/>
      <c r="B962" s="86"/>
      <c r="C962" s="88"/>
      <c r="D962" s="91"/>
      <c r="E962" s="92"/>
      <c r="F962" s="94"/>
    </row>
    <row r="963" spans="1:6" x14ac:dyDescent="0.25">
      <c r="A963" s="86"/>
      <c r="B963" s="86"/>
      <c r="C963" s="88"/>
      <c r="D963" s="91"/>
      <c r="E963" s="92"/>
      <c r="F963" s="94"/>
    </row>
    <row r="964" spans="1:6" x14ac:dyDescent="0.25">
      <c r="A964" s="86"/>
      <c r="B964" s="86"/>
      <c r="C964" s="88"/>
      <c r="D964" s="91"/>
      <c r="E964" s="92"/>
      <c r="F964" s="94"/>
    </row>
    <row r="965" spans="1:6" x14ac:dyDescent="0.25">
      <c r="A965" s="86"/>
      <c r="B965" s="86"/>
      <c r="C965" s="88"/>
      <c r="D965" s="91"/>
      <c r="E965" s="92"/>
      <c r="F965" s="94"/>
    </row>
    <row r="966" spans="1:6" x14ac:dyDescent="0.25">
      <c r="A966" s="86"/>
      <c r="B966" s="86"/>
      <c r="C966" s="88"/>
      <c r="D966" s="91"/>
      <c r="E966" s="92"/>
      <c r="F966" s="94"/>
    </row>
    <row r="967" spans="1:6" x14ac:dyDescent="0.25">
      <c r="A967" s="86"/>
      <c r="B967" s="86"/>
      <c r="C967" s="88"/>
      <c r="D967" s="91"/>
      <c r="E967" s="92"/>
      <c r="F967" s="94"/>
    </row>
    <row r="968" spans="1:6" x14ac:dyDescent="0.25">
      <c r="A968" s="86"/>
      <c r="B968" s="86"/>
      <c r="C968" s="88"/>
      <c r="D968" s="91"/>
      <c r="E968" s="92"/>
      <c r="F968" s="94"/>
    </row>
    <row r="969" spans="1:6" x14ac:dyDescent="0.25">
      <c r="A969" s="86"/>
      <c r="B969" s="86"/>
      <c r="C969" s="88"/>
      <c r="D969" s="91"/>
      <c r="E969" s="92"/>
      <c r="F969" s="94"/>
    </row>
    <row r="970" spans="1:6" x14ac:dyDescent="0.25">
      <c r="A970" s="86"/>
      <c r="B970" s="86"/>
      <c r="C970" s="88"/>
      <c r="D970" s="91"/>
      <c r="E970" s="92"/>
      <c r="F970" s="94"/>
    </row>
    <row r="971" spans="1:6" x14ac:dyDescent="0.25">
      <c r="A971" s="86"/>
      <c r="B971" s="86"/>
      <c r="C971" s="88"/>
      <c r="D971" s="91"/>
      <c r="E971" s="92"/>
      <c r="F971" s="94"/>
    </row>
    <row r="972" spans="1:6" x14ac:dyDescent="0.25">
      <c r="A972" s="86"/>
      <c r="B972" s="86"/>
      <c r="C972" s="88"/>
      <c r="D972" s="91"/>
      <c r="E972" s="92"/>
      <c r="F972" s="94"/>
    </row>
    <row r="973" spans="1:6" x14ac:dyDescent="0.25">
      <c r="A973" s="86"/>
      <c r="B973" s="86"/>
      <c r="C973" s="88"/>
      <c r="D973" s="91"/>
      <c r="E973" s="92"/>
      <c r="F973" s="94"/>
    </row>
    <row r="974" spans="1:6" x14ac:dyDescent="0.25">
      <c r="A974" s="86"/>
      <c r="B974" s="86"/>
      <c r="C974" s="88"/>
      <c r="D974" s="91"/>
      <c r="E974" s="92"/>
      <c r="F974" s="94"/>
    </row>
    <row r="975" spans="1:6" x14ac:dyDescent="0.25">
      <c r="A975" s="86"/>
      <c r="B975" s="86"/>
      <c r="C975" s="88"/>
      <c r="D975" s="91"/>
      <c r="E975" s="92"/>
      <c r="F975" s="94"/>
    </row>
    <row r="976" spans="1:6" x14ac:dyDescent="0.25">
      <c r="A976" s="86"/>
      <c r="B976" s="86"/>
      <c r="C976" s="88"/>
      <c r="D976" s="91"/>
      <c r="E976" s="92"/>
      <c r="F976" s="94"/>
    </row>
    <row r="977" spans="1:6" x14ac:dyDescent="0.25">
      <c r="A977" s="86"/>
      <c r="B977" s="86"/>
      <c r="C977" s="88"/>
      <c r="D977" s="91"/>
      <c r="E977" s="92"/>
      <c r="F977" s="94"/>
    </row>
    <row r="978" spans="1:6" x14ac:dyDescent="0.25">
      <c r="A978" s="86"/>
      <c r="B978" s="86"/>
      <c r="C978" s="88"/>
      <c r="D978" s="91"/>
      <c r="E978" s="92"/>
      <c r="F978" s="94"/>
    </row>
    <row r="979" spans="1:6" x14ac:dyDescent="0.25">
      <c r="A979" s="86"/>
      <c r="B979" s="86"/>
      <c r="C979" s="88"/>
      <c r="D979" s="91"/>
      <c r="E979" s="92"/>
      <c r="F979" s="94"/>
    </row>
    <row r="980" spans="1:6" x14ac:dyDescent="0.25">
      <c r="A980" s="86"/>
      <c r="B980" s="86"/>
      <c r="C980" s="88"/>
      <c r="D980" s="91"/>
      <c r="E980" s="92"/>
      <c r="F980" s="94"/>
    </row>
    <row r="981" spans="1:6" x14ac:dyDescent="0.25">
      <c r="A981" s="86"/>
      <c r="B981" s="86"/>
      <c r="C981" s="88"/>
      <c r="D981" s="91"/>
      <c r="E981" s="92"/>
      <c r="F981" s="94"/>
    </row>
    <row r="982" spans="1:6" x14ac:dyDescent="0.25">
      <c r="A982" s="86"/>
      <c r="B982" s="86"/>
      <c r="C982" s="88"/>
      <c r="D982" s="91"/>
      <c r="E982" s="92"/>
      <c r="F982" s="94"/>
    </row>
    <row r="983" spans="1:6" x14ac:dyDescent="0.25">
      <c r="A983" s="86"/>
      <c r="B983" s="86"/>
      <c r="C983" s="88"/>
      <c r="D983" s="91"/>
      <c r="E983" s="92"/>
      <c r="F983" s="94"/>
    </row>
    <row r="984" spans="1:6" x14ac:dyDescent="0.25">
      <c r="A984" s="86"/>
      <c r="B984" s="86"/>
      <c r="C984" s="88"/>
      <c r="D984" s="91"/>
      <c r="E984" s="92"/>
      <c r="F984" s="94"/>
    </row>
    <row r="985" spans="1:6" x14ac:dyDescent="0.25">
      <c r="A985" s="86"/>
      <c r="B985" s="86"/>
      <c r="C985" s="88"/>
      <c r="D985" s="91"/>
      <c r="E985" s="92"/>
      <c r="F985" s="94"/>
    </row>
    <row r="986" spans="1:6" x14ac:dyDescent="0.25">
      <c r="A986" s="86"/>
      <c r="B986" s="86"/>
      <c r="C986" s="88"/>
      <c r="D986" s="91"/>
      <c r="E986" s="92"/>
      <c r="F986" s="94"/>
    </row>
    <row r="987" spans="1:6" x14ac:dyDescent="0.25">
      <c r="A987" s="86"/>
      <c r="B987" s="86"/>
      <c r="C987" s="88"/>
      <c r="D987" s="91"/>
      <c r="E987" s="92"/>
      <c r="F987" s="94"/>
    </row>
    <row r="988" spans="1:6" x14ac:dyDescent="0.25">
      <c r="A988" s="86"/>
      <c r="B988" s="86"/>
      <c r="C988" s="88"/>
      <c r="D988" s="91"/>
      <c r="E988" s="92"/>
      <c r="F988" s="94"/>
    </row>
    <row r="989" spans="1:6" x14ac:dyDescent="0.25">
      <c r="A989" s="86"/>
      <c r="B989" s="86"/>
      <c r="C989" s="88"/>
      <c r="D989" s="91"/>
      <c r="E989" s="92"/>
      <c r="F989" s="94"/>
    </row>
    <row r="990" spans="1:6" x14ac:dyDescent="0.25">
      <c r="A990" s="86"/>
      <c r="B990" s="86"/>
      <c r="C990" s="88"/>
      <c r="D990" s="91"/>
      <c r="E990" s="92"/>
      <c r="F990" s="94"/>
    </row>
    <row r="991" spans="1:6" x14ac:dyDescent="0.25">
      <c r="A991" s="86"/>
      <c r="B991" s="86"/>
      <c r="C991" s="88"/>
      <c r="D991" s="91"/>
      <c r="E991" s="92"/>
      <c r="F991" s="94"/>
    </row>
    <row r="992" spans="1:6" x14ac:dyDescent="0.25">
      <c r="A992" s="86"/>
      <c r="B992" s="86"/>
      <c r="C992" s="88"/>
      <c r="D992" s="91"/>
      <c r="E992" s="92"/>
      <c r="F992" s="94"/>
    </row>
    <row r="993" spans="1:6" x14ac:dyDescent="0.25">
      <c r="A993" s="86"/>
      <c r="B993" s="86"/>
      <c r="C993" s="88"/>
      <c r="D993" s="91"/>
      <c r="E993" s="92"/>
      <c r="F993" s="94"/>
    </row>
    <row r="994" spans="1:6" x14ac:dyDescent="0.25">
      <c r="A994" s="86"/>
      <c r="B994" s="86"/>
      <c r="C994" s="88"/>
      <c r="D994" s="91"/>
      <c r="E994" s="92"/>
      <c r="F994" s="94"/>
    </row>
    <row r="995" spans="1:6" x14ac:dyDescent="0.25">
      <c r="A995" s="86"/>
      <c r="B995" s="86"/>
      <c r="C995" s="88"/>
      <c r="D995" s="91"/>
      <c r="E995" s="92"/>
      <c r="F995" s="94"/>
    </row>
    <row r="996" spans="1:6" x14ac:dyDescent="0.25">
      <c r="A996" s="86"/>
      <c r="B996" s="86"/>
      <c r="C996" s="88"/>
      <c r="D996" s="91"/>
      <c r="E996" s="92"/>
      <c r="F996" s="94"/>
    </row>
    <row r="997" spans="1:6" x14ac:dyDescent="0.25">
      <c r="A997" s="86"/>
      <c r="B997" s="86"/>
      <c r="C997" s="88"/>
      <c r="D997" s="91"/>
      <c r="E997" s="92"/>
      <c r="F997" s="94"/>
    </row>
    <row r="998" spans="1:6" x14ac:dyDescent="0.25">
      <c r="A998" s="86"/>
      <c r="B998" s="86"/>
      <c r="C998" s="88"/>
      <c r="D998" s="91"/>
      <c r="E998" s="92"/>
      <c r="F998" s="94"/>
    </row>
    <row r="999" spans="1:6" x14ac:dyDescent="0.25">
      <c r="A999" s="86"/>
      <c r="B999" s="86"/>
      <c r="C999" s="88"/>
      <c r="D999" s="91"/>
      <c r="E999" s="92"/>
      <c r="F999" s="94"/>
    </row>
    <row r="1000" spans="1:6" x14ac:dyDescent="0.25">
      <c r="A1000" s="86"/>
      <c r="B1000" s="86"/>
      <c r="C1000" s="88"/>
      <c r="D1000" s="91"/>
      <c r="E1000" s="92"/>
      <c r="F1000" s="94"/>
    </row>
    <row r="1001" spans="1:6" x14ac:dyDescent="0.25">
      <c r="A1001" s="86"/>
      <c r="B1001" s="86"/>
      <c r="C1001" s="88"/>
      <c r="D1001" s="91"/>
      <c r="E1001" s="92"/>
      <c r="F1001" s="94"/>
    </row>
    <row r="1002" spans="1:6" x14ac:dyDescent="0.25">
      <c r="A1002" s="86"/>
      <c r="B1002" s="86"/>
      <c r="C1002" s="88"/>
      <c r="D1002" s="91"/>
      <c r="E1002" s="92"/>
      <c r="F1002" s="94"/>
    </row>
    <row r="1003" spans="1:6" x14ac:dyDescent="0.25">
      <c r="A1003" s="86"/>
      <c r="B1003" s="86"/>
      <c r="C1003" s="88"/>
      <c r="D1003" s="91"/>
      <c r="E1003" s="92"/>
      <c r="F1003" s="94"/>
    </row>
    <row r="1004" spans="1:6" x14ac:dyDescent="0.25">
      <c r="A1004" s="86"/>
      <c r="B1004" s="86"/>
      <c r="C1004" s="88"/>
      <c r="D1004" s="91"/>
      <c r="E1004" s="92"/>
      <c r="F1004" s="94"/>
    </row>
    <row r="1005" spans="1:6" x14ac:dyDescent="0.25">
      <c r="A1005" s="86"/>
      <c r="B1005" s="86"/>
      <c r="C1005" s="88"/>
      <c r="D1005" s="91"/>
      <c r="E1005" s="92"/>
      <c r="F1005" s="94"/>
    </row>
    <row r="1006" spans="1:6" x14ac:dyDescent="0.25">
      <c r="A1006" s="86"/>
      <c r="B1006" s="86"/>
      <c r="C1006" s="88"/>
      <c r="D1006" s="91"/>
      <c r="E1006" s="92"/>
      <c r="F1006" s="94"/>
    </row>
    <row r="1007" spans="1:6" x14ac:dyDescent="0.25">
      <c r="A1007" s="86"/>
      <c r="B1007" s="86"/>
      <c r="C1007" s="88"/>
      <c r="D1007" s="91"/>
      <c r="E1007" s="92"/>
      <c r="F1007" s="94"/>
    </row>
    <row r="1008" spans="1:6" x14ac:dyDescent="0.25">
      <c r="A1008" s="86"/>
      <c r="B1008" s="86"/>
      <c r="C1008" s="88"/>
      <c r="D1008" s="91"/>
      <c r="E1008" s="92"/>
      <c r="F1008" s="94"/>
    </row>
    <row r="1009" spans="1:6" x14ac:dyDescent="0.25">
      <c r="A1009" s="86"/>
      <c r="B1009" s="86"/>
      <c r="C1009" s="88"/>
      <c r="D1009" s="91"/>
      <c r="E1009" s="92"/>
      <c r="F1009" s="94"/>
    </row>
    <row r="1010" spans="1:6" x14ac:dyDescent="0.25">
      <c r="A1010" s="86"/>
      <c r="B1010" s="86"/>
      <c r="C1010" s="88"/>
      <c r="D1010" s="91"/>
      <c r="E1010" s="92"/>
      <c r="F1010" s="94"/>
    </row>
    <row r="1011" spans="1:6" x14ac:dyDescent="0.25">
      <c r="A1011" s="86"/>
      <c r="B1011" s="86"/>
      <c r="C1011" s="88"/>
      <c r="D1011" s="91"/>
      <c r="E1011" s="92"/>
      <c r="F1011" s="94"/>
    </row>
    <row r="1012" spans="1:6" x14ac:dyDescent="0.25">
      <c r="A1012" s="86"/>
      <c r="B1012" s="86"/>
      <c r="C1012" s="88"/>
      <c r="D1012" s="91"/>
      <c r="E1012" s="92"/>
      <c r="F1012" s="94"/>
    </row>
    <row r="1013" spans="1:6" x14ac:dyDescent="0.25">
      <c r="A1013" s="86"/>
      <c r="B1013" s="86"/>
      <c r="C1013" s="88"/>
      <c r="D1013" s="91"/>
      <c r="E1013" s="92"/>
      <c r="F1013" s="94"/>
    </row>
    <row r="1014" spans="1:6" x14ac:dyDescent="0.25">
      <c r="A1014" s="86"/>
      <c r="B1014" s="86"/>
      <c r="C1014" s="88"/>
      <c r="D1014" s="91"/>
      <c r="E1014" s="92"/>
      <c r="F1014" s="94"/>
    </row>
    <row r="1015" spans="1:6" x14ac:dyDescent="0.25">
      <c r="A1015" s="86"/>
      <c r="B1015" s="86"/>
      <c r="C1015" s="88"/>
      <c r="D1015" s="91"/>
      <c r="E1015" s="92"/>
      <c r="F1015" s="94"/>
    </row>
    <row r="1016" spans="1:6" x14ac:dyDescent="0.25">
      <c r="A1016" s="86"/>
      <c r="B1016" s="86"/>
      <c r="C1016" s="88"/>
      <c r="D1016" s="91"/>
      <c r="E1016" s="92"/>
      <c r="F1016" s="94"/>
    </row>
    <row r="1017" spans="1:6" x14ac:dyDescent="0.25">
      <c r="A1017" s="86"/>
      <c r="B1017" s="86"/>
      <c r="C1017" s="88"/>
      <c r="D1017" s="91"/>
      <c r="E1017" s="92"/>
      <c r="F1017" s="9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_Init1() R'!A1" display="'DigColPs_Init1() R'!A1"/>
    <hyperlink ref="A18" location="'DigColPs_Init1() P'!A1" display="'DigColPs_Init1() P'!A1"/>
    <hyperlink ref="A19" location="'DigColPs_Init1() M'!A1" display="'DigColPs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G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29.42578125" bestFit="1" customWidth="1"/>
    <col min="3" max="3" width="3.28515625" bestFit="1" customWidth="1"/>
    <col min="4" max="4" width="4" bestFit="1" customWidth="1"/>
    <col min="5" max="5" width="3.28515625" bestFit="1" customWidth="1"/>
    <col min="6" max="9" width="4" bestFit="1" customWidth="1"/>
    <col min="10" max="11" width="11" bestFit="1" customWidth="1"/>
    <col min="12" max="12" width="6" bestFit="1" customWidth="1"/>
    <col min="13" max="13" width="3.28515625" bestFit="1" customWidth="1"/>
    <col min="14" max="14" width="7.28515625" bestFit="1" customWidth="1"/>
    <col min="15" max="22" width="3.28515625" bestFit="1" customWidth="1"/>
    <col min="23" max="32" width="3.28515625" customWidth="1"/>
    <col min="33" max="35" width="7.28515625" bestFit="1" customWidth="1"/>
    <col min="36" max="37" width="12" bestFit="1" customWidth="1"/>
    <col min="38" max="40" width="7.28515625" bestFit="1" customWidth="1"/>
    <col min="41" max="42" width="11" bestFit="1" customWidth="1"/>
    <col min="43" max="56" width="7.28515625" bestFit="1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279" t="s">
        <v>241</v>
      </c>
      <c r="B1" s="280"/>
      <c r="C1" s="45" t="s">
        <v>160</v>
      </c>
      <c r="D1" s="58" t="s">
        <v>159</v>
      </c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43"/>
      <c r="BF1" s="43"/>
      <c r="BG1" s="44"/>
    </row>
    <row r="2" spans="1:59" ht="60" customHeight="1" x14ac:dyDescent="0.25">
      <c r="A2" s="281" t="s">
        <v>99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64" t="s">
        <v>239</v>
      </c>
      <c r="O2" s="49" t="s">
        <v>151</v>
      </c>
      <c r="P2" s="26" t="s">
        <v>151</v>
      </c>
      <c r="Q2" s="26" t="s">
        <v>151</v>
      </c>
      <c r="R2" s="26" t="s">
        <v>151</v>
      </c>
      <c r="S2" s="26" t="s">
        <v>151</v>
      </c>
      <c r="T2" s="26" t="s">
        <v>151</v>
      </c>
      <c r="U2" s="26" t="s">
        <v>151</v>
      </c>
      <c r="V2" s="26" t="s">
        <v>151</v>
      </c>
      <c r="W2" s="26" t="s">
        <v>151</v>
      </c>
      <c r="X2" s="26" t="s">
        <v>151</v>
      </c>
      <c r="Y2" s="26" t="s">
        <v>151</v>
      </c>
      <c r="Z2" s="26" t="s">
        <v>151</v>
      </c>
      <c r="AA2" s="26" t="s">
        <v>151</v>
      </c>
      <c r="AB2" s="26" t="s">
        <v>151</v>
      </c>
      <c r="AC2" s="26" t="s">
        <v>151</v>
      </c>
      <c r="AD2" s="26" t="s">
        <v>151</v>
      </c>
      <c r="AE2" s="26" t="s">
        <v>151</v>
      </c>
      <c r="AF2" s="26" t="s">
        <v>151</v>
      </c>
      <c r="AG2" s="27" t="s">
        <v>152</v>
      </c>
      <c r="AH2" s="27" t="s">
        <v>152</v>
      </c>
      <c r="AI2" s="27" t="s">
        <v>152</v>
      </c>
      <c r="AJ2" s="28" t="s">
        <v>153</v>
      </c>
      <c r="AK2" s="28" t="s">
        <v>153</v>
      </c>
      <c r="AL2" s="28" t="s">
        <v>153</v>
      </c>
      <c r="AM2" s="28" t="s">
        <v>153</v>
      </c>
      <c r="AN2" s="28" t="s">
        <v>153</v>
      </c>
      <c r="AO2" s="28" t="s">
        <v>153</v>
      </c>
      <c r="AP2" s="28" t="s">
        <v>153</v>
      </c>
      <c r="AQ2" s="28" t="s">
        <v>153</v>
      </c>
      <c r="AR2" s="28" t="s">
        <v>153</v>
      </c>
      <c r="AS2" s="28" t="s">
        <v>153</v>
      </c>
      <c r="AT2" s="28" t="s">
        <v>153</v>
      </c>
      <c r="AU2" s="28" t="s">
        <v>153</v>
      </c>
      <c r="AV2" s="28" t="s">
        <v>153</v>
      </c>
      <c r="AW2" s="28" t="s">
        <v>153</v>
      </c>
      <c r="AX2" s="28" t="s">
        <v>153</v>
      </c>
      <c r="AY2" s="28" t="s">
        <v>153</v>
      </c>
      <c r="AZ2" s="28" t="s">
        <v>153</v>
      </c>
      <c r="BA2" s="28" t="s">
        <v>153</v>
      </c>
      <c r="BB2" s="28" t="s">
        <v>154</v>
      </c>
      <c r="BC2" s="28" t="s">
        <v>154</v>
      </c>
      <c r="BD2" s="28" t="s">
        <v>154</v>
      </c>
      <c r="BE2" s="29" t="s">
        <v>21</v>
      </c>
      <c r="BF2" s="29" t="s">
        <v>156</v>
      </c>
      <c r="BG2" s="30" t="s">
        <v>158</v>
      </c>
    </row>
    <row r="3" spans="1:59" ht="192.75" x14ac:dyDescent="0.25">
      <c r="A3" s="31" t="s">
        <v>148</v>
      </c>
      <c r="B3" s="32" t="s">
        <v>149</v>
      </c>
      <c r="C3" s="33" t="s">
        <v>66</v>
      </c>
      <c r="D3" s="33" t="s">
        <v>296</v>
      </c>
      <c r="E3" s="33" t="s">
        <v>67</v>
      </c>
      <c r="F3" s="33" t="s">
        <v>297</v>
      </c>
      <c r="G3" s="33" t="s">
        <v>258</v>
      </c>
      <c r="H3" s="33" t="s">
        <v>259</v>
      </c>
      <c r="I3" s="33" t="s">
        <v>274</v>
      </c>
      <c r="J3" s="33" t="s">
        <v>287</v>
      </c>
      <c r="K3" s="33" t="s">
        <v>288</v>
      </c>
      <c r="L3" s="33" t="s">
        <v>289</v>
      </c>
      <c r="M3" s="33" t="s">
        <v>570</v>
      </c>
      <c r="N3" s="33" t="s">
        <v>572</v>
      </c>
      <c r="O3" s="34" t="s">
        <v>296</v>
      </c>
      <c r="P3" s="34" t="s">
        <v>297</v>
      </c>
      <c r="Q3" s="34" t="s">
        <v>258</v>
      </c>
      <c r="R3" s="34" t="s">
        <v>259</v>
      </c>
      <c r="S3" s="34" t="s">
        <v>274</v>
      </c>
      <c r="T3" s="34" t="s">
        <v>287</v>
      </c>
      <c r="U3" s="34" t="s">
        <v>288</v>
      </c>
      <c r="V3" s="34" t="s">
        <v>289</v>
      </c>
      <c r="W3" s="34" t="s">
        <v>380</v>
      </c>
      <c r="X3" s="34" t="s">
        <v>381</v>
      </c>
      <c r="Y3" s="34" t="s">
        <v>382</v>
      </c>
      <c r="Z3" s="34" t="s">
        <v>123</v>
      </c>
      <c r="AA3" s="34" t="s">
        <v>124</v>
      </c>
      <c r="AB3" s="34" t="s">
        <v>125</v>
      </c>
      <c r="AC3" s="34" t="s">
        <v>563</v>
      </c>
      <c r="AD3" s="34" t="s">
        <v>564</v>
      </c>
      <c r="AE3" s="34" t="s">
        <v>571</v>
      </c>
      <c r="AF3" s="34" t="s">
        <v>574</v>
      </c>
      <c r="AG3" s="34" t="s">
        <v>240</v>
      </c>
      <c r="AH3" s="34" t="s">
        <v>55</v>
      </c>
      <c r="AI3" s="34" t="s">
        <v>572</v>
      </c>
      <c r="AJ3" s="35" t="s">
        <v>296</v>
      </c>
      <c r="AK3" s="35" t="s">
        <v>297</v>
      </c>
      <c r="AL3" s="35" t="s">
        <v>258</v>
      </c>
      <c r="AM3" s="35" t="s">
        <v>259</v>
      </c>
      <c r="AN3" s="35" t="s">
        <v>274</v>
      </c>
      <c r="AO3" s="35" t="s">
        <v>287</v>
      </c>
      <c r="AP3" s="35" t="s">
        <v>288</v>
      </c>
      <c r="AQ3" s="35" t="s">
        <v>289</v>
      </c>
      <c r="AR3" s="35" t="s">
        <v>380</v>
      </c>
      <c r="AS3" s="35" t="s">
        <v>381</v>
      </c>
      <c r="AT3" s="35" t="s">
        <v>382</v>
      </c>
      <c r="AU3" s="35" t="s">
        <v>123</v>
      </c>
      <c r="AV3" s="35" t="s">
        <v>124</v>
      </c>
      <c r="AW3" s="35" t="s">
        <v>125</v>
      </c>
      <c r="AX3" s="35" t="s">
        <v>563</v>
      </c>
      <c r="AY3" s="35" t="s">
        <v>564</v>
      </c>
      <c r="AZ3" s="35" t="s">
        <v>571</v>
      </c>
      <c r="BA3" s="35" t="s">
        <v>574</v>
      </c>
      <c r="BB3" s="35" t="s">
        <v>240</v>
      </c>
      <c r="BC3" s="35" t="s">
        <v>55</v>
      </c>
      <c r="BD3" s="35" t="s">
        <v>572</v>
      </c>
      <c r="BE3" s="29" t="s">
        <v>155</v>
      </c>
      <c r="BF3" s="29" t="s">
        <v>157</v>
      </c>
      <c r="BG3" s="30"/>
    </row>
    <row r="4" spans="1:59" ht="60" customHeight="1" x14ac:dyDescent="0.25">
      <c r="A4" s="36">
        <v>1</v>
      </c>
      <c r="B4" s="69" t="s">
        <v>365</v>
      </c>
      <c r="C4" s="46">
        <v>2</v>
      </c>
      <c r="D4" s="46">
        <v>0.2</v>
      </c>
      <c r="E4" s="46">
        <v>9</v>
      </c>
      <c r="F4" s="46">
        <v>0.6</v>
      </c>
      <c r="G4" s="46">
        <v>200</v>
      </c>
      <c r="H4" s="46">
        <v>220</v>
      </c>
      <c r="I4" s="46">
        <v>124</v>
      </c>
      <c r="J4" s="46">
        <v>3166175231</v>
      </c>
      <c r="K4" s="46">
        <v>3164864511</v>
      </c>
      <c r="L4" s="46">
        <v>2500</v>
      </c>
      <c r="M4" s="46">
        <v>0</v>
      </c>
      <c r="N4" s="46">
        <v>124</v>
      </c>
      <c r="O4" s="37" t="s">
        <v>159</v>
      </c>
      <c r="P4" s="37" t="s">
        <v>159</v>
      </c>
      <c r="Q4" s="37" t="s">
        <v>159</v>
      </c>
      <c r="R4" s="37" t="s">
        <v>159</v>
      </c>
      <c r="S4" s="37" t="s">
        <v>159</v>
      </c>
      <c r="T4" s="37" t="s">
        <v>159</v>
      </c>
      <c r="U4" s="37" t="s">
        <v>159</v>
      </c>
      <c r="V4" s="37" t="s">
        <v>159</v>
      </c>
      <c r="W4" s="37" t="s">
        <v>159</v>
      </c>
      <c r="X4" s="37" t="s">
        <v>159</v>
      </c>
      <c r="Y4" s="37" t="s">
        <v>159</v>
      </c>
      <c r="Z4" s="37" t="s">
        <v>159</v>
      </c>
      <c r="AA4" s="37" t="s">
        <v>159</v>
      </c>
      <c r="AB4" s="37" t="s">
        <v>159</v>
      </c>
      <c r="AC4" s="37" t="s">
        <v>159</v>
      </c>
      <c r="AD4" s="37" t="s">
        <v>159</v>
      </c>
      <c r="AE4" s="37" t="s">
        <v>159</v>
      </c>
      <c r="AF4" s="37" t="s">
        <v>159</v>
      </c>
      <c r="AG4" s="37" t="s">
        <v>159</v>
      </c>
      <c r="AH4" s="37" t="s">
        <v>159</v>
      </c>
      <c r="AI4" s="37" t="s">
        <v>159</v>
      </c>
      <c r="AJ4" s="46">
        <v>2.4819543215556999E-2</v>
      </c>
      <c r="AK4" s="46">
        <v>0.106936270945362</v>
      </c>
      <c r="AL4" s="46">
        <v>0</v>
      </c>
      <c r="AM4" s="46">
        <v>0</v>
      </c>
      <c r="AN4" s="46">
        <v>4488</v>
      </c>
      <c r="AO4" s="46">
        <v>4294967295</v>
      </c>
      <c r="AP4" s="46">
        <v>4294967295</v>
      </c>
      <c r="AQ4" s="46">
        <v>61047</v>
      </c>
      <c r="AR4" s="46">
        <v>0</v>
      </c>
      <c r="AS4" s="46">
        <v>0</v>
      </c>
      <c r="AT4" s="46">
        <v>4488</v>
      </c>
      <c r="AU4" s="46">
        <v>504</v>
      </c>
      <c r="AV4" s="46">
        <v>2</v>
      </c>
      <c r="AW4" s="46">
        <v>1</v>
      </c>
      <c r="AX4" s="46">
        <v>0</v>
      </c>
      <c r="AY4" s="46">
        <v>0</v>
      </c>
      <c r="AZ4" s="46">
        <v>0</v>
      </c>
      <c r="BA4" s="46">
        <v>124</v>
      </c>
      <c r="BB4" s="46">
        <v>1</v>
      </c>
      <c r="BC4" s="46">
        <v>1</v>
      </c>
      <c r="BD4" s="46">
        <v>1</v>
      </c>
      <c r="BE4" s="50" t="s">
        <v>159</v>
      </c>
      <c r="BF4" s="37"/>
      <c r="BG4" s="38"/>
    </row>
    <row r="5" spans="1:59" ht="60" customHeight="1" thickBot="1" x14ac:dyDescent="0.3">
      <c r="A5" s="39">
        <v>2</v>
      </c>
      <c r="B5" s="68" t="s">
        <v>366</v>
      </c>
      <c r="C5" s="47">
        <v>1</v>
      </c>
      <c r="D5" s="47">
        <v>0.1</v>
      </c>
      <c r="E5" s="47">
        <v>8</v>
      </c>
      <c r="F5" s="47">
        <v>0.5</v>
      </c>
      <c r="G5" s="47">
        <v>180</v>
      </c>
      <c r="H5" s="47">
        <v>200</v>
      </c>
      <c r="I5" s="47">
        <v>100</v>
      </c>
      <c r="J5" s="47">
        <v>3167485951</v>
      </c>
      <c r="K5" s="47">
        <v>3166175231</v>
      </c>
      <c r="L5" s="47">
        <v>65435</v>
      </c>
      <c r="M5" s="47">
        <v>1</v>
      </c>
      <c r="N5" s="47">
        <v>33357</v>
      </c>
      <c r="O5" s="40" t="s">
        <v>159</v>
      </c>
      <c r="P5" s="40" t="s">
        <v>159</v>
      </c>
      <c r="Q5" s="40" t="s">
        <v>159</v>
      </c>
      <c r="R5" s="40" t="s">
        <v>159</v>
      </c>
      <c r="S5" s="40" t="s">
        <v>159</v>
      </c>
      <c r="T5" s="40" t="s">
        <v>159</v>
      </c>
      <c r="U5" s="40" t="s">
        <v>159</v>
      </c>
      <c r="V5" s="40" t="s">
        <v>159</v>
      </c>
      <c r="W5" s="40" t="s">
        <v>159</v>
      </c>
      <c r="X5" s="40" t="s">
        <v>159</v>
      </c>
      <c r="Y5" s="40" t="s">
        <v>159</v>
      </c>
      <c r="Z5" s="40" t="s">
        <v>159</v>
      </c>
      <c r="AA5" s="40" t="s">
        <v>159</v>
      </c>
      <c r="AB5" s="40" t="s">
        <v>159</v>
      </c>
      <c r="AC5" s="40" t="s">
        <v>159</v>
      </c>
      <c r="AD5" s="40" t="s">
        <v>159</v>
      </c>
      <c r="AE5" s="40" t="s">
        <v>159</v>
      </c>
      <c r="AF5" s="40" t="s">
        <v>159</v>
      </c>
      <c r="AG5" s="40" t="s">
        <v>159</v>
      </c>
      <c r="AH5" s="40" t="s">
        <v>159</v>
      </c>
      <c r="AI5" s="40" t="s">
        <v>159</v>
      </c>
      <c r="AJ5" s="47">
        <v>1.2487743476344E-2</v>
      </c>
      <c r="AK5" s="47">
        <v>9.5642891361678806E-2</v>
      </c>
      <c r="AL5" s="47">
        <v>180</v>
      </c>
      <c r="AM5" s="47">
        <v>200</v>
      </c>
      <c r="AN5" s="47">
        <v>100</v>
      </c>
      <c r="AO5" s="47">
        <v>3167485951</v>
      </c>
      <c r="AP5" s="47">
        <v>3166175231</v>
      </c>
      <c r="AQ5" s="47">
        <v>65435</v>
      </c>
      <c r="AR5" s="47">
        <v>0</v>
      </c>
      <c r="AS5" s="47">
        <v>0</v>
      </c>
      <c r="AT5" s="47">
        <v>4488</v>
      </c>
      <c r="AU5" s="47">
        <v>504</v>
      </c>
      <c r="AV5" s="47">
        <v>0</v>
      </c>
      <c r="AW5" s="47">
        <v>0</v>
      </c>
      <c r="AX5" s="47">
        <v>0</v>
      </c>
      <c r="AY5" s="47">
        <v>0</v>
      </c>
      <c r="AZ5" s="47">
        <v>1</v>
      </c>
      <c r="BA5" s="47">
        <v>33357</v>
      </c>
      <c r="BB5" s="47">
        <v>1</v>
      </c>
      <c r="BC5" s="47">
        <v>1</v>
      </c>
      <c r="BD5" s="47">
        <v>1</v>
      </c>
      <c r="BE5" s="51" t="s">
        <v>159</v>
      </c>
      <c r="BF5" s="40"/>
      <c r="BG5" s="41"/>
    </row>
    <row r="6" spans="1:59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</row>
    <row r="7" spans="1:59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</row>
    <row r="8" spans="1:59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</row>
    <row r="9" spans="1:59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</row>
    <row r="10" spans="1:59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</row>
    <row r="11" spans="1:5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</row>
    <row r="12" spans="1:5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</row>
    <row r="13" spans="1:5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</row>
    <row r="14" spans="1:5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</row>
    <row r="15" spans="1:5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</row>
  </sheetData>
  <sheetProtection sheet="1" objects="1" scenarios="1"/>
  <mergeCells count="2">
    <mergeCell ref="A1:B1"/>
    <mergeCell ref="A2:B2"/>
  </mergeCells>
  <hyperlinks>
    <hyperlink ref="A1" location="'DigColPs_Init1'!A1" display="'DigColPs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G1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2.85546875" bestFit="1" customWidth="1"/>
    <col min="3" max="3" width="3.7109375" bestFit="1" customWidth="1"/>
    <col min="4" max="4" width="4.42578125" bestFit="1" customWidth="1"/>
    <col min="5" max="5" width="3.5703125" bestFit="1" customWidth="1"/>
    <col min="6" max="8" width="4.42578125" bestFit="1" customWidth="1"/>
    <col min="9" max="9" width="5.42578125" bestFit="1" customWidth="1"/>
    <col min="10" max="11" width="12.140625" bestFit="1" customWidth="1"/>
    <col min="12" max="12" width="6.5703125" bestFit="1" customWidth="1"/>
    <col min="13" max="13" width="3.5703125" bestFit="1" customWidth="1"/>
    <col min="14" max="14" width="7.28515625" bestFit="1" customWidth="1"/>
    <col min="15" max="25" width="3.5703125" bestFit="1" customWidth="1"/>
    <col min="26" max="32" width="3.5703125" customWidth="1"/>
    <col min="33" max="35" width="7.28515625" bestFit="1" customWidth="1"/>
    <col min="36" max="37" width="13.140625" bestFit="1" customWidth="1"/>
    <col min="38" max="40" width="7.28515625" bestFit="1" customWidth="1"/>
    <col min="41" max="42" width="12.140625" bestFit="1" customWidth="1"/>
    <col min="43" max="56" width="7.28515625" bestFit="1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279" t="s">
        <v>241</v>
      </c>
      <c r="B1" s="280"/>
      <c r="C1" s="45" t="s">
        <v>160</v>
      </c>
      <c r="D1" s="58" t="s">
        <v>159</v>
      </c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43"/>
      <c r="BF1" s="43"/>
      <c r="BG1" s="44"/>
    </row>
    <row r="2" spans="1:59" ht="60" customHeight="1" x14ac:dyDescent="0.25">
      <c r="A2" s="281" t="s">
        <v>193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64" t="s">
        <v>239</v>
      </c>
      <c r="O2" s="49" t="s">
        <v>151</v>
      </c>
      <c r="P2" s="49" t="s">
        <v>151</v>
      </c>
      <c r="Q2" s="26" t="s">
        <v>151</v>
      </c>
      <c r="R2" s="26" t="s">
        <v>151</v>
      </c>
      <c r="S2" s="26" t="s">
        <v>151</v>
      </c>
      <c r="T2" s="26" t="s">
        <v>151</v>
      </c>
      <c r="U2" s="26" t="s">
        <v>151</v>
      </c>
      <c r="V2" s="26" t="s">
        <v>151</v>
      </c>
      <c r="W2" s="26" t="s">
        <v>151</v>
      </c>
      <c r="X2" s="26" t="s">
        <v>151</v>
      </c>
      <c r="Y2" s="26" t="s">
        <v>151</v>
      </c>
      <c r="Z2" s="26" t="s">
        <v>151</v>
      </c>
      <c r="AA2" s="26" t="s">
        <v>151</v>
      </c>
      <c r="AB2" s="26" t="s">
        <v>151</v>
      </c>
      <c r="AC2" s="26" t="s">
        <v>151</v>
      </c>
      <c r="AD2" s="26" t="s">
        <v>151</v>
      </c>
      <c r="AE2" s="26" t="s">
        <v>151</v>
      </c>
      <c r="AF2" s="26" t="s">
        <v>151</v>
      </c>
      <c r="AG2" s="27" t="s">
        <v>152</v>
      </c>
      <c r="AH2" s="27" t="s">
        <v>152</v>
      </c>
      <c r="AI2" s="27" t="s">
        <v>152</v>
      </c>
      <c r="AJ2" s="28" t="s">
        <v>153</v>
      </c>
      <c r="AK2" s="28" t="s">
        <v>153</v>
      </c>
      <c r="AL2" s="28" t="s">
        <v>153</v>
      </c>
      <c r="AM2" s="28" t="s">
        <v>153</v>
      </c>
      <c r="AN2" s="28" t="s">
        <v>153</v>
      </c>
      <c r="AO2" s="28" t="s">
        <v>153</v>
      </c>
      <c r="AP2" s="28" t="s">
        <v>153</v>
      </c>
      <c r="AQ2" s="28" t="s">
        <v>153</v>
      </c>
      <c r="AR2" s="28" t="s">
        <v>153</v>
      </c>
      <c r="AS2" s="28" t="s">
        <v>153</v>
      </c>
      <c r="AT2" s="28" t="s">
        <v>153</v>
      </c>
      <c r="AU2" s="28" t="s">
        <v>153</v>
      </c>
      <c r="AV2" s="28" t="s">
        <v>153</v>
      </c>
      <c r="AW2" s="28" t="s">
        <v>153</v>
      </c>
      <c r="AX2" s="28" t="s">
        <v>153</v>
      </c>
      <c r="AY2" s="28" t="s">
        <v>153</v>
      </c>
      <c r="AZ2" s="28" t="s">
        <v>153</v>
      </c>
      <c r="BA2" s="28" t="s">
        <v>153</v>
      </c>
      <c r="BB2" s="28" t="s">
        <v>154</v>
      </c>
      <c r="BC2" s="28" t="s">
        <v>154</v>
      </c>
      <c r="BD2" s="28" t="s">
        <v>154</v>
      </c>
      <c r="BE2" s="29" t="s">
        <v>21</v>
      </c>
      <c r="BF2" s="29" t="s">
        <v>156</v>
      </c>
      <c r="BG2" s="30" t="s">
        <v>158</v>
      </c>
    </row>
    <row r="3" spans="1:59" ht="192.75" x14ac:dyDescent="0.25">
      <c r="A3" s="31" t="s">
        <v>148</v>
      </c>
      <c r="B3" s="32" t="s">
        <v>149</v>
      </c>
      <c r="C3" s="33" t="s">
        <v>66</v>
      </c>
      <c r="D3" s="33" t="s">
        <v>296</v>
      </c>
      <c r="E3" s="33" t="s">
        <v>67</v>
      </c>
      <c r="F3" s="33" t="s">
        <v>297</v>
      </c>
      <c r="G3" s="33" t="s">
        <v>258</v>
      </c>
      <c r="H3" s="33" t="s">
        <v>259</v>
      </c>
      <c r="I3" s="33" t="s">
        <v>274</v>
      </c>
      <c r="J3" s="33" t="s">
        <v>287</v>
      </c>
      <c r="K3" s="33" t="s">
        <v>288</v>
      </c>
      <c r="L3" s="33" t="s">
        <v>289</v>
      </c>
      <c r="M3" s="33" t="s">
        <v>570</v>
      </c>
      <c r="N3" s="33" t="s">
        <v>572</v>
      </c>
      <c r="O3" s="34" t="s">
        <v>296</v>
      </c>
      <c r="P3" s="34" t="s">
        <v>297</v>
      </c>
      <c r="Q3" s="34" t="s">
        <v>258</v>
      </c>
      <c r="R3" s="34" t="s">
        <v>259</v>
      </c>
      <c r="S3" s="34" t="s">
        <v>274</v>
      </c>
      <c r="T3" s="34" t="s">
        <v>287</v>
      </c>
      <c r="U3" s="34" t="s">
        <v>288</v>
      </c>
      <c r="V3" s="34" t="s">
        <v>289</v>
      </c>
      <c r="W3" s="34" t="s">
        <v>380</v>
      </c>
      <c r="X3" s="34" t="s">
        <v>381</v>
      </c>
      <c r="Y3" s="34" t="s">
        <v>382</v>
      </c>
      <c r="Z3" s="34" t="s">
        <v>123</v>
      </c>
      <c r="AA3" s="34" t="s">
        <v>124</v>
      </c>
      <c r="AB3" s="34" t="s">
        <v>125</v>
      </c>
      <c r="AC3" s="34" t="s">
        <v>563</v>
      </c>
      <c r="AD3" s="34" t="s">
        <v>564</v>
      </c>
      <c r="AE3" s="34" t="s">
        <v>571</v>
      </c>
      <c r="AF3" s="34" t="s">
        <v>574</v>
      </c>
      <c r="AG3" s="34" t="s">
        <v>240</v>
      </c>
      <c r="AH3" s="34" t="s">
        <v>55</v>
      </c>
      <c r="AI3" s="34" t="s">
        <v>572</v>
      </c>
      <c r="AJ3" s="35" t="s">
        <v>296</v>
      </c>
      <c r="AK3" s="35" t="s">
        <v>297</v>
      </c>
      <c r="AL3" s="35" t="s">
        <v>258</v>
      </c>
      <c r="AM3" s="35" t="s">
        <v>259</v>
      </c>
      <c r="AN3" s="35" t="s">
        <v>274</v>
      </c>
      <c r="AO3" s="35" t="s">
        <v>287</v>
      </c>
      <c r="AP3" s="35" t="s">
        <v>288</v>
      </c>
      <c r="AQ3" s="35" t="s">
        <v>289</v>
      </c>
      <c r="AR3" s="35" t="s">
        <v>380</v>
      </c>
      <c r="AS3" s="35" t="s">
        <v>381</v>
      </c>
      <c r="AT3" s="35" t="s">
        <v>382</v>
      </c>
      <c r="AU3" s="35" t="s">
        <v>123</v>
      </c>
      <c r="AV3" s="35" t="s">
        <v>124</v>
      </c>
      <c r="AW3" s="35" t="s">
        <v>125</v>
      </c>
      <c r="AX3" s="35" t="s">
        <v>563</v>
      </c>
      <c r="AY3" s="35" t="s">
        <v>564</v>
      </c>
      <c r="AZ3" s="35" t="s">
        <v>571</v>
      </c>
      <c r="BA3" s="35" t="s">
        <v>574</v>
      </c>
      <c r="BB3" s="35" t="s">
        <v>240</v>
      </c>
      <c r="BC3" s="35" t="s">
        <v>55</v>
      </c>
      <c r="BD3" s="35" t="s">
        <v>572</v>
      </c>
      <c r="BE3" s="29" t="s">
        <v>155</v>
      </c>
      <c r="BF3" s="29" t="s">
        <v>157</v>
      </c>
      <c r="BG3" s="30"/>
    </row>
    <row r="4" spans="1:59" ht="20.100000000000001" customHeight="1" x14ac:dyDescent="0.25">
      <c r="A4" s="36">
        <v>1</v>
      </c>
      <c r="B4" s="69" t="s">
        <v>345</v>
      </c>
      <c r="C4" s="46">
        <v>1</v>
      </c>
      <c r="D4" s="46">
        <v>0.1</v>
      </c>
      <c r="E4" s="46">
        <v>8</v>
      </c>
      <c r="F4" s="46">
        <v>0.5</v>
      </c>
      <c r="G4" s="46">
        <v>180</v>
      </c>
      <c r="H4" s="46">
        <v>200</v>
      </c>
      <c r="I4" s="46">
        <v>100</v>
      </c>
      <c r="J4" s="46">
        <v>3167485951</v>
      </c>
      <c r="K4" s="46">
        <v>3166175231</v>
      </c>
      <c r="L4" s="46">
        <v>65435</v>
      </c>
      <c r="M4" s="46">
        <v>18</v>
      </c>
      <c r="N4" s="46">
        <v>3852</v>
      </c>
      <c r="O4" s="46" t="s">
        <v>159</v>
      </c>
      <c r="P4" s="46" t="s">
        <v>159</v>
      </c>
      <c r="Q4" s="37" t="s">
        <v>159</v>
      </c>
      <c r="R4" s="37" t="s">
        <v>159</v>
      </c>
      <c r="S4" s="37" t="s">
        <v>159</v>
      </c>
      <c r="T4" s="37" t="s">
        <v>159</v>
      </c>
      <c r="U4" s="37" t="s">
        <v>159</v>
      </c>
      <c r="V4" s="37" t="s">
        <v>159</v>
      </c>
      <c r="W4" s="37" t="s">
        <v>159</v>
      </c>
      <c r="X4" s="37" t="s">
        <v>159</v>
      </c>
      <c r="Y4" s="37" t="s">
        <v>159</v>
      </c>
      <c r="Z4" s="37" t="s">
        <v>159</v>
      </c>
      <c r="AA4" s="37" t="s">
        <v>159</v>
      </c>
      <c r="AB4" s="37" t="s">
        <v>159</v>
      </c>
      <c r="AC4" s="37" t="s">
        <v>159</v>
      </c>
      <c r="AD4" s="37" t="s">
        <v>159</v>
      </c>
      <c r="AE4" s="37" t="s">
        <v>159</v>
      </c>
      <c r="AF4" s="37" t="s">
        <v>159</v>
      </c>
      <c r="AG4" s="37" t="s">
        <v>159</v>
      </c>
      <c r="AH4" s="37" t="s">
        <v>159</v>
      </c>
      <c r="AI4" s="37" t="s">
        <v>159</v>
      </c>
      <c r="AJ4" s="46">
        <v>1.2487743476344E-2</v>
      </c>
      <c r="AK4" s="46">
        <v>9.5642891361678806E-2</v>
      </c>
      <c r="AL4" s="46">
        <v>180</v>
      </c>
      <c r="AM4" s="46">
        <v>200</v>
      </c>
      <c r="AN4" s="46">
        <v>100</v>
      </c>
      <c r="AO4" s="46">
        <v>3167485951</v>
      </c>
      <c r="AP4" s="46">
        <v>3166175231</v>
      </c>
      <c r="AQ4" s="46">
        <v>65435</v>
      </c>
      <c r="AR4" s="46">
        <v>0</v>
      </c>
      <c r="AS4" s="46">
        <v>0</v>
      </c>
      <c r="AT4" s="46">
        <v>4488</v>
      </c>
      <c r="AU4" s="46">
        <v>504</v>
      </c>
      <c r="AV4" s="46">
        <v>0</v>
      </c>
      <c r="AW4" s="46">
        <v>0</v>
      </c>
      <c r="AX4" s="46">
        <v>0</v>
      </c>
      <c r="AY4" s="46">
        <v>0</v>
      </c>
      <c r="AZ4" s="46">
        <v>18</v>
      </c>
      <c r="BA4" s="46">
        <v>3852</v>
      </c>
      <c r="BB4" s="46">
        <v>1</v>
      </c>
      <c r="BC4" s="46">
        <v>1</v>
      </c>
      <c r="BD4" s="46">
        <v>1</v>
      </c>
      <c r="BE4" s="50" t="s">
        <v>159</v>
      </c>
      <c r="BF4" s="37"/>
      <c r="BG4" s="38"/>
    </row>
    <row r="5" spans="1:59" ht="20.100000000000001" customHeight="1" x14ac:dyDescent="0.25">
      <c r="A5" s="36">
        <v>2</v>
      </c>
      <c r="B5" s="69" t="s">
        <v>345</v>
      </c>
      <c r="C5" s="46">
        <v>2</v>
      </c>
      <c r="D5" s="46">
        <v>0.2</v>
      </c>
      <c r="E5" s="46">
        <v>9</v>
      </c>
      <c r="F5" s="46">
        <v>0.6</v>
      </c>
      <c r="G5" s="46">
        <v>0</v>
      </c>
      <c r="H5" s="46">
        <v>220</v>
      </c>
      <c r="I5" s="46">
        <v>4488</v>
      </c>
      <c r="J5" s="63">
        <v>4294967295</v>
      </c>
      <c r="K5" s="46">
        <v>3164864511</v>
      </c>
      <c r="L5" s="46">
        <v>61047</v>
      </c>
      <c r="M5" s="46">
        <v>20</v>
      </c>
      <c r="N5" s="46">
        <v>5900</v>
      </c>
      <c r="O5" s="46" t="s">
        <v>159</v>
      </c>
      <c r="P5" s="46" t="s">
        <v>159</v>
      </c>
      <c r="Q5" s="37" t="s">
        <v>159</v>
      </c>
      <c r="R5" s="37" t="s">
        <v>159</v>
      </c>
      <c r="S5" s="37" t="s">
        <v>159</v>
      </c>
      <c r="T5" s="37" t="s">
        <v>159</v>
      </c>
      <c r="U5" s="37" t="s">
        <v>159</v>
      </c>
      <c r="V5" s="37" t="s">
        <v>159</v>
      </c>
      <c r="W5" s="37" t="s">
        <v>159</v>
      </c>
      <c r="X5" s="37" t="s">
        <v>159</v>
      </c>
      <c r="Y5" s="37" t="s">
        <v>159</v>
      </c>
      <c r="Z5" s="37" t="s">
        <v>159</v>
      </c>
      <c r="AA5" s="37" t="s">
        <v>159</v>
      </c>
      <c r="AB5" s="37" t="s">
        <v>159</v>
      </c>
      <c r="AC5" s="37" t="s">
        <v>159</v>
      </c>
      <c r="AD5" s="37" t="s">
        <v>159</v>
      </c>
      <c r="AE5" s="37" t="s">
        <v>159</v>
      </c>
      <c r="AF5" s="37" t="s">
        <v>159</v>
      </c>
      <c r="AG5" s="37" t="s">
        <v>159</v>
      </c>
      <c r="AH5" s="37" t="s">
        <v>159</v>
      </c>
      <c r="AI5" s="37" t="s">
        <v>159</v>
      </c>
      <c r="AJ5" s="46">
        <v>2.4819543215556999E-2</v>
      </c>
      <c r="AK5" s="46">
        <v>0.106936270945362</v>
      </c>
      <c r="AL5" s="46">
        <v>0</v>
      </c>
      <c r="AM5" s="46">
        <v>220</v>
      </c>
      <c r="AN5" s="46">
        <v>4488</v>
      </c>
      <c r="AO5" s="46">
        <v>4294967295</v>
      </c>
      <c r="AP5" s="46">
        <v>3164864511</v>
      </c>
      <c r="AQ5" s="46">
        <v>61047</v>
      </c>
      <c r="AR5" s="46">
        <v>0</v>
      </c>
      <c r="AS5" s="46">
        <v>0</v>
      </c>
      <c r="AT5" s="46">
        <v>4488</v>
      </c>
      <c r="AU5" s="46">
        <v>504</v>
      </c>
      <c r="AV5" s="46">
        <v>1</v>
      </c>
      <c r="AW5" s="46">
        <v>1</v>
      </c>
      <c r="AX5" s="46">
        <v>0</v>
      </c>
      <c r="AY5" s="46">
        <v>0</v>
      </c>
      <c r="AZ5" s="46">
        <v>20</v>
      </c>
      <c r="BA5" s="46">
        <v>5900</v>
      </c>
      <c r="BB5" s="46">
        <v>1</v>
      </c>
      <c r="BC5" s="46">
        <v>1</v>
      </c>
      <c r="BD5" s="46">
        <v>1</v>
      </c>
      <c r="BE5" s="50" t="s">
        <v>159</v>
      </c>
      <c r="BF5" s="37"/>
      <c r="BG5" s="38"/>
    </row>
    <row r="6" spans="1:59" ht="20.100000000000001" customHeight="1" x14ac:dyDescent="0.25">
      <c r="A6" s="36">
        <v>3</v>
      </c>
      <c r="B6" s="69" t="s">
        <v>345</v>
      </c>
      <c r="C6" s="46">
        <v>3</v>
      </c>
      <c r="D6" s="46">
        <v>0.3</v>
      </c>
      <c r="E6" s="46">
        <v>10</v>
      </c>
      <c r="F6" s="46">
        <v>0.7</v>
      </c>
      <c r="G6" s="46">
        <v>120</v>
      </c>
      <c r="H6" s="46">
        <v>150</v>
      </c>
      <c r="I6" s="46">
        <v>550</v>
      </c>
      <c r="J6" s="46">
        <v>3171942399</v>
      </c>
      <c r="K6" s="46">
        <v>4265000</v>
      </c>
      <c r="L6" s="46">
        <v>655</v>
      </c>
      <c r="M6" s="46">
        <v>0</v>
      </c>
      <c r="N6" s="46">
        <v>124</v>
      </c>
      <c r="O6" s="37" t="s">
        <v>159</v>
      </c>
      <c r="P6" s="37" t="s">
        <v>159</v>
      </c>
      <c r="Q6" s="37" t="s">
        <v>159</v>
      </c>
      <c r="R6" s="37" t="s">
        <v>159</v>
      </c>
      <c r="S6" s="37" t="s">
        <v>159</v>
      </c>
      <c r="T6" s="37" t="s">
        <v>159</v>
      </c>
      <c r="U6" s="37" t="s">
        <v>159</v>
      </c>
      <c r="V6" s="37" t="s">
        <v>159</v>
      </c>
      <c r="W6" s="37" t="s">
        <v>159</v>
      </c>
      <c r="X6" s="37" t="s">
        <v>159</v>
      </c>
      <c r="Y6" s="37" t="s">
        <v>159</v>
      </c>
      <c r="Z6" s="37" t="s">
        <v>159</v>
      </c>
      <c r="AA6" s="37" t="s">
        <v>159</v>
      </c>
      <c r="AB6" s="37" t="s">
        <v>159</v>
      </c>
      <c r="AC6" s="37" t="s">
        <v>159</v>
      </c>
      <c r="AD6" s="37" t="s">
        <v>159</v>
      </c>
      <c r="AE6" s="37" t="s">
        <v>159</v>
      </c>
      <c r="AF6" s="37" t="s">
        <v>159</v>
      </c>
      <c r="AG6" s="37" t="s">
        <v>159</v>
      </c>
      <c r="AH6" s="37" t="s">
        <v>159</v>
      </c>
      <c r="AI6" s="37" t="s">
        <v>159</v>
      </c>
      <c r="AJ6" s="46">
        <v>3.6997346603025102E-2</v>
      </c>
      <c r="AK6" s="46">
        <v>0.11808862170182401</v>
      </c>
      <c r="AL6" s="46">
        <v>0</v>
      </c>
      <c r="AM6" s="46">
        <v>0</v>
      </c>
      <c r="AN6" s="46">
        <v>4488</v>
      </c>
      <c r="AO6" s="46">
        <v>4294967295</v>
      </c>
      <c r="AP6" s="46">
        <v>4294967295</v>
      </c>
      <c r="AQ6" s="46">
        <v>61047</v>
      </c>
      <c r="AR6" s="46">
        <v>0</v>
      </c>
      <c r="AS6" s="46">
        <v>0</v>
      </c>
      <c r="AT6" s="46">
        <v>4488</v>
      </c>
      <c r="AU6" s="46">
        <v>504</v>
      </c>
      <c r="AV6" s="46">
        <v>2</v>
      </c>
      <c r="AW6" s="46">
        <v>1</v>
      </c>
      <c r="AX6" s="46">
        <v>0</v>
      </c>
      <c r="AY6" s="46">
        <v>0</v>
      </c>
      <c r="AZ6" s="46">
        <v>0</v>
      </c>
      <c r="BA6" s="46">
        <v>124</v>
      </c>
      <c r="BB6" s="46">
        <v>1</v>
      </c>
      <c r="BC6" s="46">
        <v>1</v>
      </c>
      <c r="BD6" s="46">
        <v>1</v>
      </c>
      <c r="BE6" s="50" t="s">
        <v>159</v>
      </c>
      <c r="BF6" s="37"/>
      <c r="BG6" s="38"/>
    </row>
    <row r="7" spans="1:59" ht="20.100000000000001" customHeight="1" thickBot="1" x14ac:dyDescent="0.3">
      <c r="A7" s="39">
        <v>4</v>
      </c>
      <c r="B7" s="68" t="s">
        <v>345</v>
      </c>
      <c r="C7" s="47">
        <v>4</v>
      </c>
      <c r="D7" s="47">
        <v>0.4</v>
      </c>
      <c r="E7" s="47">
        <v>11</v>
      </c>
      <c r="F7" s="47">
        <v>0.8</v>
      </c>
      <c r="G7" s="47">
        <v>260</v>
      </c>
      <c r="H7" s="47">
        <v>340</v>
      </c>
      <c r="I7" s="47">
        <v>1321</v>
      </c>
      <c r="J7" s="47">
        <v>6548212</v>
      </c>
      <c r="K7" s="47">
        <v>16598742</v>
      </c>
      <c r="L7" s="47">
        <v>43625</v>
      </c>
      <c r="M7" s="47">
        <v>1</v>
      </c>
      <c r="N7" s="47">
        <v>33357</v>
      </c>
      <c r="O7" s="40" t="s">
        <v>159</v>
      </c>
      <c r="P7" s="40" t="s">
        <v>159</v>
      </c>
      <c r="Q7" s="40" t="s">
        <v>159</v>
      </c>
      <c r="R7" s="40" t="s">
        <v>159</v>
      </c>
      <c r="S7" s="40" t="s">
        <v>159</v>
      </c>
      <c r="T7" s="40" t="s">
        <v>159</v>
      </c>
      <c r="U7" s="40" t="s">
        <v>159</v>
      </c>
      <c r="V7" s="40" t="s">
        <v>159</v>
      </c>
      <c r="W7" s="40" t="s">
        <v>159</v>
      </c>
      <c r="X7" s="40" t="s">
        <v>159</v>
      </c>
      <c r="Y7" s="40" t="s">
        <v>159</v>
      </c>
      <c r="Z7" s="40" t="s">
        <v>159</v>
      </c>
      <c r="AA7" s="40" t="s">
        <v>159</v>
      </c>
      <c r="AB7" s="40" t="s">
        <v>159</v>
      </c>
      <c r="AC7" s="40" t="s">
        <v>159</v>
      </c>
      <c r="AD7" s="40" t="s">
        <v>159</v>
      </c>
      <c r="AE7" s="40" t="s">
        <v>159</v>
      </c>
      <c r="AF7" s="40" t="s">
        <v>159</v>
      </c>
      <c r="AG7" s="40" t="s">
        <v>159</v>
      </c>
      <c r="AH7" s="40" t="s">
        <v>159</v>
      </c>
      <c r="AI7" s="40" t="s">
        <v>159</v>
      </c>
      <c r="AJ7" s="47">
        <v>4.9023076705685197E-2</v>
      </c>
      <c r="AK7" s="47">
        <v>0.12910170476287999</v>
      </c>
      <c r="AL7" s="47">
        <v>0</v>
      </c>
      <c r="AM7" s="47">
        <v>0</v>
      </c>
      <c r="AN7" s="47">
        <v>4488</v>
      </c>
      <c r="AO7" s="47">
        <v>4294967295</v>
      </c>
      <c r="AP7" s="47">
        <v>4294967295</v>
      </c>
      <c r="AQ7" s="47">
        <v>61047</v>
      </c>
      <c r="AR7" s="47">
        <v>0</v>
      </c>
      <c r="AS7" s="47">
        <v>0</v>
      </c>
      <c r="AT7" s="47">
        <v>4488</v>
      </c>
      <c r="AU7" s="47">
        <v>504</v>
      </c>
      <c r="AV7" s="47">
        <v>2</v>
      </c>
      <c r="AW7" s="47">
        <v>1</v>
      </c>
      <c r="AX7" s="47">
        <v>0</v>
      </c>
      <c r="AY7" s="47">
        <v>0</v>
      </c>
      <c r="AZ7" s="47">
        <v>1</v>
      </c>
      <c r="BA7" s="47">
        <v>33357</v>
      </c>
      <c r="BB7" s="47">
        <v>1</v>
      </c>
      <c r="BC7" s="47">
        <v>1</v>
      </c>
      <c r="BD7" s="47">
        <v>1</v>
      </c>
      <c r="BE7" s="51" t="s">
        <v>159</v>
      </c>
      <c r="BF7" s="40"/>
      <c r="BG7" s="41"/>
    </row>
    <row r="8" spans="1:59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</row>
    <row r="9" spans="1:59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</row>
    <row r="10" spans="1:59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</row>
    <row r="11" spans="1:5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</row>
    <row r="12" spans="1:5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</row>
    <row r="13" spans="1:5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</row>
    <row r="14" spans="1:5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</row>
    <row r="15" spans="1:5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</row>
    <row r="16" spans="1:59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</row>
    <row r="17" spans="1:59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</row>
  </sheetData>
  <sheetProtection sheet="1" objects="1" scenarios="1"/>
  <mergeCells count="2">
    <mergeCell ref="A1:B1"/>
    <mergeCell ref="A2:B2"/>
  </mergeCells>
  <hyperlinks>
    <hyperlink ref="A1" location="'DigColPs_Init1'!A1" display="'DigColPs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G5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" bestFit="1" customWidth="1"/>
    <col min="3" max="3" width="5" bestFit="1" customWidth="1"/>
    <col min="4" max="4" width="6" bestFit="1" customWidth="1"/>
    <col min="5" max="5" width="5" bestFit="1" customWidth="1"/>
    <col min="6" max="6" width="6" bestFit="1" customWidth="1"/>
    <col min="7" max="8" width="7" bestFit="1" customWidth="1"/>
    <col min="9" max="9" width="5" bestFit="1" customWidth="1"/>
    <col min="10" max="11" width="11" bestFit="1" customWidth="1"/>
    <col min="12" max="12" width="6" bestFit="1" customWidth="1"/>
    <col min="13" max="13" width="4" bestFit="1" customWidth="1"/>
    <col min="14" max="14" width="11" bestFit="1" customWidth="1"/>
    <col min="15" max="22" width="3.28515625" bestFit="1" customWidth="1"/>
    <col min="23" max="32" width="3.28515625" customWidth="1"/>
    <col min="33" max="35" width="7.28515625" bestFit="1" customWidth="1"/>
    <col min="36" max="37" width="12" bestFit="1" customWidth="1"/>
    <col min="38" max="40" width="7.28515625" bestFit="1" customWidth="1"/>
    <col min="41" max="42" width="11" bestFit="1" customWidth="1"/>
    <col min="43" max="52" width="7.28515625" bestFit="1" customWidth="1"/>
    <col min="53" max="53" width="11" bestFit="1" customWidth="1"/>
    <col min="54" max="56" width="7.28515625" bestFit="1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279" t="s">
        <v>241</v>
      </c>
      <c r="B1" s="280"/>
      <c r="C1" s="45" t="s">
        <v>160</v>
      </c>
      <c r="D1" s="58" t="s">
        <v>159</v>
      </c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43"/>
      <c r="BF1" s="43"/>
      <c r="BG1" s="44"/>
    </row>
    <row r="2" spans="1:59" ht="60" customHeight="1" x14ac:dyDescent="0.25">
      <c r="A2" s="281" t="s">
        <v>147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64" t="s">
        <v>239</v>
      </c>
      <c r="O2" s="49" t="s">
        <v>151</v>
      </c>
      <c r="P2" s="49" t="s">
        <v>151</v>
      </c>
      <c r="Q2" s="26" t="s">
        <v>151</v>
      </c>
      <c r="R2" s="26" t="s">
        <v>151</v>
      </c>
      <c r="S2" s="26" t="s">
        <v>151</v>
      </c>
      <c r="T2" s="26" t="s">
        <v>151</v>
      </c>
      <c r="U2" s="26" t="s">
        <v>151</v>
      </c>
      <c r="V2" s="26" t="s">
        <v>151</v>
      </c>
      <c r="W2" s="26" t="s">
        <v>151</v>
      </c>
      <c r="X2" s="26" t="s">
        <v>151</v>
      </c>
      <c r="Y2" s="26" t="s">
        <v>151</v>
      </c>
      <c r="Z2" s="26" t="s">
        <v>151</v>
      </c>
      <c r="AA2" s="26" t="s">
        <v>151</v>
      </c>
      <c r="AB2" s="26" t="s">
        <v>151</v>
      </c>
      <c r="AC2" s="26" t="s">
        <v>151</v>
      </c>
      <c r="AD2" s="26" t="s">
        <v>151</v>
      </c>
      <c r="AE2" s="26" t="s">
        <v>151</v>
      </c>
      <c r="AF2" s="26" t="s">
        <v>151</v>
      </c>
      <c r="AG2" s="27" t="s">
        <v>152</v>
      </c>
      <c r="AH2" s="27" t="s">
        <v>152</v>
      </c>
      <c r="AI2" s="27" t="s">
        <v>152</v>
      </c>
      <c r="AJ2" s="28" t="s">
        <v>153</v>
      </c>
      <c r="AK2" s="28" t="s">
        <v>153</v>
      </c>
      <c r="AL2" s="28" t="s">
        <v>153</v>
      </c>
      <c r="AM2" s="28" t="s">
        <v>153</v>
      </c>
      <c r="AN2" s="28" t="s">
        <v>153</v>
      </c>
      <c r="AO2" s="28" t="s">
        <v>153</v>
      </c>
      <c r="AP2" s="28" t="s">
        <v>153</v>
      </c>
      <c r="AQ2" s="28" t="s">
        <v>153</v>
      </c>
      <c r="AR2" s="28" t="s">
        <v>153</v>
      </c>
      <c r="AS2" s="28" t="s">
        <v>153</v>
      </c>
      <c r="AT2" s="28" t="s">
        <v>153</v>
      </c>
      <c r="AU2" s="28" t="s">
        <v>153</v>
      </c>
      <c r="AV2" s="28" t="s">
        <v>153</v>
      </c>
      <c r="AW2" s="28" t="s">
        <v>153</v>
      </c>
      <c r="AX2" s="28" t="s">
        <v>153</v>
      </c>
      <c r="AY2" s="28" t="s">
        <v>153</v>
      </c>
      <c r="AZ2" s="28" t="s">
        <v>153</v>
      </c>
      <c r="BA2" s="28" t="s">
        <v>153</v>
      </c>
      <c r="BB2" s="28" t="s">
        <v>154</v>
      </c>
      <c r="BC2" s="28" t="s">
        <v>154</v>
      </c>
      <c r="BD2" s="28" t="s">
        <v>154</v>
      </c>
      <c r="BE2" s="29" t="s">
        <v>21</v>
      </c>
      <c r="BF2" s="29" t="s">
        <v>156</v>
      </c>
      <c r="BG2" s="30" t="s">
        <v>158</v>
      </c>
    </row>
    <row r="3" spans="1:59" ht="192.75" x14ac:dyDescent="0.25">
      <c r="A3" s="31" t="s">
        <v>148</v>
      </c>
      <c r="B3" s="32" t="s">
        <v>149</v>
      </c>
      <c r="C3" s="33" t="s">
        <v>66</v>
      </c>
      <c r="D3" s="33" t="s">
        <v>296</v>
      </c>
      <c r="E3" s="33" t="s">
        <v>67</v>
      </c>
      <c r="F3" s="33" t="s">
        <v>297</v>
      </c>
      <c r="G3" s="33" t="s">
        <v>258</v>
      </c>
      <c r="H3" s="33" t="s">
        <v>259</v>
      </c>
      <c r="I3" s="33" t="s">
        <v>274</v>
      </c>
      <c r="J3" s="33" t="s">
        <v>287</v>
      </c>
      <c r="K3" s="33" t="s">
        <v>288</v>
      </c>
      <c r="L3" s="33" t="s">
        <v>289</v>
      </c>
      <c r="M3" s="33" t="s">
        <v>570</v>
      </c>
      <c r="N3" s="33" t="s">
        <v>572</v>
      </c>
      <c r="O3" s="34" t="s">
        <v>296</v>
      </c>
      <c r="P3" s="34" t="s">
        <v>297</v>
      </c>
      <c r="Q3" s="34" t="s">
        <v>258</v>
      </c>
      <c r="R3" s="34" t="s">
        <v>259</v>
      </c>
      <c r="S3" s="34" t="s">
        <v>274</v>
      </c>
      <c r="T3" s="34" t="s">
        <v>287</v>
      </c>
      <c r="U3" s="34" t="s">
        <v>288</v>
      </c>
      <c r="V3" s="34" t="s">
        <v>289</v>
      </c>
      <c r="W3" s="34" t="s">
        <v>380</v>
      </c>
      <c r="X3" s="34" t="s">
        <v>381</v>
      </c>
      <c r="Y3" s="34" t="s">
        <v>382</v>
      </c>
      <c r="Z3" s="34" t="s">
        <v>123</v>
      </c>
      <c r="AA3" s="34" t="s">
        <v>124</v>
      </c>
      <c r="AB3" s="34" t="s">
        <v>125</v>
      </c>
      <c r="AC3" s="34" t="s">
        <v>563</v>
      </c>
      <c r="AD3" s="34" t="s">
        <v>564</v>
      </c>
      <c r="AE3" s="34" t="s">
        <v>571</v>
      </c>
      <c r="AF3" s="34" t="s">
        <v>574</v>
      </c>
      <c r="AG3" s="34" t="s">
        <v>240</v>
      </c>
      <c r="AH3" s="34" t="s">
        <v>55</v>
      </c>
      <c r="AI3" s="34" t="s">
        <v>572</v>
      </c>
      <c r="AJ3" s="35" t="s">
        <v>296</v>
      </c>
      <c r="AK3" s="35" t="s">
        <v>297</v>
      </c>
      <c r="AL3" s="35" t="s">
        <v>258</v>
      </c>
      <c r="AM3" s="35" t="s">
        <v>259</v>
      </c>
      <c r="AN3" s="35" t="s">
        <v>274</v>
      </c>
      <c r="AO3" s="35" t="s">
        <v>287</v>
      </c>
      <c r="AP3" s="35" t="s">
        <v>288</v>
      </c>
      <c r="AQ3" s="35" t="s">
        <v>289</v>
      </c>
      <c r="AR3" s="35" t="s">
        <v>380</v>
      </c>
      <c r="AS3" s="35" t="s">
        <v>381</v>
      </c>
      <c r="AT3" s="35" t="s">
        <v>382</v>
      </c>
      <c r="AU3" s="35" t="s">
        <v>123</v>
      </c>
      <c r="AV3" s="35" t="s">
        <v>124</v>
      </c>
      <c r="AW3" s="35" t="s">
        <v>125</v>
      </c>
      <c r="AX3" s="35" t="s">
        <v>563</v>
      </c>
      <c r="AY3" s="35" t="s">
        <v>564</v>
      </c>
      <c r="AZ3" s="35" t="s">
        <v>571</v>
      </c>
      <c r="BA3" s="35" t="s">
        <v>574</v>
      </c>
      <c r="BB3" s="35" t="s">
        <v>240</v>
      </c>
      <c r="BC3" s="35" t="s">
        <v>55</v>
      </c>
      <c r="BD3" s="35" t="s">
        <v>572</v>
      </c>
      <c r="BE3" s="29" t="s">
        <v>155</v>
      </c>
      <c r="BF3" s="29" t="s">
        <v>157</v>
      </c>
      <c r="BG3" s="30"/>
    </row>
    <row r="4" spans="1:59" x14ac:dyDescent="0.25">
      <c r="A4" s="36">
        <v>1</v>
      </c>
      <c r="B4" s="46" t="s">
        <v>161</v>
      </c>
      <c r="C4" s="56">
        <v>1</v>
      </c>
      <c r="D4" s="56">
        <v>0</v>
      </c>
      <c r="E4" s="56">
        <v>1</v>
      </c>
      <c r="F4" s="56">
        <v>0</v>
      </c>
      <c r="G4" s="56">
        <v>-180</v>
      </c>
      <c r="H4" s="56">
        <v>-180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6">
        <v>0</v>
      </c>
      <c r="O4" s="56" t="s">
        <v>159</v>
      </c>
      <c r="P4" s="56" t="s">
        <v>159</v>
      </c>
      <c r="Q4" s="37" t="s">
        <v>159</v>
      </c>
      <c r="R4" s="37" t="s">
        <v>159</v>
      </c>
      <c r="S4" s="37" t="s">
        <v>159</v>
      </c>
      <c r="T4" s="37" t="s">
        <v>159</v>
      </c>
      <c r="U4" s="37" t="s">
        <v>159</v>
      </c>
      <c r="V4" s="37" t="s">
        <v>159</v>
      </c>
      <c r="W4" s="37" t="s">
        <v>159</v>
      </c>
      <c r="X4" s="37" t="s">
        <v>159</v>
      </c>
      <c r="Y4" s="37" t="s">
        <v>159</v>
      </c>
      <c r="Z4" s="37" t="s">
        <v>159</v>
      </c>
      <c r="AA4" s="37" t="s">
        <v>159</v>
      </c>
      <c r="AB4" s="37" t="s">
        <v>159</v>
      </c>
      <c r="AC4" s="37" t="s">
        <v>159</v>
      </c>
      <c r="AD4" s="37" t="s">
        <v>159</v>
      </c>
      <c r="AE4" s="37" t="s">
        <v>159</v>
      </c>
      <c r="AF4" s="37" t="s">
        <v>159</v>
      </c>
      <c r="AG4" s="37" t="s">
        <v>159</v>
      </c>
      <c r="AH4" s="37" t="s">
        <v>159</v>
      </c>
      <c r="AI4" s="37" t="s">
        <v>159</v>
      </c>
      <c r="AJ4" s="46">
        <v>1.2487743476344E-2</v>
      </c>
      <c r="AK4" s="46">
        <v>1.2487743476344E-2</v>
      </c>
      <c r="AL4" s="46">
        <v>0</v>
      </c>
      <c r="AM4" s="46">
        <v>0</v>
      </c>
      <c r="AN4" s="46">
        <v>4488</v>
      </c>
      <c r="AO4" s="46">
        <v>4294967295</v>
      </c>
      <c r="AP4" s="46">
        <v>4294967295</v>
      </c>
      <c r="AQ4" s="46">
        <v>61047</v>
      </c>
      <c r="AR4" s="46">
        <v>0</v>
      </c>
      <c r="AS4" s="46">
        <v>0</v>
      </c>
      <c r="AT4" s="46">
        <v>4488</v>
      </c>
      <c r="AU4" s="46">
        <v>504</v>
      </c>
      <c r="AV4" s="46">
        <v>2</v>
      </c>
      <c r="AW4" s="46">
        <v>1</v>
      </c>
      <c r="AX4" s="46">
        <v>0</v>
      </c>
      <c r="AY4" s="46">
        <v>0</v>
      </c>
      <c r="AZ4" s="46">
        <v>0</v>
      </c>
      <c r="BA4" s="46">
        <v>0</v>
      </c>
      <c r="BB4" s="46">
        <v>1</v>
      </c>
      <c r="BC4" s="46">
        <v>1</v>
      </c>
      <c r="BD4" s="46">
        <v>1</v>
      </c>
      <c r="BE4" s="50" t="s">
        <v>159</v>
      </c>
      <c r="BF4" s="37"/>
      <c r="BG4" s="38"/>
    </row>
    <row r="5" spans="1:59" x14ac:dyDescent="0.25">
      <c r="A5" s="36">
        <v>2</v>
      </c>
      <c r="B5" s="46" t="s">
        <v>162</v>
      </c>
      <c r="C5" s="56">
        <v>60</v>
      </c>
      <c r="D5" s="56">
        <v>1</v>
      </c>
      <c r="E5" s="56">
        <v>60</v>
      </c>
      <c r="F5" s="56">
        <v>1</v>
      </c>
      <c r="G5" s="56">
        <v>360</v>
      </c>
      <c r="H5" s="56">
        <v>360</v>
      </c>
      <c r="I5" s="56">
        <v>4488</v>
      </c>
      <c r="J5" s="56">
        <v>4294967295</v>
      </c>
      <c r="K5" s="56">
        <v>4294967295</v>
      </c>
      <c r="L5" s="56">
        <v>65535</v>
      </c>
      <c r="M5" s="56">
        <v>255</v>
      </c>
      <c r="N5" s="56">
        <v>4294967295</v>
      </c>
      <c r="O5" s="56" t="s">
        <v>159</v>
      </c>
      <c r="P5" s="56" t="s">
        <v>159</v>
      </c>
      <c r="Q5" s="37" t="s">
        <v>159</v>
      </c>
      <c r="R5" s="37" t="s">
        <v>159</v>
      </c>
      <c r="S5" s="37" t="s">
        <v>159</v>
      </c>
      <c r="T5" s="37" t="s">
        <v>159</v>
      </c>
      <c r="U5" s="37" t="s">
        <v>159</v>
      </c>
      <c r="V5" s="37" t="s">
        <v>159</v>
      </c>
      <c r="W5" s="37" t="s">
        <v>159</v>
      </c>
      <c r="X5" s="37" t="s">
        <v>159</v>
      </c>
      <c r="Y5" s="37" t="s">
        <v>159</v>
      </c>
      <c r="Z5" s="37" t="s">
        <v>159</v>
      </c>
      <c r="AA5" s="37" t="s">
        <v>159</v>
      </c>
      <c r="AB5" s="37" t="s">
        <v>159</v>
      </c>
      <c r="AC5" s="37" t="s">
        <v>159</v>
      </c>
      <c r="AD5" s="37" t="s">
        <v>159</v>
      </c>
      <c r="AE5" s="37" t="s">
        <v>159</v>
      </c>
      <c r="AF5" s="37" t="s">
        <v>159</v>
      </c>
      <c r="AG5" s="37" t="s">
        <v>159</v>
      </c>
      <c r="AH5" s="37" t="s">
        <v>159</v>
      </c>
      <c r="AI5" s="37" t="s">
        <v>159</v>
      </c>
      <c r="AJ5" s="46">
        <v>0.529510782280182</v>
      </c>
      <c r="AK5" s="46">
        <v>0.529510782280182</v>
      </c>
      <c r="AL5" s="46">
        <v>0</v>
      </c>
      <c r="AM5" s="46">
        <v>0</v>
      </c>
      <c r="AN5" s="46">
        <v>4488</v>
      </c>
      <c r="AO5" s="46">
        <v>4294967295</v>
      </c>
      <c r="AP5" s="46">
        <v>4294967295</v>
      </c>
      <c r="AQ5" s="46">
        <v>61047</v>
      </c>
      <c r="AR5" s="46">
        <v>0</v>
      </c>
      <c r="AS5" s="46">
        <v>0</v>
      </c>
      <c r="AT5" s="46">
        <v>4488</v>
      </c>
      <c r="AU5" s="46">
        <v>504</v>
      </c>
      <c r="AV5" s="46">
        <v>2</v>
      </c>
      <c r="AW5" s="46">
        <v>1</v>
      </c>
      <c r="AX5" s="46">
        <v>0</v>
      </c>
      <c r="AY5" s="46">
        <v>0</v>
      </c>
      <c r="AZ5" s="46">
        <v>255</v>
      </c>
      <c r="BA5" s="46">
        <v>4294967295</v>
      </c>
      <c r="BB5" s="46">
        <v>1</v>
      </c>
      <c r="BC5" s="46">
        <v>1</v>
      </c>
      <c r="BD5" s="46">
        <v>1</v>
      </c>
      <c r="BE5" s="50" t="s">
        <v>159</v>
      </c>
      <c r="BF5" s="37"/>
      <c r="BG5" s="38"/>
    </row>
    <row r="6" spans="1:59" x14ac:dyDescent="0.25">
      <c r="A6" s="36">
        <v>3</v>
      </c>
      <c r="B6" s="46" t="s">
        <v>163</v>
      </c>
      <c r="C6" s="56">
        <v>1</v>
      </c>
      <c r="D6" s="63">
        <v>0.1</v>
      </c>
      <c r="E6" s="46">
        <v>8.5</v>
      </c>
      <c r="F6" s="46">
        <v>1.2E-2</v>
      </c>
      <c r="G6" s="46">
        <v>1</v>
      </c>
      <c r="H6" s="46">
        <v>12</v>
      </c>
      <c r="I6" s="46">
        <v>124</v>
      </c>
      <c r="J6" s="46">
        <v>1</v>
      </c>
      <c r="K6" s="46">
        <v>2456</v>
      </c>
      <c r="L6" s="46">
        <v>525</v>
      </c>
      <c r="M6" s="46">
        <v>0</v>
      </c>
      <c r="N6" s="46">
        <v>124</v>
      </c>
      <c r="O6" s="46" t="s">
        <v>159</v>
      </c>
      <c r="P6" s="46" t="s">
        <v>159</v>
      </c>
      <c r="Q6" s="37" t="s">
        <v>159</v>
      </c>
      <c r="R6" s="37" t="s">
        <v>159</v>
      </c>
      <c r="S6" s="37" t="s">
        <v>159</v>
      </c>
      <c r="T6" s="37" t="s">
        <v>159</v>
      </c>
      <c r="U6" s="37" t="s">
        <v>159</v>
      </c>
      <c r="V6" s="37" t="s">
        <v>159</v>
      </c>
      <c r="W6" s="37" t="s">
        <v>159</v>
      </c>
      <c r="X6" s="37" t="s">
        <v>159</v>
      </c>
      <c r="Y6" s="37" t="s">
        <v>159</v>
      </c>
      <c r="Z6" s="37" t="s">
        <v>159</v>
      </c>
      <c r="AA6" s="37" t="s">
        <v>159</v>
      </c>
      <c r="AB6" s="37" t="s">
        <v>159</v>
      </c>
      <c r="AC6" s="37" t="s">
        <v>159</v>
      </c>
      <c r="AD6" s="37" t="s">
        <v>159</v>
      </c>
      <c r="AE6" s="37" t="s">
        <v>159</v>
      </c>
      <c r="AF6" s="37" t="s">
        <v>159</v>
      </c>
      <c r="AG6" s="37" t="s">
        <v>159</v>
      </c>
      <c r="AH6" s="37" t="s">
        <v>159</v>
      </c>
      <c r="AI6" s="37" t="s">
        <v>159</v>
      </c>
      <c r="AJ6" s="46">
        <v>1.2487743476344E-2</v>
      </c>
      <c r="AK6" s="46">
        <v>0.101307320694327</v>
      </c>
      <c r="AL6" s="46">
        <v>0</v>
      </c>
      <c r="AM6" s="46">
        <v>0</v>
      </c>
      <c r="AN6" s="46">
        <v>4488</v>
      </c>
      <c r="AO6" s="46">
        <v>4294967295</v>
      </c>
      <c r="AP6" s="46">
        <v>4294967295</v>
      </c>
      <c r="AQ6" s="46">
        <v>61047</v>
      </c>
      <c r="AR6" s="46">
        <v>0</v>
      </c>
      <c r="AS6" s="46">
        <v>0</v>
      </c>
      <c r="AT6" s="46">
        <v>4488</v>
      </c>
      <c r="AU6" s="46">
        <v>504</v>
      </c>
      <c r="AV6" s="46">
        <v>2</v>
      </c>
      <c r="AW6" s="46">
        <v>1</v>
      </c>
      <c r="AX6" s="46">
        <v>0</v>
      </c>
      <c r="AY6" s="46">
        <v>0</v>
      </c>
      <c r="AZ6" s="46">
        <v>0</v>
      </c>
      <c r="BA6" s="46">
        <v>124</v>
      </c>
      <c r="BB6" s="46">
        <v>1</v>
      </c>
      <c r="BC6" s="46">
        <v>1</v>
      </c>
      <c r="BD6" s="46">
        <v>1</v>
      </c>
      <c r="BE6" s="50" t="s">
        <v>159</v>
      </c>
      <c r="BF6" s="37"/>
      <c r="BG6" s="38"/>
    </row>
    <row r="7" spans="1:59" x14ac:dyDescent="0.25">
      <c r="A7" s="36">
        <v>4</v>
      </c>
      <c r="B7" s="46" t="s">
        <v>164</v>
      </c>
      <c r="C7" s="56">
        <v>60</v>
      </c>
      <c r="D7" s="63">
        <v>0.2</v>
      </c>
      <c r="E7" s="46">
        <v>16</v>
      </c>
      <c r="F7" s="46">
        <v>1.4999999999999999E-2</v>
      </c>
      <c r="G7" s="46">
        <v>5</v>
      </c>
      <c r="H7" s="46">
        <v>36.200000000000003</v>
      </c>
      <c r="I7" s="46">
        <v>224</v>
      </c>
      <c r="J7" s="46">
        <v>3210739711</v>
      </c>
      <c r="K7" s="46">
        <v>3186570034</v>
      </c>
      <c r="L7" s="46">
        <v>65311</v>
      </c>
      <c r="M7" s="46">
        <v>1</v>
      </c>
      <c r="N7" s="46">
        <v>33357</v>
      </c>
      <c r="O7" s="46" t="s">
        <v>159</v>
      </c>
      <c r="P7" s="46" t="s">
        <v>159</v>
      </c>
      <c r="Q7" s="37" t="s">
        <v>159</v>
      </c>
      <c r="R7" s="37" t="s">
        <v>159</v>
      </c>
      <c r="S7" s="37" t="s">
        <v>159</v>
      </c>
      <c r="T7" s="37" t="s">
        <v>159</v>
      </c>
      <c r="U7" s="37" t="s">
        <v>159</v>
      </c>
      <c r="V7" s="37" t="s">
        <v>159</v>
      </c>
      <c r="W7" s="37" t="s">
        <v>159</v>
      </c>
      <c r="X7" s="37" t="s">
        <v>159</v>
      </c>
      <c r="Y7" s="37" t="s">
        <v>159</v>
      </c>
      <c r="Z7" s="37" t="s">
        <v>159</v>
      </c>
      <c r="AA7" s="37" t="s">
        <v>159</v>
      </c>
      <c r="AB7" s="37" t="s">
        <v>159</v>
      </c>
      <c r="AC7" s="37" t="s">
        <v>159</v>
      </c>
      <c r="AD7" s="37" t="s">
        <v>159</v>
      </c>
      <c r="AE7" s="37" t="s">
        <v>159</v>
      </c>
      <c r="AF7" s="37" t="s">
        <v>159</v>
      </c>
      <c r="AG7" s="37" t="s">
        <v>159</v>
      </c>
      <c r="AH7" s="37" t="s">
        <v>159</v>
      </c>
      <c r="AI7" s="37" t="s">
        <v>159</v>
      </c>
      <c r="AJ7" s="46">
        <v>0.529510782280182</v>
      </c>
      <c r="AK7" s="46">
        <v>0.182138220055336</v>
      </c>
      <c r="AL7" s="46">
        <v>5</v>
      </c>
      <c r="AM7" s="46">
        <v>36.200000000000003</v>
      </c>
      <c r="AN7" s="46">
        <v>224</v>
      </c>
      <c r="AO7" s="46">
        <v>3210739711</v>
      </c>
      <c r="AP7" s="46">
        <v>3186570034</v>
      </c>
      <c r="AQ7" s="46">
        <v>65311</v>
      </c>
      <c r="AR7" s="46">
        <v>0</v>
      </c>
      <c r="AS7" s="46">
        <v>0</v>
      </c>
      <c r="AT7" s="46">
        <v>4488</v>
      </c>
      <c r="AU7" s="46">
        <v>504</v>
      </c>
      <c r="AV7" s="46">
        <v>0</v>
      </c>
      <c r="AW7" s="46">
        <v>0</v>
      </c>
      <c r="AX7" s="46">
        <v>0</v>
      </c>
      <c r="AY7" s="46">
        <v>0</v>
      </c>
      <c r="AZ7" s="46">
        <v>1</v>
      </c>
      <c r="BA7" s="46">
        <v>33357</v>
      </c>
      <c r="BB7" s="46">
        <v>1</v>
      </c>
      <c r="BC7" s="46">
        <v>1</v>
      </c>
      <c r="BD7" s="46">
        <v>1</v>
      </c>
      <c r="BE7" s="50" t="s">
        <v>159</v>
      </c>
      <c r="BF7" s="37"/>
      <c r="BG7" s="38"/>
    </row>
    <row r="8" spans="1:59" x14ac:dyDescent="0.25">
      <c r="A8" s="36">
        <v>5</v>
      </c>
      <c r="B8" s="46" t="s">
        <v>556</v>
      </c>
      <c r="C8" s="56">
        <v>10</v>
      </c>
      <c r="D8" s="63">
        <v>0.33</v>
      </c>
      <c r="E8" s="46">
        <v>17</v>
      </c>
      <c r="F8" s="46">
        <v>1.6E-2</v>
      </c>
      <c r="G8" s="46">
        <v>6</v>
      </c>
      <c r="H8" s="46">
        <v>37.200000000000003</v>
      </c>
      <c r="I8" s="46">
        <v>225</v>
      </c>
      <c r="J8" s="46">
        <v>3210739712</v>
      </c>
      <c r="K8" s="46">
        <v>3186570034</v>
      </c>
      <c r="L8" s="46">
        <v>65312</v>
      </c>
      <c r="M8" s="46">
        <v>20</v>
      </c>
      <c r="N8" s="46">
        <v>5900</v>
      </c>
      <c r="O8" s="46" t="s">
        <v>159</v>
      </c>
      <c r="P8" s="46" t="s">
        <v>159</v>
      </c>
      <c r="Q8" s="37" t="s">
        <v>159</v>
      </c>
      <c r="R8" s="37" t="s">
        <v>159</v>
      </c>
      <c r="S8" s="37" t="s">
        <v>159</v>
      </c>
      <c r="T8" s="37" t="s">
        <v>159</v>
      </c>
      <c r="U8" s="37" t="s">
        <v>159</v>
      </c>
      <c r="V8" s="37" t="s">
        <v>159</v>
      </c>
      <c r="W8" s="37" t="s">
        <v>159</v>
      </c>
      <c r="X8" s="37" t="s">
        <v>159</v>
      </c>
      <c r="Y8" s="37" t="s">
        <v>159</v>
      </c>
      <c r="Z8" s="37" t="s">
        <v>159</v>
      </c>
      <c r="AA8" s="37" t="s">
        <v>159</v>
      </c>
      <c r="AB8" s="37" t="s">
        <v>159</v>
      </c>
      <c r="AC8" s="37" t="s">
        <v>159</v>
      </c>
      <c r="AD8" s="37" t="s">
        <v>159</v>
      </c>
      <c r="AE8" s="37" t="s">
        <v>159</v>
      </c>
      <c r="AF8" s="37" t="s">
        <v>159</v>
      </c>
      <c r="AG8" s="37" t="s">
        <v>159</v>
      </c>
      <c r="AH8" s="37" t="s">
        <v>159</v>
      </c>
      <c r="AI8" s="37" t="s">
        <v>159</v>
      </c>
      <c r="AJ8" s="46">
        <v>0.11808862170182401</v>
      </c>
      <c r="AK8" s="46">
        <v>0.19235146816239099</v>
      </c>
      <c r="AL8" s="46">
        <v>0</v>
      </c>
      <c r="AM8" s="46">
        <v>0</v>
      </c>
      <c r="AN8" s="46">
        <v>4488</v>
      </c>
      <c r="AO8" s="46">
        <v>4294967295</v>
      </c>
      <c r="AP8" s="46">
        <v>4294967295</v>
      </c>
      <c r="AQ8" s="46">
        <v>61047</v>
      </c>
      <c r="AR8" s="46">
        <v>0</v>
      </c>
      <c r="AS8" s="46">
        <v>0</v>
      </c>
      <c r="AT8" s="46">
        <v>4488</v>
      </c>
      <c r="AU8" s="46">
        <v>504</v>
      </c>
      <c r="AV8" s="46">
        <v>2</v>
      </c>
      <c r="AW8" s="46">
        <v>1</v>
      </c>
      <c r="AX8" s="46">
        <v>0</v>
      </c>
      <c r="AY8" s="46">
        <v>0</v>
      </c>
      <c r="AZ8" s="46">
        <v>20</v>
      </c>
      <c r="BA8" s="46">
        <v>5900</v>
      </c>
      <c r="BB8" s="46">
        <v>1</v>
      </c>
      <c r="BC8" s="46">
        <v>1</v>
      </c>
      <c r="BD8" s="46">
        <v>1</v>
      </c>
      <c r="BE8" s="50" t="s">
        <v>159</v>
      </c>
      <c r="BF8" s="37"/>
      <c r="BG8" s="38"/>
    </row>
    <row r="9" spans="1:59" x14ac:dyDescent="0.25">
      <c r="A9" s="36">
        <v>6</v>
      </c>
      <c r="B9" s="46" t="s">
        <v>165</v>
      </c>
      <c r="C9" s="56">
        <v>30.5</v>
      </c>
      <c r="D9" s="63">
        <v>0.3</v>
      </c>
      <c r="E9" s="46">
        <v>24</v>
      </c>
      <c r="F9" s="46">
        <v>1.7999999999999999E-2</v>
      </c>
      <c r="G9" s="46">
        <v>9.9</v>
      </c>
      <c r="H9" s="46">
        <v>60</v>
      </c>
      <c r="I9" s="46">
        <v>324</v>
      </c>
      <c r="J9" s="46">
        <v>1999</v>
      </c>
      <c r="K9" s="46">
        <v>4672</v>
      </c>
      <c r="L9" s="46">
        <v>725</v>
      </c>
      <c r="M9" s="46">
        <v>39</v>
      </c>
      <c r="N9" s="46">
        <v>823</v>
      </c>
      <c r="O9" s="46" t="s">
        <v>159</v>
      </c>
      <c r="P9" s="46" t="s">
        <v>159</v>
      </c>
      <c r="Q9" s="37" t="s">
        <v>159</v>
      </c>
      <c r="R9" s="37" t="s">
        <v>159</v>
      </c>
      <c r="S9" s="37" t="s">
        <v>159</v>
      </c>
      <c r="T9" s="37" t="s">
        <v>159</v>
      </c>
      <c r="U9" s="37" t="s">
        <v>159</v>
      </c>
      <c r="V9" s="37" t="s">
        <v>159</v>
      </c>
      <c r="W9" s="37" t="s">
        <v>159</v>
      </c>
      <c r="X9" s="37" t="s">
        <v>159</v>
      </c>
      <c r="Y9" s="37" t="s">
        <v>159</v>
      </c>
      <c r="Z9" s="37" t="s">
        <v>159</v>
      </c>
      <c r="AA9" s="37" t="s">
        <v>159</v>
      </c>
      <c r="AB9" s="37" t="s">
        <v>159</v>
      </c>
      <c r="AC9" s="37" t="s">
        <v>159</v>
      </c>
      <c r="AD9" s="37" t="s">
        <v>159</v>
      </c>
      <c r="AE9" s="37" t="s">
        <v>159</v>
      </c>
      <c r="AF9" s="37" t="s">
        <v>159</v>
      </c>
      <c r="AG9" s="37" t="s">
        <v>159</v>
      </c>
      <c r="AH9" s="37" t="s">
        <v>159</v>
      </c>
      <c r="AI9" s="37" t="s">
        <v>159</v>
      </c>
      <c r="AJ9" s="46">
        <v>0.31837409889254698</v>
      </c>
      <c r="AK9" s="46">
        <v>0.26036088542345198</v>
      </c>
      <c r="AL9" s="46">
        <v>0</v>
      </c>
      <c r="AM9" s="46">
        <v>0</v>
      </c>
      <c r="AN9" s="46">
        <v>4488</v>
      </c>
      <c r="AO9" s="46">
        <v>4294967295</v>
      </c>
      <c r="AP9" s="46">
        <v>4294967295</v>
      </c>
      <c r="AQ9" s="46">
        <v>61047</v>
      </c>
      <c r="AR9" s="46">
        <v>0</v>
      </c>
      <c r="AS9" s="46">
        <v>0</v>
      </c>
      <c r="AT9" s="46">
        <v>4488</v>
      </c>
      <c r="AU9" s="46">
        <v>504</v>
      </c>
      <c r="AV9" s="46">
        <v>2</v>
      </c>
      <c r="AW9" s="46">
        <v>1</v>
      </c>
      <c r="AX9" s="46">
        <v>0</v>
      </c>
      <c r="AY9" s="46">
        <v>0</v>
      </c>
      <c r="AZ9" s="46">
        <v>39</v>
      </c>
      <c r="BA9" s="46">
        <v>823</v>
      </c>
      <c r="BB9" s="46">
        <v>1</v>
      </c>
      <c r="BC9" s="46">
        <v>1</v>
      </c>
      <c r="BD9" s="46">
        <v>1</v>
      </c>
      <c r="BE9" s="50" t="s">
        <v>159</v>
      </c>
      <c r="BF9" s="37"/>
      <c r="BG9" s="38"/>
    </row>
    <row r="10" spans="1:59" x14ac:dyDescent="0.25">
      <c r="A10" s="36">
        <v>7</v>
      </c>
      <c r="B10" s="46" t="s">
        <v>319</v>
      </c>
      <c r="C10" s="46">
        <v>6</v>
      </c>
      <c r="D10" s="56">
        <v>0</v>
      </c>
      <c r="E10" s="46">
        <v>32.9</v>
      </c>
      <c r="F10" s="46">
        <v>2.1000000000000001E-2</v>
      </c>
      <c r="G10" s="46">
        <v>13</v>
      </c>
      <c r="H10" s="46">
        <v>84</v>
      </c>
      <c r="I10" s="46">
        <v>424</v>
      </c>
      <c r="J10" s="46">
        <v>2998</v>
      </c>
      <c r="K10" s="46">
        <v>5780</v>
      </c>
      <c r="L10" s="46">
        <v>825</v>
      </c>
      <c r="M10" s="46">
        <v>58</v>
      </c>
      <c r="N10" s="46">
        <v>1056</v>
      </c>
      <c r="O10" s="46" t="s">
        <v>159</v>
      </c>
      <c r="P10" s="46" t="s">
        <v>159</v>
      </c>
      <c r="Q10" s="37" t="s">
        <v>159</v>
      </c>
      <c r="R10" s="37" t="s">
        <v>159</v>
      </c>
      <c r="S10" s="37" t="s">
        <v>159</v>
      </c>
      <c r="T10" s="37" t="s">
        <v>159</v>
      </c>
      <c r="U10" s="37" t="s">
        <v>159</v>
      </c>
      <c r="V10" s="37" t="s">
        <v>159</v>
      </c>
      <c r="W10" s="37" t="s">
        <v>159</v>
      </c>
      <c r="X10" s="37" t="s">
        <v>159</v>
      </c>
      <c r="Y10" s="37" t="s">
        <v>159</v>
      </c>
      <c r="Z10" s="37" t="s">
        <v>159</v>
      </c>
      <c r="AA10" s="37" t="s">
        <v>159</v>
      </c>
      <c r="AB10" s="37" t="s">
        <v>159</v>
      </c>
      <c r="AC10" s="37" t="s">
        <v>159</v>
      </c>
      <c r="AD10" s="37" t="s">
        <v>159</v>
      </c>
      <c r="AE10" s="37" t="s">
        <v>159</v>
      </c>
      <c r="AF10" s="37" t="s">
        <v>159</v>
      </c>
      <c r="AG10" s="37" t="s">
        <v>159</v>
      </c>
      <c r="AH10" s="37" t="s">
        <v>159</v>
      </c>
      <c r="AI10" s="37" t="s">
        <v>159</v>
      </c>
      <c r="AJ10" s="46">
        <v>7.2625889550385805E-2</v>
      </c>
      <c r="AK10" s="46">
        <v>0.33862454725861502</v>
      </c>
      <c r="AL10" s="46">
        <v>0</v>
      </c>
      <c r="AM10" s="46">
        <v>0</v>
      </c>
      <c r="AN10" s="46">
        <v>4488</v>
      </c>
      <c r="AO10" s="46">
        <v>4294967295</v>
      </c>
      <c r="AP10" s="46">
        <v>4294967295</v>
      </c>
      <c r="AQ10" s="46">
        <v>61047</v>
      </c>
      <c r="AR10" s="46">
        <v>0</v>
      </c>
      <c r="AS10" s="46">
        <v>0</v>
      </c>
      <c r="AT10" s="46">
        <v>4488</v>
      </c>
      <c r="AU10" s="46">
        <v>504</v>
      </c>
      <c r="AV10" s="46">
        <v>2</v>
      </c>
      <c r="AW10" s="46">
        <v>1</v>
      </c>
      <c r="AX10" s="46">
        <v>0</v>
      </c>
      <c r="AY10" s="46">
        <v>0</v>
      </c>
      <c r="AZ10" s="46">
        <v>58</v>
      </c>
      <c r="BA10" s="46">
        <v>1056</v>
      </c>
      <c r="BB10" s="46">
        <v>1</v>
      </c>
      <c r="BC10" s="46">
        <v>1</v>
      </c>
      <c r="BD10" s="46">
        <v>1</v>
      </c>
      <c r="BE10" s="50" t="s">
        <v>159</v>
      </c>
      <c r="BF10" s="37"/>
      <c r="BG10" s="38"/>
    </row>
    <row r="11" spans="1:59" x14ac:dyDescent="0.25">
      <c r="A11" s="36">
        <v>8</v>
      </c>
      <c r="B11" s="46" t="s">
        <v>320</v>
      </c>
      <c r="C11" s="46">
        <v>12</v>
      </c>
      <c r="D11" s="56">
        <v>1</v>
      </c>
      <c r="E11" s="46">
        <v>40</v>
      </c>
      <c r="F11" s="46">
        <v>2.4E-2</v>
      </c>
      <c r="G11" s="46">
        <v>17.399999999999999</v>
      </c>
      <c r="H11" s="46">
        <v>108</v>
      </c>
      <c r="I11" s="46">
        <v>524</v>
      </c>
      <c r="J11" s="46">
        <v>3997</v>
      </c>
      <c r="K11" s="46">
        <v>6888</v>
      </c>
      <c r="L11" s="46">
        <v>925</v>
      </c>
      <c r="M11" s="46">
        <v>77</v>
      </c>
      <c r="N11" s="46">
        <v>1289</v>
      </c>
      <c r="O11" s="46" t="s">
        <v>159</v>
      </c>
      <c r="P11" s="46" t="s">
        <v>159</v>
      </c>
      <c r="Q11" s="37" t="s">
        <v>159</v>
      </c>
      <c r="R11" s="37" t="s">
        <v>159</v>
      </c>
      <c r="S11" s="37" t="s">
        <v>159</v>
      </c>
      <c r="T11" s="37" t="s">
        <v>159</v>
      </c>
      <c r="U11" s="37" t="s">
        <v>159</v>
      </c>
      <c r="V11" s="37" t="s">
        <v>159</v>
      </c>
      <c r="W11" s="37" t="s">
        <v>159</v>
      </c>
      <c r="X11" s="37" t="s">
        <v>159</v>
      </c>
      <c r="Y11" s="37" t="s">
        <v>159</v>
      </c>
      <c r="Z11" s="37" t="s">
        <v>159</v>
      </c>
      <c r="AA11" s="37" t="s">
        <v>159</v>
      </c>
      <c r="AB11" s="37" t="s">
        <v>159</v>
      </c>
      <c r="AC11" s="37" t="s">
        <v>159</v>
      </c>
      <c r="AD11" s="37" t="s">
        <v>159</v>
      </c>
      <c r="AE11" s="37" t="s">
        <v>159</v>
      </c>
      <c r="AF11" s="37" t="s">
        <v>159</v>
      </c>
      <c r="AG11" s="37" t="s">
        <v>159</v>
      </c>
      <c r="AH11" s="37" t="s">
        <v>159</v>
      </c>
      <c r="AI11" s="37" t="s">
        <v>159</v>
      </c>
      <c r="AJ11" s="46">
        <v>0.13997725926778701</v>
      </c>
      <c r="AK11" s="46">
        <v>0.39507743723572902</v>
      </c>
      <c r="AL11" s="46">
        <v>0</v>
      </c>
      <c r="AM11" s="46">
        <v>0</v>
      </c>
      <c r="AN11" s="46">
        <v>4488</v>
      </c>
      <c r="AO11" s="46">
        <v>4294967295</v>
      </c>
      <c r="AP11" s="46">
        <v>4294967295</v>
      </c>
      <c r="AQ11" s="46">
        <v>61047</v>
      </c>
      <c r="AR11" s="46">
        <v>0</v>
      </c>
      <c r="AS11" s="46">
        <v>0</v>
      </c>
      <c r="AT11" s="46">
        <v>4488</v>
      </c>
      <c r="AU11" s="46">
        <v>504</v>
      </c>
      <c r="AV11" s="46">
        <v>2</v>
      </c>
      <c r="AW11" s="46">
        <v>1</v>
      </c>
      <c r="AX11" s="46">
        <v>0</v>
      </c>
      <c r="AY11" s="46">
        <v>0</v>
      </c>
      <c r="AZ11" s="46">
        <v>77</v>
      </c>
      <c r="BA11" s="46">
        <v>1289</v>
      </c>
      <c r="BB11" s="46">
        <v>1</v>
      </c>
      <c r="BC11" s="46">
        <v>1</v>
      </c>
      <c r="BD11" s="46">
        <v>1</v>
      </c>
      <c r="BE11" s="50" t="s">
        <v>159</v>
      </c>
      <c r="BF11" s="37"/>
      <c r="BG11" s="38"/>
    </row>
    <row r="12" spans="1:59" x14ac:dyDescent="0.25">
      <c r="A12" s="36">
        <v>9</v>
      </c>
      <c r="B12" s="46" t="s">
        <v>321</v>
      </c>
      <c r="C12" s="46">
        <v>18.399999999999999</v>
      </c>
      <c r="D12" s="56">
        <v>0.2</v>
      </c>
      <c r="E12" s="46">
        <v>48</v>
      </c>
      <c r="F12" s="46">
        <v>2.7E-2</v>
      </c>
      <c r="G12" s="46">
        <v>21</v>
      </c>
      <c r="H12" s="46">
        <v>132.1</v>
      </c>
      <c r="I12" s="46">
        <v>624</v>
      </c>
      <c r="J12" s="46">
        <v>3193438207</v>
      </c>
      <c r="K12" s="46">
        <v>3170625125</v>
      </c>
      <c r="L12" s="46">
        <v>64911</v>
      </c>
      <c r="M12" s="46">
        <v>96</v>
      </c>
      <c r="N12" s="46">
        <v>1522</v>
      </c>
      <c r="O12" s="46" t="s">
        <v>159</v>
      </c>
      <c r="P12" s="46" t="s">
        <v>159</v>
      </c>
      <c r="Q12" s="37" t="s">
        <v>159</v>
      </c>
      <c r="R12" s="37" t="s">
        <v>159</v>
      </c>
      <c r="S12" s="37" t="s">
        <v>159</v>
      </c>
      <c r="T12" s="37" t="s">
        <v>159</v>
      </c>
      <c r="U12" s="37" t="s">
        <v>159</v>
      </c>
      <c r="V12" s="37" t="s">
        <v>159</v>
      </c>
      <c r="W12" s="37" t="s">
        <v>159</v>
      </c>
      <c r="X12" s="37" t="s">
        <v>159</v>
      </c>
      <c r="Y12" s="37" t="s">
        <v>159</v>
      </c>
      <c r="Z12" s="37" t="s">
        <v>159</v>
      </c>
      <c r="AA12" s="37" t="s">
        <v>159</v>
      </c>
      <c r="AB12" s="37" t="s">
        <v>159</v>
      </c>
      <c r="AC12" s="37" t="s">
        <v>159</v>
      </c>
      <c r="AD12" s="37" t="s">
        <v>159</v>
      </c>
      <c r="AE12" s="37" t="s">
        <v>159</v>
      </c>
      <c r="AF12" s="37" t="s">
        <v>159</v>
      </c>
      <c r="AG12" s="37" t="s">
        <v>159</v>
      </c>
      <c r="AH12" s="37" t="s">
        <v>159</v>
      </c>
      <c r="AI12" s="37" t="s">
        <v>159</v>
      </c>
      <c r="AJ12" s="46">
        <v>0.20643610503658499</v>
      </c>
      <c r="AK12" s="46">
        <v>0.45293398018842101</v>
      </c>
      <c r="AL12" s="46">
        <v>21</v>
      </c>
      <c r="AM12" s="46">
        <v>132.1</v>
      </c>
      <c r="AN12" s="46">
        <v>624</v>
      </c>
      <c r="AO12" s="46">
        <v>3193438207</v>
      </c>
      <c r="AP12" s="46">
        <v>3170625125</v>
      </c>
      <c r="AQ12" s="46">
        <v>64911</v>
      </c>
      <c r="AR12" s="46">
        <v>0</v>
      </c>
      <c r="AS12" s="46">
        <v>0</v>
      </c>
      <c r="AT12" s="46">
        <v>4488</v>
      </c>
      <c r="AU12" s="46">
        <v>504</v>
      </c>
      <c r="AV12" s="46">
        <v>0</v>
      </c>
      <c r="AW12" s="46">
        <v>0</v>
      </c>
      <c r="AX12" s="46">
        <v>0</v>
      </c>
      <c r="AY12" s="46">
        <v>0</v>
      </c>
      <c r="AZ12" s="46">
        <v>96</v>
      </c>
      <c r="BA12" s="46">
        <v>1522</v>
      </c>
      <c r="BB12" s="46">
        <v>1</v>
      </c>
      <c r="BC12" s="46">
        <v>1</v>
      </c>
      <c r="BD12" s="46">
        <v>1</v>
      </c>
      <c r="BE12" s="50" t="s">
        <v>159</v>
      </c>
      <c r="BF12" s="37"/>
      <c r="BG12" s="38"/>
    </row>
    <row r="13" spans="1:59" x14ac:dyDescent="0.25">
      <c r="A13" s="36">
        <v>10</v>
      </c>
      <c r="B13" s="46" t="s">
        <v>166</v>
      </c>
      <c r="C13" s="46">
        <v>24</v>
      </c>
      <c r="D13" s="46">
        <v>0.01</v>
      </c>
      <c r="E13" s="56">
        <v>1</v>
      </c>
      <c r="F13" s="46">
        <v>0.03</v>
      </c>
      <c r="G13" s="46">
        <v>25</v>
      </c>
      <c r="H13" s="46">
        <v>156</v>
      </c>
      <c r="I13" s="46">
        <v>724</v>
      </c>
      <c r="J13" s="46">
        <v>5995</v>
      </c>
      <c r="K13" s="46">
        <v>9104</v>
      </c>
      <c r="L13" s="46">
        <v>1125</v>
      </c>
      <c r="M13" s="46">
        <v>115</v>
      </c>
      <c r="N13" s="46">
        <v>1755</v>
      </c>
      <c r="O13" s="46" t="s">
        <v>159</v>
      </c>
      <c r="P13" s="46" t="s">
        <v>159</v>
      </c>
      <c r="Q13" s="37" t="s">
        <v>159</v>
      </c>
      <c r="R13" s="37" t="s">
        <v>159</v>
      </c>
      <c r="S13" s="37" t="s">
        <v>159</v>
      </c>
      <c r="T13" s="37" t="s">
        <v>159</v>
      </c>
      <c r="U13" s="37" t="s">
        <v>159</v>
      </c>
      <c r="V13" s="37" t="s">
        <v>159</v>
      </c>
      <c r="W13" s="37" t="s">
        <v>159</v>
      </c>
      <c r="X13" s="37" t="s">
        <v>159</v>
      </c>
      <c r="Y13" s="37" t="s">
        <v>159</v>
      </c>
      <c r="Z13" s="37" t="s">
        <v>159</v>
      </c>
      <c r="AA13" s="37" t="s">
        <v>159</v>
      </c>
      <c r="AB13" s="37" t="s">
        <v>159</v>
      </c>
      <c r="AC13" s="37" t="s">
        <v>159</v>
      </c>
      <c r="AD13" s="37" t="s">
        <v>159</v>
      </c>
      <c r="AE13" s="37" t="s">
        <v>159</v>
      </c>
      <c r="AF13" s="37" t="s">
        <v>159</v>
      </c>
      <c r="AG13" s="37" t="s">
        <v>159</v>
      </c>
      <c r="AH13" s="37" t="s">
        <v>159</v>
      </c>
      <c r="AI13" s="37" t="s">
        <v>159</v>
      </c>
      <c r="AJ13" s="46">
        <v>0.26036088542345198</v>
      </c>
      <c r="AK13" s="46">
        <v>1.2487743476344E-2</v>
      </c>
      <c r="AL13" s="46">
        <v>0</v>
      </c>
      <c r="AM13" s="46">
        <v>0</v>
      </c>
      <c r="AN13" s="46">
        <v>4488</v>
      </c>
      <c r="AO13" s="46">
        <v>4294967295</v>
      </c>
      <c r="AP13" s="46">
        <v>4294967295</v>
      </c>
      <c r="AQ13" s="46">
        <v>61047</v>
      </c>
      <c r="AR13" s="46">
        <v>0</v>
      </c>
      <c r="AS13" s="46">
        <v>0</v>
      </c>
      <c r="AT13" s="46">
        <v>4488</v>
      </c>
      <c r="AU13" s="46">
        <v>504</v>
      </c>
      <c r="AV13" s="46">
        <v>2</v>
      </c>
      <c r="AW13" s="46">
        <v>1</v>
      </c>
      <c r="AX13" s="46">
        <v>0</v>
      </c>
      <c r="AY13" s="46">
        <v>0</v>
      </c>
      <c r="AZ13" s="46">
        <v>115</v>
      </c>
      <c r="BA13" s="46">
        <v>1755</v>
      </c>
      <c r="BB13" s="46">
        <v>1</v>
      </c>
      <c r="BC13" s="46">
        <v>1</v>
      </c>
      <c r="BD13" s="46">
        <v>1</v>
      </c>
      <c r="BE13" s="50" t="s">
        <v>159</v>
      </c>
      <c r="BF13" s="37"/>
      <c r="BG13" s="38"/>
    </row>
    <row r="14" spans="1:59" x14ac:dyDescent="0.25">
      <c r="A14" s="36">
        <v>11</v>
      </c>
      <c r="B14" s="46" t="s">
        <v>167</v>
      </c>
      <c r="C14" s="46">
        <v>30</v>
      </c>
      <c r="D14" s="46">
        <v>0.02</v>
      </c>
      <c r="E14" s="56">
        <v>60</v>
      </c>
      <c r="F14" s="46">
        <v>3.3000000000000002E-2</v>
      </c>
      <c r="G14" s="46">
        <v>29.2</v>
      </c>
      <c r="H14" s="46">
        <v>180</v>
      </c>
      <c r="I14" s="46">
        <v>824</v>
      </c>
      <c r="J14" s="46">
        <v>6994</v>
      </c>
      <c r="K14" s="46">
        <v>10212</v>
      </c>
      <c r="L14" s="46">
        <v>1225</v>
      </c>
      <c r="M14" s="46">
        <v>134</v>
      </c>
      <c r="N14" s="46">
        <v>1988</v>
      </c>
      <c r="O14" s="46" t="s">
        <v>159</v>
      </c>
      <c r="P14" s="46" t="s">
        <v>159</v>
      </c>
      <c r="Q14" s="37" t="s">
        <v>159</v>
      </c>
      <c r="R14" s="37" t="s">
        <v>159</v>
      </c>
      <c r="S14" s="37" t="s">
        <v>159</v>
      </c>
      <c r="T14" s="37" t="s">
        <v>159</v>
      </c>
      <c r="U14" s="37" t="s">
        <v>159</v>
      </c>
      <c r="V14" s="37" t="s">
        <v>159</v>
      </c>
      <c r="W14" s="37" t="s">
        <v>159</v>
      </c>
      <c r="X14" s="37" t="s">
        <v>159</v>
      </c>
      <c r="Y14" s="37" t="s">
        <v>159</v>
      </c>
      <c r="Z14" s="37" t="s">
        <v>159</v>
      </c>
      <c r="AA14" s="37" t="s">
        <v>159</v>
      </c>
      <c r="AB14" s="37" t="s">
        <v>159</v>
      </c>
      <c r="AC14" s="37" t="s">
        <v>159</v>
      </c>
      <c r="AD14" s="37" t="s">
        <v>159</v>
      </c>
      <c r="AE14" s="37" t="s">
        <v>159</v>
      </c>
      <c r="AF14" s="37" t="s">
        <v>159</v>
      </c>
      <c r="AG14" s="37" t="s">
        <v>159</v>
      </c>
      <c r="AH14" s="37" t="s">
        <v>159</v>
      </c>
      <c r="AI14" s="37" t="s">
        <v>159</v>
      </c>
      <c r="AJ14" s="46">
        <v>0.31407783406583401</v>
      </c>
      <c r="AK14" s="46">
        <v>0.529510782280182</v>
      </c>
      <c r="AL14" s="46">
        <v>0</v>
      </c>
      <c r="AM14" s="46">
        <v>0</v>
      </c>
      <c r="AN14" s="46">
        <v>4488</v>
      </c>
      <c r="AO14" s="46">
        <v>4294967295</v>
      </c>
      <c r="AP14" s="46">
        <v>4294967295</v>
      </c>
      <c r="AQ14" s="46">
        <v>61047</v>
      </c>
      <c r="AR14" s="46">
        <v>0</v>
      </c>
      <c r="AS14" s="46">
        <v>0</v>
      </c>
      <c r="AT14" s="46">
        <v>4488</v>
      </c>
      <c r="AU14" s="46">
        <v>504</v>
      </c>
      <c r="AV14" s="46">
        <v>2</v>
      </c>
      <c r="AW14" s="46">
        <v>1</v>
      </c>
      <c r="AX14" s="46">
        <v>0</v>
      </c>
      <c r="AY14" s="46">
        <v>0</v>
      </c>
      <c r="AZ14" s="46">
        <v>134</v>
      </c>
      <c r="BA14" s="46">
        <v>1988</v>
      </c>
      <c r="BB14" s="46">
        <v>1</v>
      </c>
      <c r="BC14" s="46">
        <v>1</v>
      </c>
      <c r="BD14" s="46">
        <v>1</v>
      </c>
      <c r="BE14" s="50" t="s">
        <v>159</v>
      </c>
      <c r="BF14" s="37"/>
      <c r="BG14" s="38"/>
    </row>
    <row r="15" spans="1:59" x14ac:dyDescent="0.25">
      <c r="A15" s="36">
        <v>12</v>
      </c>
      <c r="B15" s="46" t="s">
        <v>557</v>
      </c>
      <c r="C15" s="46">
        <v>31</v>
      </c>
      <c r="D15" s="46">
        <v>2.3E-2</v>
      </c>
      <c r="E15" s="56">
        <v>10</v>
      </c>
      <c r="F15" s="46">
        <v>3.4000000000000002E-2</v>
      </c>
      <c r="G15" s="46">
        <v>30.2</v>
      </c>
      <c r="H15" s="46">
        <v>181</v>
      </c>
      <c r="I15" s="46">
        <v>825</v>
      </c>
      <c r="J15" s="46">
        <v>6995</v>
      </c>
      <c r="K15" s="46">
        <v>10213</v>
      </c>
      <c r="L15" s="46">
        <v>1226</v>
      </c>
      <c r="M15" s="46">
        <v>153</v>
      </c>
      <c r="N15" s="46">
        <v>2221</v>
      </c>
      <c r="O15" s="46" t="s">
        <v>159</v>
      </c>
      <c r="P15" s="46" t="s">
        <v>159</v>
      </c>
      <c r="Q15" s="37" t="s">
        <v>159</v>
      </c>
      <c r="R15" s="37" t="s">
        <v>159</v>
      </c>
      <c r="S15" s="37" t="s">
        <v>159</v>
      </c>
      <c r="T15" s="37" t="s">
        <v>159</v>
      </c>
      <c r="U15" s="37" t="s">
        <v>159</v>
      </c>
      <c r="V15" s="37" t="s">
        <v>159</v>
      </c>
      <c r="W15" s="37" t="s">
        <v>159</v>
      </c>
      <c r="X15" s="37" t="s">
        <v>159</v>
      </c>
      <c r="Y15" s="37" t="s">
        <v>159</v>
      </c>
      <c r="Z15" s="37" t="s">
        <v>159</v>
      </c>
      <c r="AA15" s="37" t="s">
        <v>159</v>
      </c>
      <c r="AB15" s="37" t="s">
        <v>159</v>
      </c>
      <c r="AC15" s="37" t="s">
        <v>159</v>
      </c>
      <c r="AD15" s="37" t="s">
        <v>159</v>
      </c>
      <c r="AE15" s="37" t="s">
        <v>159</v>
      </c>
      <c r="AF15" s="37" t="s">
        <v>159</v>
      </c>
      <c r="AG15" s="37" t="s">
        <v>159</v>
      </c>
      <c r="AH15" s="37" t="s">
        <v>159</v>
      </c>
      <c r="AI15" s="37" t="s">
        <v>159</v>
      </c>
      <c r="AJ15" s="46">
        <v>0.322643454118758</v>
      </c>
      <c r="AK15" s="46">
        <v>0.11808862170182401</v>
      </c>
      <c r="AL15" s="46">
        <v>0</v>
      </c>
      <c r="AM15" s="46">
        <v>0</v>
      </c>
      <c r="AN15" s="46">
        <v>4488</v>
      </c>
      <c r="AO15" s="46">
        <v>4294967295</v>
      </c>
      <c r="AP15" s="46">
        <v>4294967295</v>
      </c>
      <c r="AQ15" s="46">
        <v>61047</v>
      </c>
      <c r="AR15" s="46">
        <v>0</v>
      </c>
      <c r="AS15" s="46">
        <v>0</v>
      </c>
      <c r="AT15" s="46">
        <v>4488</v>
      </c>
      <c r="AU15" s="46">
        <v>504</v>
      </c>
      <c r="AV15" s="46">
        <v>2</v>
      </c>
      <c r="AW15" s="46">
        <v>1</v>
      </c>
      <c r="AX15" s="46">
        <v>0</v>
      </c>
      <c r="AY15" s="46">
        <v>0</v>
      </c>
      <c r="AZ15" s="46">
        <v>153</v>
      </c>
      <c r="BA15" s="46">
        <v>2221</v>
      </c>
      <c r="BB15" s="46">
        <v>1</v>
      </c>
      <c r="BC15" s="46">
        <v>1</v>
      </c>
      <c r="BD15" s="46">
        <v>1</v>
      </c>
      <c r="BE15" s="50" t="s">
        <v>159</v>
      </c>
      <c r="BF15" s="37"/>
      <c r="BG15" s="38"/>
    </row>
    <row r="16" spans="1:59" x14ac:dyDescent="0.25">
      <c r="A16" s="36">
        <v>13</v>
      </c>
      <c r="B16" s="46" t="s">
        <v>168</v>
      </c>
      <c r="C16" s="46">
        <v>36</v>
      </c>
      <c r="D16" s="46">
        <v>0.03</v>
      </c>
      <c r="E16" s="56">
        <v>30.5</v>
      </c>
      <c r="F16" s="46">
        <v>3.5999999999999997E-2</v>
      </c>
      <c r="G16" s="46">
        <v>33</v>
      </c>
      <c r="H16" s="46">
        <v>204.4</v>
      </c>
      <c r="I16" s="46">
        <v>924</v>
      </c>
      <c r="J16" s="46">
        <v>7993</v>
      </c>
      <c r="K16" s="46">
        <v>11320</v>
      </c>
      <c r="L16" s="46">
        <v>1325</v>
      </c>
      <c r="M16" s="46">
        <v>172</v>
      </c>
      <c r="N16" s="46">
        <v>2454</v>
      </c>
      <c r="O16" s="46" t="s">
        <v>159</v>
      </c>
      <c r="P16" s="46" t="s">
        <v>159</v>
      </c>
      <c r="Q16" s="37" t="s">
        <v>159</v>
      </c>
      <c r="R16" s="37" t="s">
        <v>159</v>
      </c>
      <c r="S16" s="37" t="s">
        <v>159</v>
      </c>
      <c r="T16" s="37" t="s">
        <v>159</v>
      </c>
      <c r="U16" s="37" t="s">
        <v>159</v>
      </c>
      <c r="V16" s="37" t="s">
        <v>159</v>
      </c>
      <c r="W16" s="37" t="s">
        <v>159</v>
      </c>
      <c r="X16" s="37" t="s">
        <v>159</v>
      </c>
      <c r="Y16" s="37" t="s">
        <v>159</v>
      </c>
      <c r="Z16" s="37" t="s">
        <v>159</v>
      </c>
      <c r="AA16" s="37" t="s">
        <v>159</v>
      </c>
      <c r="AB16" s="37" t="s">
        <v>159</v>
      </c>
      <c r="AC16" s="37" t="s">
        <v>159</v>
      </c>
      <c r="AD16" s="37" t="s">
        <v>159</v>
      </c>
      <c r="AE16" s="37" t="s">
        <v>159</v>
      </c>
      <c r="AF16" s="37" t="s">
        <v>159</v>
      </c>
      <c r="AG16" s="37" t="s">
        <v>159</v>
      </c>
      <c r="AH16" s="37" t="s">
        <v>159</v>
      </c>
      <c r="AI16" s="37" t="s">
        <v>159</v>
      </c>
      <c r="AJ16" s="46">
        <v>0.36389354152913</v>
      </c>
      <c r="AK16" s="46">
        <v>0.31837409889254698</v>
      </c>
      <c r="AL16" s="46">
        <v>0</v>
      </c>
      <c r="AM16" s="46">
        <v>0</v>
      </c>
      <c r="AN16" s="46">
        <v>4488</v>
      </c>
      <c r="AO16" s="46">
        <v>4294967295</v>
      </c>
      <c r="AP16" s="46">
        <v>4294967295</v>
      </c>
      <c r="AQ16" s="46">
        <v>61047</v>
      </c>
      <c r="AR16" s="46">
        <v>0</v>
      </c>
      <c r="AS16" s="46">
        <v>0</v>
      </c>
      <c r="AT16" s="46">
        <v>4488</v>
      </c>
      <c r="AU16" s="46">
        <v>504</v>
      </c>
      <c r="AV16" s="46">
        <v>2</v>
      </c>
      <c r="AW16" s="46">
        <v>1</v>
      </c>
      <c r="AX16" s="46">
        <v>0</v>
      </c>
      <c r="AY16" s="46">
        <v>0</v>
      </c>
      <c r="AZ16" s="46">
        <v>172</v>
      </c>
      <c r="BA16" s="46">
        <v>2454</v>
      </c>
      <c r="BB16" s="46">
        <v>1</v>
      </c>
      <c r="BC16" s="46">
        <v>1</v>
      </c>
      <c r="BD16" s="46">
        <v>1</v>
      </c>
      <c r="BE16" s="50" t="s">
        <v>159</v>
      </c>
      <c r="BF16" s="37"/>
      <c r="BG16" s="38"/>
    </row>
    <row r="17" spans="1:59" x14ac:dyDescent="0.25">
      <c r="A17" s="36">
        <v>14</v>
      </c>
      <c r="B17" s="46" t="s">
        <v>322</v>
      </c>
      <c r="C17" s="46">
        <v>42.9</v>
      </c>
      <c r="D17" s="46">
        <v>0.04</v>
      </c>
      <c r="E17" s="46">
        <v>5</v>
      </c>
      <c r="F17" s="56">
        <v>0</v>
      </c>
      <c r="G17" s="46">
        <v>37</v>
      </c>
      <c r="H17" s="46">
        <v>228</v>
      </c>
      <c r="I17" s="46">
        <v>1024</v>
      </c>
      <c r="J17" s="46">
        <v>8992</v>
      </c>
      <c r="K17" s="46">
        <v>12428</v>
      </c>
      <c r="L17" s="46">
        <v>1425</v>
      </c>
      <c r="M17" s="46">
        <v>191</v>
      </c>
      <c r="N17" s="46">
        <v>2687</v>
      </c>
      <c r="O17" s="46" t="s">
        <v>159</v>
      </c>
      <c r="P17" s="46" t="s">
        <v>159</v>
      </c>
      <c r="Q17" s="37" t="s">
        <v>159</v>
      </c>
      <c r="R17" s="37" t="s">
        <v>159</v>
      </c>
      <c r="S17" s="37" t="s">
        <v>159</v>
      </c>
      <c r="T17" s="37" t="s">
        <v>159</v>
      </c>
      <c r="U17" s="37" t="s">
        <v>159</v>
      </c>
      <c r="V17" s="37" t="s">
        <v>159</v>
      </c>
      <c r="W17" s="37" t="s">
        <v>159</v>
      </c>
      <c r="X17" s="37" t="s">
        <v>159</v>
      </c>
      <c r="Y17" s="37" t="s">
        <v>159</v>
      </c>
      <c r="Z17" s="37" t="s">
        <v>159</v>
      </c>
      <c r="AA17" s="37" t="s">
        <v>159</v>
      </c>
      <c r="AB17" s="37" t="s">
        <v>159</v>
      </c>
      <c r="AC17" s="37" t="s">
        <v>159</v>
      </c>
      <c r="AD17" s="37" t="s">
        <v>159</v>
      </c>
      <c r="AE17" s="37" t="s">
        <v>159</v>
      </c>
      <c r="AF17" s="37" t="s">
        <v>159</v>
      </c>
      <c r="AG17" s="37" t="s">
        <v>159</v>
      </c>
      <c r="AH17" s="37" t="s">
        <v>159</v>
      </c>
      <c r="AI17" s="37" t="s">
        <v>159</v>
      </c>
      <c r="AJ17" s="46">
        <v>0.41672546290026502</v>
      </c>
      <c r="AK17" s="46">
        <v>6.08986325757074E-2</v>
      </c>
      <c r="AL17" s="46">
        <v>0</v>
      </c>
      <c r="AM17" s="46">
        <v>0</v>
      </c>
      <c r="AN17" s="46">
        <v>4488</v>
      </c>
      <c r="AO17" s="46">
        <v>4294967295</v>
      </c>
      <c r="AP17" s="46">
        <v>4294967295</v>
      </c>
      <c r="AQ17" s="46">
        <v>61047</v>
      </c>
      <c r="AR17" s="46">
        <v>0</v>
      </c>
      <c r="AS17" s="46">
        <v>0</v>
      </c>
      <c r="AT17" s="46">
        <v>4488</v>
      </c>
      <c r="AU17" s="46">
        <v>504</v>
      </c>
      <c r="AV17" s="46">
        <v>2</v>
      </c>
      <c r="AW17" s="46">
        <v>1</v>
      </c>
      <c r="AX17" s="46">
        <v>0</v>
      </c>
      <c r="AY17" s="46">
        <v>0</v>
      </c>
      <c r="AZ17" s="46">
        <v>191</v>
      </c>
      <c r="BA17" s="46">
        <v>2687</v>
      </c>
      <c r="BB17" s="46">
        <v>1</v>
      </c>
      <c r="BC17" s="46">
        <v>1</v>
      </c>
      <c r="BD17" s="46">
        <v>1</v>
      </c>
      <c r="BE17" s="50" t="s">
        <v>159</v>
      </c>
      <c r="BF17" s="37"/>
      <c r="BG17" s="38"/>
    </row>
    <row r="18" spans="1:59" x14ac:dyDescent="0.25">
      <c r="A18" s="36">
        <v>15</v>
      </c>
      <c r="B18" s="46" t="s">
        <v>323</v>
      </c>
      <c r="C18" s="46">
        <v>48</v>
      </c>
      <c r="D18" s="46">
        <v>0.05</v>
      </c>
      <c r="E18" s="46">
        <v>10.5</v>
      </c>
      <c r="F18" s="56">
        <v>1</v>
      </c>
      <c r="G18" s="46">
        <v>41.1</v>
      </c>
      <c r="H18" s="46">
        <v>252</v>
      </c>
      <c r="I18" s="46">
        <v>1124</v>
      </c>
      <c r="J18" s="46">
        <v>3185285529</v>
      </c>
      <c r="K18" s="46">
        <v>3162767359</v>
      </c>
      <c r="L18" s="46">
        <v>64411</v>
      </c>
      <c r="M18" s="46">
        <v>210</v>
      </c>
      <c r="N18" s="46">
        <v>2920</v>
      </c>
      <c r="O18" s="46" t="s">
        <v>159</v>
      </c>
      <c r="P18" s="46" t="s">
        <v>159</v>
      </c>
      <c r="Q18" s="37" t="s">
        <v>159</v>
      </c>
      <c r="R18" s="37" t="s">
        <v>159</v>
      </c>
      <c r="S18" s="37" t="s">
        <v>159</v>
      </c>
      <c r="T18" s="37" t="s">
        <v>159</v>
      </c>
      <c r="U18" s="37" t="s">
        <v>159</v>
      </c>
      <c r="V18" s="37" t="s">
        <v>159</v>
      </c>
      <c r="W18" s="37" t="s">
        <v>159</v>
      </c>
      <c r="X18" s="37" t="s">
        <v>159</v>
      </c>
      <c r="Y18" s="37" t="s">
        <v>159</v>
      </c>
      <c r="Z18" s="37" t="s">
        <v>159</v>
      </c>
      <c r="AA18" s="37" t="s">
        <v>159</v>
      </c>
      <c r="AB18" s="37" t="s">
        <v>159</v>
      </c>
      <c r="AC18" s="37" t="s">
        <v>159</v>
      </c>
      <c r="AD18" s="37" t="s">
        <v>159</v>
      </c>
      <c r="AE18" s="37" t="s">
        <v>159</v>
      </c>
      <c r="AF18" s="37" t="s">
        <v>159</v>
      </c>
      <c r="AG18" s="37" t="s">
        <v>159</v>
      </c>
      <c r="AH18" s="37" t="s">
        <v>159</v>
      </c>
      <c r="AI18" s="37" t="s">
        <v>159</v>
      </c>
      <c r="AJ18" s="46">
        <v>0.45293398018842101</v>
      </c>
      <c r="AK18" s="46">
        <v>0.123612462485859</v>
      </c>
      <c r="AL18" s="46">
        <v>41.1</v>
      </c>
      <c r="AM18" s="46">
        <v>252</v>
      </c>
      <c r="AN18" s="46">
        <v>1124</v>
      </c>
      <c r="AO18" s="46">
        <v>3185285529</v>
      </c>
      <c r="AP18" s="46">
        <v>3162767359</v>
      </c>
      <c r="AQ18" s="46">
        <v>64411</v>
      </c>
      <c r="AR18" s="46">
        <v>0</v>
      </c>
      <c r="AS18" s="46">
        <v>0</v>
      </c>
      <c r="AT18" s="46">
        <v>4488</v>
      </c>
      <c r="AU18" s="46">
        <v>504</v>
      </c>
      <c r="AV18" s="46">
        <v>0</v>
      </c>
      <c r="AW18" s="46">
        <v>0</v>
      </c>
      <c r="AX18" s="46">
        <v>0</v>
      </c>
      <c r="AY18" s="46">
        <v>0</v>
      </c>
      <c r="AZ18" s="46">
        <v>210</v>
      </c>
      <c r="BA18" s="46">
        <v>2920</v>
      </c>
      <c r="BB18" s="46">
        <v>1</v>
      </c>
      <c r="BC18" s="46">
        <v>1</v>
      </c>
      <c r="BD18" s="46">
        <v>1</v>
      </c>
      <c r="BE18" s="50" t="s">
        <v>159</v>
      </c>
      <c r="BF18" s="37"/>
      <c r="BG18" s="38"/>
    </row>
    <row r="19" spans="1:59" x14ac:dyDescent="0.25">
      <c r="A19" s="36">
        <v>16</v>
      </c>
      <c r="B19" s="46" t="s">
        <v>324</v>
      </c>
      <c r="C19" s="46">
        <v>54</v>
      </c>
      <c r="D19" s="46">
        <v>0.06</v>
      </c>
      <c r="E19" s="46">
        <v>15</v>
      </c>
      <c r="F19" s="56">
        <v>0.2</v>
      </c>
      <c r="G19" s="46">
        <v>45</v>
      </c>
      <c r="H19" s="46">
        <v>276</v>
      </c>
      <c r="I19" s="46">
        <v>1224</v>
      </c>
      <c r="J19" s="46">
        <v>10990</v>
      </c>
      <c r="K19" s="46">
        <v>14644</v>
      </c>
      <c r="L19" s="46">
        <v>1625</v>
      </c>
      <c r="M19" s="46">
        <v>229</v>
      </c>
      <c r="N19" s="46">
        <v>3153</v>
      </c>
      <c r="O19" s="46" t="s">
        <v>159</v>
      </c>
      <c r="P19" s="46" t="s">
        <v>159</v>
      </c>
      <c r="Q19" s="37" t="s">
        <v>159</v>
      </c>
      <c r="R19" s="37" t="s">
        <v>159</v>
      </c>
      <c r="S19" s="37" t="s">
        <v>159</v>
      </c>
      <c r="T19" s="37" t="s">
        <v>159</v>
      </c>
      <c r="U19" s="37" t="s">
        <v>159</v>
      </c>
      <c r="V19" s="37" t="s">
        <v>159</v>
      </c>
      <c r="W19" s="37" t="s">
        <v>159</v>
      </c>
      <c r="X19" s="37" t="s">
        <v>159</v>
      </c>
      <c r="Y19" s="37" t="s">
        <v>159</v>
      </c>
      <c r="Z19" s="37" t="s">
        <v>159</v>
      </c>
      <c r="AA19" s="37" t="s">
        <v>159</v>
      </c>
      <c r="AB19" s="37" t="s">
        <v>159</v>
      </c>
      <c r="AC19" s="37" t="s">
        <v>159</v>
      </c>
      <c r="AD19" s="37" t="s">
        <v>159</v>
      </c>
      <c r="AE19" s="37" t="s">
        <v>159</v>
      </c>
      <c r="AF19" s="37" t="s">
        <v>159</v>
      </c>
      <c r="AG19" s="37" t="s">
        <v>159</v>
      </c>
      <c r="AH19" s="37" t="s">
        <v>159</v>
      </c>
      <c r="AI19" s="37" t="s">
        <v>159</v>
      </c>
      <c r="AJ19" s="46">
        <v>0.49266513652002603</v>
      </c>
      <c r="AK19" s="46">
        <v>0.17179581869314001</v>
      </c>
      <c r="AL19" s="46">
        <v>0</v>
      </c>
      <c r="AM19" s="46">
        <v>0</v>
      </c>
      <c r="AN19" s="46">
        <v>4488</v>
      </c>
      <c r="AO19" s="46">
        <v>4294967295</v>
      </c>
      <c r="AP19" s="46">
        <v>4294967295</v>
      </c>
      <c r="AQ19" s="46">
        <v>61047</v>
      </c>
      <c r="AR19" s="46">
        <v>0</v>
      </c>
      <c r="AS19" s="46">
        <v>0</v>
      </c>
      <c r="AT19" s="46">
        <v>4488</v>
      </c>
      <c r="AU19" s="46">
        <v>504</v>
      </c>
      <c r="AV19" s="46">
        <v>2</v>
      </c>
      <c r="AW19" s="46">
        <v>1</v>
      </c>
      <c r="AX19" s="46">
        <v>0</v>
      </c>
      <c r="AY19" s="46">
        <v>0</v>
      </c>
      <c r="AZ19" s="46">
        <v>229</v>
      </c>
      <c r="BA19" s="46">
        <v>3153</v>
      </c>
      <c r="BB19" s="46">
        <v>1</v>
      </c>
      <c r="BC19" s="46">
        <v>1</v>
      </c>
      <c r="BD19" s="46">
        <v>1</v>
      </c>
      <c r="BE19" s="50" t="s">
        <v>159</v>
      </c>
      <c r="BF19" s="37"/>
      <c r="BG19" s="38"/>
    </row>
    <row r="20" spans="1:59" x14ac:dyDescent="0.25">
      <c r="A20" s="36">
        <v>17</v>
      </c>
      <c r="B20" s="46" t="s">
        <v>299</v>
      </c>
      <c r="C20" s="46">
        <v>60</v>
      </c>
      <c r="D20" s="46">
        <v>7.0000000000000007E-2</v>
      </c>
      <c r="E20" s="46">
        <v>20.8</v>
      </c>
      <c r="F20" s="46">
        <v>1.4E-2</v>
      </c>
      <c r="G20" s="56">
        <v>-180</v>
      </c>
      <c r="H20" s="46">
        <v>300.5</v>
      </c>
      <c r="I20" s="46">
        <v>1324</v>
      </c>
      <c r="J20" s="46">
        <v>11989</v>
      </c>
      <c r="K20" s="46">
        <v>15752</v>
      </c>
      <c r="L20" s="46">
        <v>1725</v>
      </c>
      <c r="M20" s="46">
        <v>248</v>
      </c>
      <c r="N20" s="46">
        <v>3386</v>
      </c>
      <c r="O20" s="46" t="s">
        <v>159</v>
      </c>
      <c r="P20" s="46" t="s">
        <v>159</v>
      </c>
      <c r="Q20" s="37" t="s">
        <v>159</v>
      </c>
      <c r="R20" s="37" t="s">
        <v>159</v>
      </c>
      <c r="S20" s="37" t="s">
        <v>159</v>
      </c>
      <c r="T20" s="37" t="s">
        <v>159</v>
      </c>
      <c r="U20" s="37" t="s">
        <v>159</v>
      </c>
      <c r="V20" s="37" t="s">
        <v>159</v>
      </c>
      <c r="W20" s="37" t="s">
        <v>159</v>
      </c>
      <c r="X20" s="37" t="s">
        <v>159</v>
      </c>
      <c r="Y20" s="37" t="s">
        <v>159</v>
      </c>
      <c r="Z20" s="37" t="s">
        <v>159</v>
      </c>
      <c r="AA20" s="37" t="s">
        <v>159</v>
      </c>
      <c r="AB20" s="37" t="s">
        <v>159</v>
      </c>
      <c r="AC20" s="37" t="s">
        <v>159</v>
      </c>
      <c r="AD20" s="37" t="s">
        <v>159</v>
      </c>
      <c r="AE20" s="37" t="s">
        <v>159</v>
      </c>
      <c r="AF20" s="37" t="s">
        <v>159</v>
      </c>
      <c r="AG20" s="37" t="s">
        <v>159</v>
      </c>
      <c r="AH20" s="37" t="s">
        <v>159</v>
      </c>
      <c r="AI20" s="37" t="s">
        <v>159</v>
      </c>
      <c r="AJ20" s="46">
        <v>0.529510782280182</v>
      </c>
      <c r="AK20" s="46">
        <v>0.23001212328064399</v>
      </c>
      <c r="AL20" s="46">
        <v>0</v>
      </c>
      <c r="AM20" s="46">
        <v>0</v>
      </c>
      <c r="AN20" s="46">
        <v>4488</v>
      </c>
      <c r="AO20" s="46">
        <v>4294967295</v>
      </c>
      <c r="AP20" s="46">
        <v>4294967295</v>
      </c>
      <c r="AQ20" s="46">
        <v>61047</v>
      </c>
      <c r="AR20" s="46">
        <v>0</v>
      </c>
      <c r="AS20" s="46">
        <v>0</v>
      </c>
      <c r="AT20" s="46">
        <v>4488</v>
      </c>
      <c r="AU20" s="46">
        <v>504</v>
      </c>
      <c r="AV20" s="46">
        <v>2</v>
      </c>
      <c r="AW20" s="46">
        <v>1</v>
      </c>
      <c r="AX20" s="46">
        <v>0</v>
      </c>
      <c r="AY20" s="46">
        <v>0</v>
      </c>
      <c r="AZ20" s="46">
        <v>248</v>
      </c>
      <c r="BA20" s="46">
        <v>3386</v>
      </c>
      <c r="BB20" s="46">
        <v>1</v>
      </c>
      <c r="BC20" s="46">
        <v>1</v>
      </c>
      <c r="BD20" s="46">
        <v>1</v>
      </c>
      <c r="BE20" s="50" t="s">
        <v>159</v>
      </c>
      <c r="BF20" s="37"/>
      <c r="BG20" s="38"/>
    </row>
    <row r="21" spans="1:59" x14ac:dyDescent="0.25">
      <c r="A21" s="36">
        <v>18</v>
      </c>
      <c r="B21" s="46" t="s">
        <v>300</v>
      </c>
      <c r="C21" s="46">
        <v>1.1000000000000001</v>
      </c>
      <c r="D21" s="46">
        <v>0.08</v>
      </c>
      <c r="E21" s="46">
        <v>25</v>
      </c>
      <c r="F21" s="46">
        <v>2.4E-2</v>
      </c>
      <c r="G21" s="56">
        <v>360</v>
      </c>
      <c r="H21" s="46">
        <v>324</v>
      </c>
      <c r="I21" s="46">
        <v>1424</v>
      </c>
      <c r="J21" s="46">
        <v>12988</v>
      </c>
      <c r="K21" s="46">
        <v>16860</v>
      </c>
      <c r="L21" s="46">
        <v>1825</v>
      </c>
      <c r="M21" s="46">
        <v>11</v>
      </c>
      <c r="N21" s="46">
        <v>3619</v>
      </c>
      <c r="O21" s="46" t="s">
        <v>159</v>
      </c>
      <c r="P21" s="46" t="s">
        <v>159</v>
      </c>
      <c r="Q21" s="37" t="s">
        <v>159</v>
      </c>
      <c r="R21" s="37" t="s">
        <v>159</v>
      </c>
      <c r="S21" s="37" t="s">
        <v>159</v>
      </c>
      <c r="T21" s="37" t="s">
        <v>159</v>
      </c>
      <c r="U21" s="37" t="s">
        <v>159</v>
      </c>
      <c r="V21" s="37" t="s">
        <v>159</v>
      </c>
      <c r="W21" s="37" t="s">
        <v>159</v>
      </c>
      <c r="X21" s="37" t="s">
        <v>159</v>
      </c>
      <c r="Y21" s="37" t="s">
        <v>159</v>
      </c>
      <c r="Z21" s="37" t="s">
        <v>159</v>
      </c>
      <c r="AA21" s="37" t="s">
        <v>159</v>
      </c>
      <c r="AB21" s="37" t="s">
        <v>159</v>
      </c>
      <c r="AC21" s="37" t="s">
        <v>159</v>
      </c>
      <c r="AD21" s="37" t="s">
        <v>159</v>
      </c>
      <c r="AE21" s="37" t="s">
        <v>159</v>
      </c>
      <c r="AF21" s="37" t="s">
        <v>159</v>
      </c>
      <c r="AG21" s="37" t="s">
        <v>159</v>
      </c>
      <c r="AH21" s="37" t="s">
        <v>159</v>
      </c>
      <c r="AI21" s="37" t="s">
        <v>159</v>
      </c>
      <c r="AJ21" s="46">
        <v>1.3727908594589701E-2</v>
      </c>
      <c r="AK21" s="46">
        <v>0.26959730895135398</v>
      </c>
      <c r="AL21" s="46">
        <v>0</v>
      </c>
      <c r="AM21" s="46">
        <v>0</v>
      </c>
      <c r="AN21" s="46">
        <v>4488</v>
      </c>
      <c r="AO21" s="46">
        <v>4294967295</v>
      </c>
      <c r="AP21" s="46">
        <v>4294967295</v>
      </c>
      <c r="AQ21" s="46">
        <v>61047</v>
      </c>
      <c r="AR21" s="46">
        <v>0</v>
      </c>
      <c r="AS21" s="46">
        <v>0</v>
      </c>
      <c r="AT21" s="46">
        <v>4488</v>
      </c>
      <c r="AU21" s="46">
        <v>504</v>
      </c>
      <c r="AV21" s="46">
        <v>2</v>
      </c>
      <c r="AW21" s="46">
        <v>1</v>
      </c>
      <c r="AX21" s="46">
        <v>0</v>
      </c>
      <c r="AY21" s="46">
        <v>0</v>
      </c>
      <c r="AZ21" s="46">
        <v>11</v>
      </c>
      <c r="BA21" s="46">
        <v>3619</v>
      </c>
      <c r="BB21" s="46">
        <v>1</v>
      </c>
      <c r="BC21" s="46">
        <v>1</v>
      </c>
      <c r="BD21" s="46">
        <v>1</v>
      </c>
      <c r="BE21" s="50" t="s">
        <v>159</v>
      </c>
      <c r="BF21" s="37"/>
      <c r="BG21" s="38"/>
    </row>
    <row r="22" spans="1:59" x14ac:dyDescent="0.25">
      <c r="A22" s="36">
        <v>19</v>
      </c>
      <c r="B22" s="46" t="s">
        <v>301</v>
      </c>
      <c r="C22" s="46">
        <v>1</v>
      </c>
      <c r="D22" s="46">
        <v>0.1</v>
      </c>
      <c r="E22" s="46">
        <v>8</v>
      </c>
      <c r="F22" s="46">
        <v>0.5</v>
      </c>
      <c r="G22" s="56">
        <v>180.25</v>
      </c>
      <c r="H22" s="46">
        <v>200</v>
      </c>
      <c r="I22" s="46">
        <v>100</v>
      </c>
      <c r="J22" s="46">
        <v>3167485951</v>
      </c>
      <c r="K22" s="46">
        <v>3166175231</v>
      </c>
      <c r="L22" s="46">
        <v>65435</v>
      </c>
      <c r="M22" s="46">
        <v>18</v>
      </c>
      <c r="N22" s="46">
        <v>3852</v>
      </c>
      <c r="O22" s="46" t="s">
        <v>159</v>
      </c>
      <c r="P22" s="46" t="s">
        <v>159</v>
      </c>
      <c r="Q22" s="37" t="s">
        <v>159</v>
      </c>
      <c r="R22" s="37" t="s">
        <v>159</v>
      </c>
      <c r="S22" s="37" t="s">
        <v>159</v>
      </c>
      <c r="T22" s="37" t="s">
        <v>159</v>
      </c>
      <c r="U22" s="37" t="s">
        <v>159</v>
      </c>
      <c r="V22" s="37" t="s">
        <v>159</v>
      </c>
      <c r="W22" s="37" t="s">
        <v>159</v>
      </c>
      <c r="X22" s="37" t="s">
        <v>159</v>
      </c>
      <c r="Y22" s="37" t="s">
        <v>159</v>
      </c>
      <c r="Z22" s="37" t="s">
        <v>159</v>
      </c>
      <c r="AA22" s="37" t="s">
        <v>159</v>
      </c>
      <c r="AB22" s="37" t="s">
        <v>159</v>
      </c>
      <c r="AC22" s="37" t="s">
        <v>159</v>
      </c>
      <c r="AD22" s="37" t="s">
        <v>159</v>
      </c>
      <c r="AE22" s="37" t="s">
        <v>159</v>
      </c>
      <c r="AF22" s="37" t="s">
        <v>159</v>
      </c>
      <c r="AG22" s="37" t="s">
        <v>159</v>
      </c>
      <c r="AH22" s="37" t="s">
        <v>159</v>
      </c>
      <c r="AI22" s="37" t="s">
        <v>159</v>
      </c>
      <c r="AJ22" s="46">
        <v>1.2487743476344E-2</v>
      </c>
      <c r="AK22" s="46">
        <v>9.5642891361678806E-2</v>
      </c>
      <c r="AL22" s="46">
        <v>0</v>
      </c>
      <c r="AM22" s="46">
        <v>0</v>
      </c>
      <c r="AN22" s="46">
        <v>4488</v>
      </c>
      <c r="AO22" s="46">
        <v>4294967295</v>
      </c>
      <c r="AP22" s="46">
        <v>4294967295</v>
      </c>
      <c r="AQ22" s="46">
        <v>61047</v>
      </c>
      <c r="AR22" s="46">
        <v>0</v>
      </c>
      <c r="AS22" s="46">
        <v>0</v>
      </c>
      <c r="AT22" s="46">
        <v>4488</v>
      </c>
      <c r="AU22" s="46">
        <v>504</v>
      </c>
      <c r="AV22" s="46">
        <v>2</v>
      </c>
      <c r="AW22" s="46">
        <v>1</v>
      </c>
      <c r="AX22" s="46">
        <v>0</v>
      </c>
      <c r="AY22" s="46">
        <v>0</v>
      </c>
      <c r="AZ22" s="46">
        <v>18</v>
      </c>
      <c r="BA22" s="46">
        <v>3852</v>
      </c>
      <c r="BB22" s="46">
        <v>1</v>
      </c>
      <c r="BC22" s="46">
        <v>1</v>
      </c>
      <c r="BD22" s="46">
        <v>1</v>
      </c>
      <c r="BE22" s="50" t="s">
        <v>159</v>
      </c>
      <c r="BF22" s="37"/>
      <c r="BG22" s="38"/>
    </row>
    <row r="23" spans="1:59" x14ac:dyDescent="0.25">
      <c r="A23" s="36">
        <v>20</v>
      </c>
      <c r="B23" s="46" t="s">
        <v>508</v>
      </c>
      <c r="C23" s="46">
        <v>60</v>
      </c>
      <c r="D23" s="46">
        <v>7.0000000000000007E-2</v>
      </c>
      <c r="E23" s="46">
        <v>20.8</v>
      </c>
      <c r="F23" s="46">
        <v>1.4E-2</v>
      </c>
      <c r="G23" s="56">
        <v>-74.290000000000006</v>
      </c>
      <c r="H23" s="46">
        <v>300.5</v>
      </c>
      <c r="I23" s="46">
        <v>1324</v>
      </c>
      <c r="J23" s="46">
        <v>11989</v>
      </c>
      <c r="K23" s="46">
        <v>15752</v>
      </c>
      <c r="L23" s="46">
        <v>1725</v>
      </c>
      <c r="M23" s="46">
        <v>25</v>
      </c>
      <c r="N23" s="46">
        <v>4085</v>
      </c>
      <c r="O23" s="46" t="s">
        <v>159</v>
      </c>
      <c r="P23" s="46" t="s">
        <v>159</v>
      </c>
      <c r="Q23" s="37" t="s">
        <v>159</v>
      </c>
      <c r="R23" s="37" t="s">
        <v>159</v>
      </c>
      <c r="S23" s="37" t="s">
        <v>159</v>
      </c>
      <c r="T23" s="37" t="s">
        <v>159</v>
      </c>
      <c r="U23" s="37" t="s">
        <v>159</v>
      </c>
      <c r="V23" s="37" t="s">
        <v>159</v>
      </c>
      <c r="W23" s="37" t="s">
        <v>159</v>
      </c>
      <c r="X23" s="37" t="s">
        <v>159</v>
      </c>
      <c r="Y23" s="37" t="s">
        <v>159</v>
      </c>
      <c r="Z23" s="37" t="s">
        <v>159</v>
      </c>
      <c r="AA23" s="37" t="s">
        <v>159</v>
      </c>
      <c r="AB23" s="37" t="s">
        <v>159</v>
      </c>
      <c r="AC23" s="37" t="s">
        <v>159</v>
      </c>
      <c r="AD23" s="37" t="s">
        <v>159</v>
      </c>
      <c r="AE23" s="37" t="s">
        <v>159</v>
      </c>
      <c r="AF23" s="37" t="s">
        <v>159</v>
      </c>
      <c r="AG23" s="37" t="s">
        <v>159</v>
      </c>
      <c r="AH23" s="37" t="s">
        <v>159</v>
      </c>
      <c r="AI23" s="37" t="s">
        <v>159</v>
      </c>
      <c r="AJ23" s="46">
        <v>0.529510782280182</v>
      </c>
      <c r="AK23" s="46">
        <v>0.23001212328064399</v>
      </c>
      <c r="AL23" s="46">
        <v>0</v>
      </c>
      <c r="AM23" s="46">
        <v>0</v>
      </c>
      <c r="AN23" s="46">
        <v>4488</v>
      </c>
      <c r="AO23" s="46">
        <v>4294967295</v>
      </c>
      <c r="AP23" s="46">
        <v>4294967295</v>
      </c>
      <c r="AQ23" s="46">
        <v>61047</v>
      </c>
      <c r="AR23" s="46">
        <v>0</v>
      </c>
      <c r="AS23" s="46">
        <v>0</v>
      </c>
      <c r="AT23" s="46">
        <v>4488</v>
      </c>
      <c r="AU23" s="46">
        <v>504</v>
      </c>
      <c r="AV23" s="46">
        <v>2</v>
      </c>
      <c r="AW23" s="46">
        <v>1</v>
      </c>
      <c r="AX23" s="46">
        <v>0</v>
      </c>
      <c r="AY23" s="46">
        <v>0</v>
      </c>
      <c r="AZ23" s="46">
        <v>25</v>
      </c>
      <c r="BA23" s="46">
        <v>4085</v>
      </c>
      <c r="BB23" s="46">
        <v>1</v>
      </c>
      <c r="BC23" s="46">
        <v>1</v>
      </c>
      <c r="BD23" s="46">
        <v>1</v>
      </c>
      <c r="BE23" s="50" t="s">
        <v>159</v>
      </c>
      <c r="BF23" s="37"/>
      <c r="BG23" s="38"/>
    </row>
    <row r="24" spans="1:59" x14ac:dyDescent="0.25">
      <c r="A24" s="36">
        <v>21</v>
      </c>
      <c r="B24" s="46" t="s">
        <v>507</v>
      </c>
      <c r="C24" s="46">
        <v>1.1000000000000001</v>
      </c>
      <c r="D24" s="46">
        <v>0.08</v>
      </c>
      <c r="E24" s="46">
        <v>25</v>
      </c>
      <c r="F24" s="46">
        <v>2.4E-2</v>
      </c>
      <c r="G24" s="56">
        <v>0</v>
      </c>
      <c r="H24" s="46">
        <v>324</v>
      </c>
      <c r="I24" s="46">
        <v>1424</v>
      </c>
      <c r="J24" s="46">
        <v>12988</v>
      </c>
      <c r="K24" s="46">
        <v>16860</v>
      </c>
      <c r="L24" s="46">
        <v>1825</v>
      </c>
      <c r="M24" s="46">
        <v>32</v>
      </c>
      <c r="N24" s="46">
        <v>4318</v>
      </c>
      <c r="O24" s="46" t="s">
        <v>159</v>
      </c>
      <c r="P24" s="46" t="s">
        <v>159</v>
      </c>
      <c r="Q24" s="37" t="s">
        <v>159</v>
      </c>
      <c r="R24" s="37" t="s">
        <v>159</v>
      </c>
      <c r="S24" s="37" t="s">
        <v>159</v>
      </c>
      <c r="T24" s="37" t="s">
        <v>159</v>
      </c>
      <c r="U24" s="37" t="s">
        <v>159</v>
      </c>
      <c r="V24" s="37" t="s">
        <v>159</v>
      </c>
      <c r="W24" s="37" t="s">
        <v>159</v>
      </c>
      <c r="X24" s="37" t="s">
        <v>159</v>
      </c>
      <c r="Y24" s="37" t="s">
        <v>159</v>
      </c>
      <c r="Z24" s="37" t="s">
        <v>159</v>
      </c>
      <c r="AA24" s="37" t="s">
        <v>159</v>
      </c>
      <c r="AB24" s="37" t="s">
        <v>159</v>
      </c>
      <c r="AC24" s="37" t="s">
        <v>159</v>
      </c>
      <c r="AD24" s="37" t="s">
        <v>159</v>
      </c>
      <c r="AE24" s="37" t="s">
        <v>159</v>
      </c>
      <c r="AF24" s="37" t="s">
        <v>159</v>
      </c>
      <c r="AG24" s="37" t="s">
        <v>159</v>
      </c>
      <c r="AH24" s="37" t="s">
        <v>159</v>
      </c>
      <c r="AI24" s="37" t="s">
        <v>159</v>
      </c>
      <c r="AJ24" s="46">
        <v>1.3727908594589701E-2</v>
      </c>
      <c r="AK24" s="46">
        <v>0.26959730895135398</v>
      </c>
      <c r="AL24" s="46">
        <v>0</v>
      </c>
      <c r="AM24" s="46">
        <v>0</v>
      </c>
      <c r="AN24" s="46">
        <v>4488</v>
      </c>
      <c r="AO24" s="46">
        <v>4294967295</v>
      </c>
      <c r="AP24" s="46">
        <v>4294967295</v>
      </c>
      <c r="AQ24" s="46">
        <v>61047</v>
      </c>
      <c r="AR24" s="46">
        <v>0</v>
      </c>
      <c r="AS24" s="46">
        <v>0</v>
      </c>
      <c r="AT24" s="46">
        <v>4488</v>
      </c>
      <c r="AU24" s="46">
        <v>504</v>
      </c>
      <c r="AV24" s="46">
        <v>2</v>
      </c>
      <c r="AW24" s="46">
        <v>1</v>
      </c>
      <c r="AX24" s="46">
        <v>0</v>
      </c>
      <c r="AY24" s="46">
        <v>0</v>
      </c>
      <c r="AZ24" s="46">
        <v>32</v>
      </c>
      <c r="BA24" s="46">
        <v>4318</v>
      </c>
      <c r="BB24" s="46">
        <v>1</v>
      </c>
      <c r="BC24" s="46">
        <v>1</v>
      </c>
      <c r="BD24" s="46">
        <v>1</v>
      </c>
      <c r="BE24" s="50" t="s">
        <v>159</v>
      </c>
      <c r="BF24" s="37"/>
      <c r="BG24" s="38"/>
    </row>
    <row r="25" spans="1:59" x14ac:dyDescent="0.25">
      <c r="A25" s="36">
        <v>22</v>
      </c>
      <c r="B25" s="46" t="s">
        <v>302</v>
      </c>
      <c r="C25" s="46">
        <v>5</v>
      </c>
      <c r="D25" s="46">
        <v>0.1</v>
      </c>
      <c r="E25" s="46">
        <v>35.299999999999997</v>
      </c>
      <c r="F25" s="46">
        <v>4.3999999999999997E-2</v>
      </c>
      <c r="G25" s="46">
        <v>24</v>
      </c>
      <c r="H25" s="56">
        <v>-180</v>
      </c>
      <c r="I25" s="46">
        <v>1624</v>
      </c>
      <c r="J25" s="46">
        <v>14986</v>
      </c>
      <c r="K25" s="46">
        <v>19076</v>
      </c>
      <c r="L25" s="46">
        <v>2025</v>
      </c>
      <c r="M25" s="46">
        <v>39</v>
      </c>
      <c r="N25" s="46">
        <v>4551</v>
      </c>
      <c r="O25" s="46" t="s">
        <v>159</v>
      </c>
      <c r="P25" s="46" t="s">
        <v>159</v>
      </c>
      <c r="Q25" s="37" t="s">
        <v>159</v>
      </c>
      <c r="R25" s="37" t="s">
        <v>159</v>
      </c>
      <c r="S25" s="37" t="s">
        <v>159</v>
      </c>
      <c r="T25" s="37" t="s">
        <v>159</v>
      </c>
      <c r="U25" s="37" t="s">
        <v>159</v>
      </c>
      <c r="V25" s="37" t="s">
        <v>159</v>
      </c>
      <c r="W25" s="37" t="s">
        <v>159</v>
      </c>
      <c r="X25" s="37" t="s">
        <v>159</v>
      </c>
      <c r="Y25" s="37" t="s">
        <v>159</v>
      </c>
      <c r="Z25" s="37" t="s">
        <v>159</v>
      </c>
      <c r="AA25" s="37" t="s">
        <v>159</v>
      </c>
      <c r="AB25" s="37" t="s">
        <v>159</v>
      </c>
      <c r="AC25" s="37" t="s">
        <v>159</v>
      </c>
      <c r="AD25" s="37" t="s">
        <v>159</v>
      </c>
      <c r="AE25" s="37" t="s">
        <v>159</v>
      </c>
      <c r="AF25" s="37" t="s">
        <v>159</v>
      </c>
      <c r="AG25" s="37" t="s">
        <v>159</v>
      </c>
      <c r="AH25" s="37" t="s">
        <v>159</v>
      </c>
      <c r="AI25" s="37" t="s">
        <v>159</v>
      </c>
      <c r="AJ25" s="46">
        <v>6.08986325757074E-2</v>
      </c>
      <c r="AK25" s="46">
        <v>0.35827337432719297</v>
      </c>
      <c r="AL25" s="46">
        <v>0</v>
      </c>
      <c r="AM25" s="46">
        <v>0</v>
      </c>
      <c r="AN25" s="46">
        <v>4488</v>
      </c>
      <c r="AO25" s="46">
        <v>4294967295</v>
      </c>
      <c r="AP25" s="46">
        <v>4294967295</v>
      </c>
      <c r="AQ25" s="46">
        <v>61047</v>
      </c>
      <c r="AR25" s="46">
        <v>0</v>
      </c>
      <c r="AS25" s="46">
        <v>0</v>
      </c>
      <c r="AT25" s="46">
        <v>4488</v>
      </c>
      <c r="AU25" s="46">
        <v>504</v>
      </c>
      <c r="AV25" s="46">
        <v>2</v>
      </c>
      <c r="AW25" s="46">
        <v>1</v>
      </c>
      <c r="AX25" s="46">
        <v>0</v>
      </c>
      <c r="AY25" s="46">
        <v>0</v>
      </c>
      <c r="AZ25" s="46">
        <v>39</v>
      </c>
      <c r="BA25" s="46">
        <v>4551</v>
      </c>
      <c r="BB25" s="46">
        <v>1</v>
      </c>
      <c r="BC25" s="46">
        <v>1</v>
      </c>
      <c r="BD25" s="46">
        <v>1</v>
      </c>
      <c r="BE25" s="50" t="s">
        <v>159</v>
      </c>
      <c r="BF25" s="37"/>
      <c r="BG25" s="38"/>
    </row>
    <row r="26" spans="1:59" x14ac:dyDescent="0.25">
      <c r="A26" s="36">
        <v>23</v>
      </c>
      <c r="B26" s="46" t="s">
        <v>303</v>
      </c>
      <c r="C26" s="46">
        <v>7.7</v>
      </c>
      <c r="D26" s="46">
        <v>0.11</v>
      </c>
      <c r="E26" s="46">
        <v>40</v>
      </c>
      <c r="F26" s="46">
        <v>5.3999999999999999E-2</v>
      </c>
      <c r="G26" s="46">
        <v>44</v>
      </c>
      <c r="H26" s="56">
        <v>360</v>
      </c>
      <c r="I26" s="46">
        <v>1724</v>
      </c>
      <c r="J26" s="46">
        <v>15985</v>
      </c>
      <c r="K26" s="46">
        <v>20184</v>
      </c>
      <c r="L26" s="46">
        <v>2125</v>
      </c>
      <c r="M26" s="46">
        <v>46</v>
      </c>
      <c r="N26" s="46">
        <v>4784</v>
      </c>
      <c r="O26" s="46" t="s">
        <v>159</v>
      </c>
      <c r="P26" s="46" t="s">
        <v>159</v>
      </c>
      <c r="Q26" s="37" t="s">
        <v>159</v>
      </c>
      <c r="R26" s="37" t="s">
        <v>159</v>
      </c>
      <c r="S26" s="37" t="s">
        <v>159</v>
      </c>
      <c r="T26" s="37" t="s">
        <v>159</v>
      </c>
      <c r="U26" s="37" t="s">
        <v>159</v>
      </c>
      <c r="V26" s="37" t="s">
        <v>159</v>
      </c>
      <c r="W26" s="37" t="s">
        <v>159</v>
      </c>
      <c r="X26" s="37" t="s">
        <v>159</v>
      </c>
      <c r="Y26" s="37" t="s">
        <v>159</v>
      </c>
      <c r="Z26" s="37" t="s">
        <v>159</v>
      </c>
      <c r="AA26" s="37" t="s">
        <v>159</v>
      </c>
      <c r="AB26" s="37" t="s">
        <v>159</v>
      </c>
      <c r="AC26" s="37" t="s">
        <v>159</v>
      </c>
      <c r="AD26" s="37" t="s">
        <v>159</v>
      </c>
      <c r="AE26" s="37" t="s">
        <v>159</v>
      </c>
      <c r="AF26" s="37" t="s">
        <v>159</v>
      </c>
      <c r="AG26" s="37" t="s">
        <v>159</v>
      </c>
      <c r="AH26" s="37" t="s">
        <v>159</v>
      </c>
      <c r="AI26" s="37" t="s">
        <v>159</v>
      </c>
      <c r="AJ26" s="46">
        <v>9.2227110834095294E-2</v>
      </c>
      <c r="AK26" s="46">
        <v>0.39507743723572902</v>
      </c>
      <c r="AL26" s="46">
        <v>0</v>
      </c>
      <c r="AM26" s="46">
        <v>0</v>
      </c>
      <c r="AN26" s="46">
        <v>4488</v>
      </c>
      <c r="AO26" s="46">
        <v>4294967295</v>
      </c>
      <c r="AP26" s="46">
        <v>4294967295</v>
      </c>
      <c r="AQ26" s="46">
        <v>61047</v>
      </c>
      <c r="AR26" s="46">
        <v>0</v>
      </c>
      <c r="AS26" s="46">
        <v>0</v>
      </c>
      <c r="AT26" s="46">
        <v>4488</v>
      </c>
      <c r="AU26" s="46">
        <v>504</v>
      </c>
      <c r="AV26" s="46">
        <v>2</v>
      </c>
      <c r="AW26" s="46">
        <v>1</v>
      </c>
      <c r="AX26" s="46">
        <v>0</v>
      </c>
      <c r="AY26" s="46">
        <v>0</v>
      </c>
      <c r="AZ26" s="46">
        <v>46</v>
      </c>
      <c r="BA26" s="46">
        <v>4784</v>
      </c>
      <c r="BB26" s="46">
        <v>1</v>
      </c>
      <c r="BC26" s="46">
        <v>1</v>
      </c>
      <c r="BD26" s="46">
        <v>1</v>
      </c>
      <c r="BE26" s="50" t="s">
        <v>159</v>
      </c>
      <c r="BF26" s="37"/>
      <c r="BG26" s="38"/>
    </row>
    <row r="27" spans="1:59" x14ac:dyDescent="0.25">
      <c r="A27" s="36">
        <v>24</v>
      </c>
      <c r="B27" s="46" t="s">
        <v>304</v>
      </c>
      <c r="C27" s="46">
        <v>9</v>
      </c>
      <c r="D27" s="46">
        <v>0.12</v>
      </c>
      <c r="E27" s="46">
        <v>45</v>
      </c>
      <c r="F27" s="46">
        <v>6.4000000000000001E-2</v>
      </c>
      <c r="G27" s="46">
        <v>64.599999999999994</v>
      </c>
      <c r="H27" s="56">
        <v>111.25</v>
      </c>
      <c r="I27" s="46">
        <v>1824</v>
      </c>
      <c r="J27" s="46">
        <v>16984</v>
      </c>
      <c r="K27" s="46">
        <v>21292</v>
      </c>
      <c r="L27" s="46">
        <v>2225</v>
      </c>
      <c r="M27" s="46">
        <v>253</v>
      </c>
      <c r="N27" s="46">
        <v>5017</v>
      </c>
      <c r="O27" s="46" t="s">
        <v>159</v>
      </c>
      <c r="P27" s="46" t="s">
        <v>159</v>
      </c>
      <c r="Q27" s="37" t="s">
        <v>159</v>
      </c>
      <c r="R27" s="37" t="s">
        <v>159</v>
      </c>
      <c r="S27" s="37" t="s">
        <v>159</v>
      </c>
      <c r="T27" s="37" t="s">
        <v>159</v>
      </c>
      <c r="U27" s="37" t="s">
        <v>159</v>
      </c>
      <c r="V27" s="37" t="s">
        <v>159</v>
      </c>
      <c r="W27" s="37" t="s">
        <v>159</v>
      </c>
      <c r="X27" s="37" t="s">
        <v>159</v>
      </c>
      <c r="Y27" s="37" t="s">
        <v>159</v>
      </c>
      <c r="Z27" s="37" t="s">
        <v>159</v>
      </c>
      <c r="AA27" s="37" t="s">
        <v>159</v>
      </c>
      <c r="AB27" s="37" t="s">
        <v>159</v>
      </c>
      <c r="AC27" s="37" t="s">
        <v>159</v>
      </c>
      <c r="AD27" s="37" t="s">
        <v>159</v>
      </c>
      <c r="AE27" s="37" t="s">
        <v>159</v>
      </c>
      <c r="AF27" s="37" t="s">
        <v>159</v>
      </c>
      <c r="AG27" s="37" t="s">
        <v>159</v>
      </c>
      <c r="AH27" s="37" t="s">
        <v>159</v>
      </c>
      <c r="AI27" s="37" t="s">
        <v>159</v>
      </c>
      <c r="AJ27" s="46">
        <v>0.106936270945362</v>
      </c>
      <c r="AK27" s="46">
        <v>0.43191639412226601</v>
      </c>
      <c r="AL27" s="46">
        <v>0</v>
      </c>
      <c r="AM27" s="46">
        <v>0</v>
      </c>
      <c r="AN27" s="46">
        <v>4488</v>
      </c>
      <c r="AO27" s="46">
        <v>4294967295</v>
      </c>
      <c r="AP27" s="46">
        <v>4294967295</v>
      </c>
      <c r="AQ27" s="46">
        <v>61047</v>
      </c>
      <c r="AR27" s="46">
        <v>0</v>
      </c>
      <c r="AS27" s="46">
        <v>0</v>
      </c>
      <c r="AT27" s="46">
        <v>4488</v>
      </c>
      <c r="AU27" s="46">
        <v>504</v>
      </c>
      <c r="AV27" s="46">
        <v>2</v>
      </c>
      <c r="AW27" s="46">
        <v>1</v>
      </c>
      <c r="AX27" s="46">
        <v>0</v>
      </c>
      <c r="AY27" s="46">
        <v>0</v>
      </c>
      <c r="AZ27" s="46">
        <v>253</v>
      </c>
      <c r="BA27" s="46">
        <v>5017</v>
      </c>
      <c r="BB27" s="46">
        <v>1</v>
      </c>
      <c r="BC27" s="46">
        <v>1</v>
      </c>
      <c r="BD27" s="46">
        <v>1</v>
      </c>
      <c r="BE27" s="50" t="s">
        <v>159</v>
      </c>
      <c r="BF27" s="37"/>
      <c r="BG27" s="38"/>
    </row>
    <row r="28" spans="1:59" x14ac:dyDescent="0.25">
      <c r="A28" s="36">
        <v>25</v>
      </c>
      <c r="B28" s="46" t="s">
        <v>509</v>
      </c>
      <c r="C28" s="46">
        <v>5</v>
      </c>
      <c r="D28" s="46">
        <v>0.1</v>
      </c>
      <c r="E28" s="46">
        <v>35.299999999999997</v>
      </c>
      <c r="F28" s="46">
        <v>4.3999999999999997E-2</v>
      </c>
      <c r="G28" s="46">
        <v>24</v>
      </c>
      <c r="H28" s="56">
        <v>-54.29</v>
      </c>
      <c r="I28" s="46">
        <v>1624</v>
      </c>
      <c r="J28" s="46">
        <v>14986</v>
      </c>
      <c r="K28" s="46">
        <v>19076</v>
      </c>
      <c r="L28" s="46">
        <v>2025</v>
      </c>
      <c r="M28" s="46">
        <v>60</v>
      </c>
      <c r="N28" s="46">
        <v>25250</v>
      </c>
      <c r="O28" s="46" t="s">
        <v>159</v>
      </c>
      <c r="P28" s="46" t="s">
        <v>159</v>
      </c>
      <c r="Q28" s="37" t="s">
        <v>159</v>
      </c>
      <c r="R28" s="37" t="s">
        <v>159</v>
      </c>
      <c r="S28" s="37" t="s">
        <v>159</v>
      </c>
      <c r="T28" s="37" t="s">
        <v>159</v>
      </c>
      <c r="U28" s="37" t="s">
        <v>159</v>
      </c>
      <c r="V28" s="37" t="s">
        <v>159</v>
      </c>
      <c r="W28" s="37" t="s">
        <v>159</v>
      </c>
      <c r="X28" s="37" t="s">
        <v>159</v>
      </c>
      <c r="Y28" s="37" t="s">
        <v>159</v>
      </c>
      <c r="Z28" s="37" t="s">
        <v>159</v>
      </c>
      <c r="AA28" s="37" t="s">
        <v>159</v>
      </c>
      <c r="AB28" s="37" t="s">
        <v>159</v>
      </c>
      <c r="AC28" s="37" t="s">
        <v>159</v>
      </c>
      <c r="AD28" s="37" t="s">
        <v>159</v>
      </c>
      <c r="AE28" s="37" t="s">
        <v>159</v>
      </c>
      <c r="AF28" s="37" t="s">
        <v>159</v>
      </c>
      <c r="AG28" s="37" t="s">
        <v>159</v>
      </c>
      <c r="AH28" s="37" t="s">
        <v>159</v>
      </c>
      <c r="AI28" s="37" t="s">
        <v>159</v>
      </c>
      <c r="AJ28" s="46">
        <v>6.08986325757074E-2</v>
      </c>
      <c r="AK28" s="46">
        <v>0.35827337432719297</v>
      </c>
      <c r="AL28" s="46">
        <v>0</v>
      </c>
      <c r="AM28" s="46">
        <v>0</v>
      </c>
      <c r="AN28" s="46">
        <v>4488</v>
      </c>
      <c r="AO28" s="46">
        <v>4294967295</v>
      </c>
      <c r="AP28" s="46">
        <v>4294967295</v>
      </c>
      <c r="AQ28" s="46">
        <v>61047</v>
      </c>
      <c r="AR28" s="46">
        <v>0</v>
      </c>
      <c r="AS28" s="46">
        <v>0</v>
      </c>
      <c r="AT28" s="46">
        <v>4488</v>
      </c>
      <c r="AU28" s="46">
        <v>504</v>
      </c>
      <c r="AV28" s="46">
        <v>2</v>
      </c>
      <c r="AW28" s="46">
        <v>1</v>
      </c>
      <c r="AX28" s="46">
        <v>0</v>
      </c>
      <c r="AY28" s="46">
        <v>0</v>
      </c>
      <c r="AZ28" s="46">
        <v>60</v>
      </c>
      <c r="BA28" s="46">
        <v>25250</v>
      </c>
      <c r="BB28" s="46">
        <v>1</v>
      </c>
      <c r="BC28" s="46">
        <v>1</v>
      </c>
      <c r="BD28" s="46">
        <v>1</v>
      </c>
      <c r="BE28" s="50" t="s">
        <v>159</v>
      </c>
      <c r="BF28" s="37"/>
      <c r="BG28" s="38"/>
    </row>
    <row r="29" spans="1:59" x14ac:dyDescent="0.25">
      <c r="A29" s="36">
        <v>26</v>
      </c>
      <c r="B29" s="46" t="s">
        <v>510</v>
      </c>
      <c r="C29" s="46">
        <v>7.7</v>
      </c>
      <c r="D29" s="46">
        <v>0.11</v>
      </c>
      <c r="E29" s="46">
        <v>40</v>
      </c>
      <c r="F29" s="46">
        <v>5.3999999999999999E-2</v>
      </c>
      <c r="G29" s="46">
        <v>44</v>
      </c>
      <c r="H29" s="56">
        <v>0</v>
      </c>
      <c r="I29" s="46">
        <v>1724</v>
      </c>
      <c r="J29" s="46">
        <v>15985</v>
      </c>
      <c r="K29" s="46">
        <v>20184</v>
      </c>
      <c r="L29" s="46">
        <v>2125</v>
      </c>
      <c r="M29" s="46">
        <v>67</v>
      </c>
      <c r="N29" s="46">
        <v>5483</v>
      </c>
      <c r="O29" s="46" t="s">
        <v>159</v>
      </c>
      <c r="P29" s="46" t="s">
        <v>159</v>
      </c>
      <c r="Q29" s="37" t="s">
        <v>159</v>
      </c>
      <c r="R29" s="37" t="s">
        <v>159</v>
      </c>
      <c r="S29" s="37" t="s">
        <v>159</v>
      </c>
      <c r="T29" s="37" t="s">
        <v>159</v>
      </c>
      <c r="U29" s="37" t="s">
        <v>159</v>
      </c>
      <c r="V29" s="37" t="s">
        <v>159</v>
      </c>
      <c r="W29" s="37" t="s">
        <v>159</v>
      </c>
      <c r="X29" s="37" t="s">
        <v>159</v>
      </c>
      <c r="Y29" s="37" t="s">
        <v>159</v>
      </c>
      <c r="Z29" s="37" t="s">
        <v>159</v>
      </c>
      <c r="AA29" s="37" t="s">
        <v>159</v>
      </c>
      <c r="AB29" s="37" t="s">
        <v>159</v>
      </c>
      <c r="AC29" s="37" t="s">
        <v>159</v>
      </c>
      <c r="AD29" s="37" t="s">
        <v>159</v>
      </c>
      <c r="AE29" s="37" t="s">
        <v>159</v>
      </c>
      <c r="AF29" s="37" t="s">
        <v>159</v>
      </c>
      <c r="AG29" s="37" t="s">
        <v>159</v>
      </c>
      <c r="AH29" s="37" t="s">
        <v>159</v>
      </c>
      <c r="AI29" s="37" t="s">
        <v>159</v>
      </c>
      <c r="AJ29" s="46">
        <v>9.2227110834095294E-2</v>
      </c>
      <c r="AK29" s="46">
        <v>0.39507743723572902</v>
      </c>
      <c r="AL29" s="46">
        <v>0</v>
      </c>
      <c r="AM29" s="46">
        <v>0</v>
      </c>
      <c r="AN29" s="46">
        <v>4488</v>
      </c>
      <c r="AO29" s="46">
        <v>4294967295</v>
      </c>
      <c r="AP29" s="46">
        <v>4294967295</v>
      </c>
      <c r="AQ29" s="46">
        <v>61047</v>
      </c>
      <c r="AR29" s="46">
        <v>0</v>
      </c>
      <c r="AS29" s="46">
        <v>0</v>
      </c>
      <c r="AT29" s="46">
        <v>4488</v>
      </c>
      <c r="AU29" s="46">
        <v>504</v>
      </c>
      <c r="AV29" s="46">
        <v>2</v>
      </c>
      <c r="AW29" s="46">
        <v>1</v>
      </c>
      <c r="AX29" s="46">
        <v>0</v>
      </c>
      <c r="AY29" s="46">
        <v>0</v>
      </c>
      <c r="AZ29" s="46">
        <v>67</v>
      </c>
      <c r="BA29" s="46">
        <v>5483</v>
      </c>
      <c r="BB29" s="46">
        <v>1</v>
      </c>
      <c r="BC29" s="46">
        <v>1</v>
      </c>
      <c r="BD29" s="46">
        <v>1</v>
      </c>
      <c r="BE29" s="50" t="s">
        <v>159</v>
      </c>
      <c r="BF29" s="37"/>
      <c r="BG29" s="38"/>
    </row>
    <row r="30" spans="1:59" x14ac:dyDescent="0.25">
      <c r="A30" s="36">
        <v>27</v>
      </c>
      <c r="B30" s="46" t="s">
        <v>305</v>
      </c>
      <c r="C30" s="46">
        <v>11</v>
      </c>
      <c r="D30" s="46">
        <v>0.13</v>
      </c>
      <c r="E30" s="46">
        <v>50.8</v>
      </c>
      <c r="F30" s="46">
        <v>7.3999999999999996E-2</v>
      </c>
      <c r="G30" s="46">
        <v>84</v>
      </c>
      <c r="H30" s="46">
        <v>5</v>
      </c>
      <c r="I30" s="56">
        <v>0</v>
      </c>
      <c r="J30" s="46">
        <v>3176660991</v>
      </c>
      <c r="K30" s="46">
        <v>3210739711</v>
      </c>
      <c r="L30" s="46">
        <v>65535</v>
      </c>
      <c r="M30" s="46">
        <v>74</v>
      </c>
      <c r="N30" s="46">
        <v>5716</v>
      </c>
      <c r="O30" s="46" t="s">
        <v>159</v>
      </c>
      <c r="P30" s="46" t="s">
        <v>159</v>
      </c>
      <c r="Q30" s="37" t="s">
        <v>159</v>
      </c>
      <c r="R30" s="37" t="s">
        <v>159</v>
      </c>
      <c r="S30" s="37" t="s">
        <v>159</v>
      </c>
      <c r="T30" s="37" t="s">
        <v>159</v>
      </c>
      <c r="U30" s="37" t="s">
        <v>159</v>
      </c>
      <c r="V30" s="37" t="s">
        <v>159</v>
      </c>
      <c r="W30" s="37" t="s">
        <v>159</v>
      </c>
      <c r="X30" s="37" t="s">
        <v>159</v>
      </c>
      <c r="Y30" s="37" t="s">
        <v>159</v>
      </c>
      <c r="Z30" s="37" t="s">
        <v>159</v>
      </c>
      <c r="AA30" s="37" t="s">
        <v>159</v>
      </c>
      <c r="AB30" s="37" t="s">
        <v>159</v>
      </c>
      <c r="AC30" s="37" t="s">
        <v>159</v>
      </c>
      <c r="AD30" s="37" t="s">
        <v>159</v>
      </c>
      <c r="AE30" s="37" t="s">
        <v>159</v>
      </c>
      <c r="AF30" s="37" t="s">
        <v>159</v>
      </c>
      <c r="AG30" s="37" t="s">
        <v>159</v>
      </c>
      <c r="AH30" s="37" t="s">
        <v>159</v>
      </c>
      <c r="AI30" s="37" t="s">
        <v>159</v>
      </c>
      <c r="AJ30" s="46">
        <v>0.12910170476287999</v>
      </c>
      <c r="AK30" s="46">
        <v>0.47184824785760998</v>
      </c>
      <c r="AL30" s="46">
        <v>84</v>
      </c>
      <c r="AM30" s="46">
        <v>5</v>
      </c>
      <c r="AN30" s="46">
        <v>0</v>
      </c>
      <c r="AO30" s="46">
        <v>3176660991</v>
      </c>
      <c r="AP30" s="46">
        <v>3210739711</v>
      </c>
      <c r="AQ30" s="46">
        <v>65535</v>
      </c>
      <c r="AR30" s="46">
        <v>0</v>
      </c>
      <c r="AS30" s="46">
        <v>0</v>
      </c>
      <c r="AT30" s="46">
        <v>4488</v>
      </c>
      <c r="AU30" s="46">
        <v>504</v>
      </c>
      <c r="AV30" s="46">
        <v>0</v>
      </c>
      <c r="AW30" s="46">
        <v>0</v>
      </c>
      <c r="AX30" s="46">
        <v>0</v>
      </c>
      <c r="AY30" s="46">
        <v>0</v>
      </c>
      <c r="AZ30" s="46">
        <v>74</v>
      </c>
      <c r="BA30" s="46">
        <v>5716</v>
      </c>
      <c r="BB30" s="46">
        <v>1</v>
      </c>
      <c r="BC30" s="46">
        <v>1</v>
      </c>
      <c r="BD30" s="46">
        <v>1</v>
      </c>
      <c r="BE30" s="50" t="s">
        <v>159</v>
      </c>
      <c r="BF30" s="37"/>
      <c r="BG30" s="38"/>
    </row>
    <row r="31" spans="1:59" x14ac:dyDescent="0.25">
      <c r="A31" s="36">
        <v>28</v>
      </c>
      <c r="B31" s="46" t="s">
        <v>306</v>
      </c>
      <c r="C31" s="46">
        <v>13</v>
      </c>
      <c r="D31" s="46">
        <v>0.14000000000000001</v>
      </c>
      <c r="E31" s="46">
        <v>55</v>
      </c>
      <c r="F31" s="46">
        <v>8.4000000000000005E-2</v>
      </c>
      <c r="G31" s="46">
        <v>104</v>
      </c>
      <c r="H31" s="46">
        <v>15.1</v>
      </c>
      <c r="I31" s="56">
        <v>4488</v>
      </c>
      <c r="J31" s="46">
        <v>18982</v>
      </c>
      <c r="K31" s="46">
        <v>23508</v>
      </c>
      <c r="L31" s="46">
        <v>2425</v>
      </c>
      <c r="M31" s="46">
        <v>81</v>
      </c>
      <c r="N31" s="46">
        <v>5949</v>
      </c>
      <c r="O31" s="46" t="s">
        <v>159</v>
      </c>
      <c r="P31" s="46" t="s">
        <v>159</v>
      </c>
      <c r="Q31" s="37" t="s">
        <v>159</v>
      </c>
      <c r="R31" s="37" t="s">
        <v>159</v>
      </c>
      <c r="S31" s="37" t="s">
        <v>159</v>
      </c>
      <c r="T31" s="37" t="s">
        <v>159</v>
      </c>
      <c r="U31" s="37" t="s">
        <v>159</v>
      </c>
      <c r="V31" s="37" t="s">
        <v>159</v>
      </c>
      <c r="W31" s="37" t="s">
        <v>159</v>
      </c>
      <c r="X31" s="37" t="s">
        <v>159</v>
      </c>
      <c r="Y31" s="37" t="s">
        <v>159</v>
      </c>
      <c r="Z31" s="37" t="s">
        <v>159</v>
      </c>
      <c r="AA31" s="37" t="s">
        <v>159</v>
      </c>
      <c r="AB31" s="37" t="s">
        <v>159</v>
      </c>
      <c r="AC31" s="37" t="s">
        <v>159</v>
      </c>
      <c r="AD31" s="37" t="s">
        <v>159</v>
      </c>
      <c r="AE31" s="37" t="s">
        <v>159</v>
      </c>
      <c r="AF31" s="37" t="s">
        <v>159</v>
      </c>
      <c r="AG31" s="37" t="s">
        <v>159</v>
      </c>
      <c r="AH31" s="37" t="s">
        <v>159</v>
      </c>
      <c r="AI31" s="37" t="s">
        <v>159</v>
      </c>
      <c r="AJ31" s="46">
        <v>0.15071700263787299</v>
      </c>
      <c r="AK31" s="46">
        <v>0.49900060415177</v>
      </c>
      <c r="AL31" s="46">
        <v>0</v>
      </c>
      <c r="AM31" s="46">
        <v>0</v>
      </c>
      <c r="AN31" s="46">
        <v>4488</v>
      </c>
      <c r="AO31" s="46">
        <v>4294967295</v>
      </c>
      <c r="AP31" s="46">
        <v>4294967295</v>
      </c>
      <c r="AQ31" s="46">
        <v>61047</v>
      </c>
      <c r="AR31" s="46">
        <v>0</v>
      </c>
      <c r="AS31" s="46">
        <v>0</v>
      </c>
      <c r="AT31" s="46">
        <v>4488</v>
      </c>
      <c r="AU31" s="46">
        <v>504</v>
      </c>
      <c r="AV31" s="46">
        <v>2</v>
      </c>
      <c r="AW31" s="46">
        <v>1</v>
      </c>
      <c r="AX31" s="46">
        <v>0</v>
      </c>
      <c r="AY31" s="46">
        <v>0</v>
      </c>
      <c r="AZ31" s="46">
        <v>81</v>
      </c>
      <c r="BA31" s="46">
        <v>5949</v>
      </c>
      <c r="BB31" s="46">
        <v>1</v>
      </c>
      <c r="BC31" s="46">
        <v>1</v>
      </c>
      <c r="BD31" s="46">
        <v>1</v>
      </c>
      <c r="BE31" s="50" t="s">
        <v>159</v>
      </c>
      <c r="BF31" s="37"/>
      <c r="BG31" s="38"/>
    </row>
    <row r="32" spans="1:59" x14ac:dyDescent="0.25">
      <c r="A32" s="36">
        <v>29</v>
      </c>
      <c r="B32" s="46" t="s">
        <v>307</v>
      </c>
      <c r="C32" s="46">
        <v>15.1</v>
      </c>
      <c r="D32" s="46">
        <v>0.15</v>
      </c>
      <c r="E32" s="46">
        <v>56</v>
      </c>
      <c r="F32" s="46">
        <v>9.4E-2</v>
      </c>
      <c r="G32" s="46">
        <v>124</v>
      </c>
      <c r="H32" s="46">
        <v>25</v>
      </c>
      <c r="I32" s="56">
        <v>2244</v>
      </c>
      <c r="J32" s="46">
        <v>3171418111</v>
      </c>
      <c r="K32" s="46">
        <v>3191341055</v>
      </c>
      <c r="L32" s="46">
        <v>63291</v>
      </c>
      <c r="M32" s="46">
        <v>88</v>
      </c>
      <c r="N32" s="46">
        <v>60182</v>
      </c>
      <c r="O32" s="46" t="s">
        <v>159</v>
      </c>
      <c r="P32" s="46" t="s">
        <v>159</v>
      </c>
      <c r="Q32" s="37" t="s">
        <v>159</v>
      </c>
      <c r="R32" s="37" t="s">
        <v>159</v>
      </c>
      <c r="S32" s="37" t="s">
        <v>159</v>
      </c>
      <c r="T32" s="37" t="s">
        <v>159</v>
      </c>
      <c r="U32" s="37" t="s">
        <v>159</v>
      </c>
      <c r="V32" s="37" t="s">
        <v>159</v>
      </c>
      <c r="W32" s="37" t="s">
        <v>159</v>
      </c>
      <c r="X32" s="37" t="s">
        <v>159</v>
      </c>
      <c r="Y32" s="37" t="s">
        <v>159</v>
      </c>
      <c r="Z32" s="37" t="s">
        <v>159</v>
      </c>
      <c r="AA32" s="37" t="s">
        <v>159</v>
      </c>
      <c r="AB32" s="37" t="s">
        <v>159</v>
      </c>
      <c r="AC32" s="37" t="s">
        <v>159</v>
      </c>
      <c r="AD32" s="37" t="s">
        <v>159</v>
      </c>
      <c r="AE32" s="37" t="s">
        <v>159</v>
      </c>
      <c r="AF32" s="37" t="s">
        <v>159</v>
      </c>
      <c r="AG32" s="37" t="s">
        <v>159</v>
      </c>
      <c r="AH32" s="37" t="s">
        <v>159</v>
      </c>
      <c r="AI32" s="37" t="s">
        <v>159</v>
      </c>
      <c r="AJ32" s="46">
        <v>0.172835917111825</v>
      </c>
      <c r="AK32" s="46">
        <v>0.50525695608892596</v>
      </c>
      <c r="AL32" s="46">
        <v>124</v>
      </c>
      <c r="AM32" s="46">
        <v>25</v>
      </c>
      <c r="AN32" s="46">
        <v>2244</v>
      </c>
      <c r="AO32" s="46">
        <v>3171418111</v>
      </c>
      <c r="AP32" s="46">
        <v>3191341055</v>
      </c>
      <c r="AQ32" s="46">
        <v>63291</v>
      </c>
      <c r="AR32" s="46">
        <v>0</v>
      </c>
      <c r="AS32" s="46">
        <v>0</v>
      </c>
      <c r="AT32" s="46">
        <v>4488</v>
      </c>
      <c r="AU32" s="46">
        <v>504</v>
      </c>
      <c r="AV32" s="46">
        <v>0</v>
      </c>
      <c r="AW32" s="46">
        <v>0</v>
      </c>
      <c r="AX32" s="46">
        <v>0</v>
      </c>
      <c r="AY32" s="46">
        <v>0</v>
      </c>
      <c r="AZ32" s="46">
        <v>88</v>
      </c>
      <c r="BA32" s="46">
        <v>60182</v>
      </c>
      <c r="BB32" s="46">
        <v>1</v>
      </c>
      <c r="BC32" s="46">
        <v>1</v>
      </c>
      <c r="BD32" s="46">
        <v>1</v>
      </c>
      <c r="BE32" s="50" t="s">
        <v>159</v>
      </c>
      <c r="BF32" s="37"/>
      <c r="BG32" s="38"/>
    </row>
    <row r="33" spans="1:59" x14ac:dyDescent="0.25">
      <c r="A33" s="36">
        <v>30</v>
      </c>
      <c r="B33" s="46" t="s">
        <v>308</v>
      </c>
      <c r="C33" s="46">
        <v>17</v>
      </c>
      <c r="D33" s="46">
        <v>0.16</v>
      </c>
      <c r="E33" s="46">
        <v>2.2000000000000002</v>
      </c>
      <c r="F33" s="46">
        <v>0.104</v>
      </c>
      <c r="G33" s="46">
        <v>144.4</v>
      </c>
      <c r="H33" s="46">
        <v>35</v>
      </c>
      <c r="I33" s="46">
        <v>1</v>
      </c>
      <c r="J33" s="56">
        <v>0</v>
      </c>
      <c r="K33" s="46">
        <v>25724</v>
      </c>
      <c r="L33" s="46">
        <v>2625</v>
      </c>
      <c r="M33" s="46">
        <v>95</v>
      </c>
      <c r="N33" s="46">
        <v>6415</v>
      </c>
      <c r="O33" s="46" t="s">
        <v>159</v>
      </c>
      <c r="P33" s="46" t="s">
        <v>159</v>
      </c>
      <c r="Q33" s="37" t="s">
        <v>159</v>
      </c>
      <c r="R33" s="37" t="s">
        <v>159</v>
      </c>
      <c r="S33" s="37" t="s">
        <v>159</v>
      </c>
      <c r="T33" s="37" t="s">
        <v>159</v>
      </c>
      <c r="U33" s="37" t="s">
        <v>159</v>
      </c>
      <c r="V33" s="37" t="s">
        <v>159</v>
      </c>
      <c r="W33" s="37" t="s">
        <v>159</v>
      </c>
      <c r="X33" s="37" t="s">
        <v>159</v>
      </c>
      <c r="Y33" s="37" t="s">
        <v>159</v>
      </c>
      <c r="Z33" s="37" t="s">
        <v>159</v>
      </c>
      <c r="AA33" s="37" t="s">
        <v>159</v>
      </c>
      <c r="AB33" s="37" t="s">
        <v>159</v>
      </c>
      <c r="AC33" s="37" t="s">
        <v>159</v>
      </c>
      <c r="AD33" s="37" t="s">
        <v>159</v>
      </c>
      <c r="AE33" s="37" t="s">
        <v>159</v>
      </c>
      <c r="AF33" s="37" t="s">
        <v>159</v>
      </c>
      <c r="AG33" s="37" t="s">
        <v>159</v>
      </c>
      <c r="AH33" s="37" t="s">
        <v>159</v>
      </c>
      <c r="AI33" s="37" t="s">
        <v>159</v>
      </c>
      <c r="AJ33" s="46">
        <v>0.19235146816239099</v>
      </c>
      <c r="AK33" s="46">
        <v>2.7267361714797999E-2</v>
      </c>
      <c r="AL33" s="46">
        <v>0</v>
      </c>
      <c r="AM33" s="46">
        <v>0</v>
      </c>
      <c r="AN33" s="46">
        <v>4488</v>
      </c>
      <c r="AO33" s="46">
        <v>4294967295</v>
      </c>
      <c r="AP33" s="46">
        <v>4294967295</v>
      </c>
      <c r="AQ33" s="46">
        <v>61047</v>
      </c>
      <c r="AR33" s="46">
        <v>0</v>
      </c>
      <c r="AS33" s="46">
        <v>0</v>
      </c>
      <c r="AT33" s="46">
        <v>4488</v>
      </c>
      <c r="AU33" s="46">
        <v>504</v>
      </c>
      <c r="AV33" s="46">
        <v>2</v>
      </c>
      <c r="AW33" s="46">
        <v>1</v>
      </c>
      <c r="AX33" s="46">
        <v>0</v>
      </c>
      <c r="AY33" s="46">
        <v>0</v>
      </c>
      <c r="AZ33" s="46">
        <v>95</v>
      </c>
      <c r="BA33" s="46">
        <v>6415</v>
      </c>
      <c r="BB33" s="46">
        <v>1</v>
      </c>
      <c r="BC33" s="46">
        <v>1</v>
      </c>
      <c r="BD33" s="46">
        <v>1</v>
      </c>
      <c r="BE33" s="50" t="s">
        <v>159</v>
      </c>
      <c r="BF33" s="37"/>
      <c r="BG33" s="38"/>
    </row>
    <row r="34" spans="1:59" x14ac:dyDescent="0.25">
      <c r="A34" s="36">
        <v>31</v>
      </c>
      <c r="B34" s="46" t="s">
        <v>309</v>
      </c>
      <c r="C34" s="46">
        <v>19</v>
      </c>
      <c r="D34" s="46">
        <v>0.17</v>
      </c>
      <c r="E34" s="46">
        <v>4</v>
      </c>
      <c r="F34" s="46">
        <v>0.114</v>
      </c>
      <c r="G34" s="46">
        <v>0</v>
      </c>
      <c r="H34" s="46">
        <v>45.8</v>
      </c>
      <c r="I34" s="46">
        <v>500</v>
      </c>
      <c r="J34" s="56">
        <v>4294967295</v>
      </c>
      <c r="K34" s="46">
        <v>3184053452</v>
      </c>
      <c r="L34" s="46">
        <v>65035</v>
      </c>
      <c r="M34" s="46">
        <v>102</v>
      </c>
      <c r="N34" s="46">
        <v>6648</v>
      </c>
      <c r="O34" s="46" t="s">
        <v>159</v>
      </c>
      <c r="P34" s="46" t="s">
        <v>159</v>
      </c>
      <c r="Q34" s="37" t="s">
        <v>159</v>
      </c>
      <c r="R34" s="37" t="s">
        <v>159</v>
      </c>
      <c r="S34" s="37" t="s">
        <v>159</v>
      </c>
      <c r="T34" s="37" t="s">
        <v>159</v>
      </c>
      <c r="U34" s="37" t="s">
        <v>159</v>
      </c>
      <c r="V34" s="37" t="s">
        <v>159</v>
      </c>
      <c r="W34" s="37" t="s">
        <v>159</v>
      </c>
      <c r="X34" s="37" t="s">
        <v>159</v>
      </c>
      <c r="Y34" s="37" t="s">
        <v>159</v>
      </c>
      <c r="Z34" s="37" t="s">
        <v>159</v>
      </c>
      <c r="AA34" s="37" t="s">
        <v>159</v>
      </c>
      <c r="AB34" s="37" t="s">
        <v>159</v>
      </c>
      <c r="AC34" s="37" t="s">
        <v>159</v>
      </c>
      <c r="AD34" s="37" t="s">
        <v>159</v>
      </c>
      <c r="AE34" s="37" t="s">
        <v>159</v>
      </c>
      <c r="AF34" s="37" t="s">
        <v>159</v>
      </c>
      <c r="AG34" s="37" t="s">
        <v>159</v>
      </c>
      <c r="AH34" s="37" t="s">
        <v>159</v>
      </c>
      <c r="AI34" s="37" t="s">
        <v>159</v>
      </c>
      <c r="AJ34" s="46">
        <v>0.212396935801315</v>
      </c>
      <c r="AK34" s="46">
        <v>4.9023076705685197E-2</v>
      </c>
      <c r="AL34" s="46">
        <v>0</v>
      </c>
      <c r="AM34" s="46">
        <v>45.8</v>
      </c>
      <c r="AN34" s="46">
        <v>500</v>
      </c>
      <c r="AO34" s="46">
        <v>4294967295</v>
      </c>
      <c r="AP34" s="46">
        <v>3184053452</v>
      </c>
      <c r="AQ34" s="46">
        <v>65035</v>
      </c>
      <c r="AR34" s="46">
        <v>0</v>
      </c>
      <c r="AS34" s="46">
        <v>0</v>
      </c>
      <c r="AT34" s="46">
        <v>4488</v>
      </c>
      <c r="AU34" s="46">
        <v>504</v>
      </c>
      <c r="AV34" s="46">
        <v>0</v>
      </c>
      <c r="AW34" s="46">
        <v>0</v>
      </c>
      <c r="AX34" s="46">
        <v>0</v>
      </c>
      <c r="AY34" s="46">
        <v>0</v>
      </c>
      <c r="AZ34" s="46">
        <v>102</v>
      </c>
      <c r="BA34" s="46">
        <v>6648</v>
      </c>
      <c r="BB34" s="46">
        <v>1</v>
      </c>
      <c r="BC34" s="46">
        <v>1</v>
      </c>
      <c r="BD34" s="46">
        <v>1</v>
      </c>
      <c r="BE34" s="50" t="s">
        <v>159</v>
      </c>
      <c r="BF34" s="37"/>
      <c r="BG34" s="38"/>
    </row>
    <row r="35" spans="1:59" x14ac:dyDescent="0.25">
      <c r="A35" s="36">
        <v>32</v>
      </c>
      <c r="B35" s="46" t="s">
        <v>310</v>
      </c>
      <c r="C35" s="46">
        <v>21</v>
      </c>
      <c r="D35" s="46">
        <v>0.18</v>
      </c>
      <c r="E35" s="46">
        <v>6</v>
      </c>
      <c r="F35" s="46">
        <v>0.124</v>
      </c>
      <c r="G35" s="46">
        <v>184</v>
      </c>
      <c r="H35" s="46">
        <v>55</v>
      </c>
      <c r="I35" s="46">
        <v>550</v>
      </c>
      <c r="J35" s="56">
        <v>2451658</v>
      </c>
      <c r="K35" s="46">
        <v>27940</v>
      </c>
      <c r="L35" s="46">
        <v>2825</v>
      </c>
      <c r="M35" s="46">
        <v>109</v>
      </c>
      <c r="N35" s="46">
        <v>6881</v>
      </c>
      <c r="O35" s="46" t="s">
        <v>159</v>
      </c>
      <c r="P35" s="46" t="s">
        <v>159</v>
      </c>
      <c r="Q35" s="37" t="s">
        <v>159</v>
      </c>
      <c r="R35" s="37" t="s">
        <v>159</v>
      </c>
      <c r="S35" s="37" t="s">
        <v>159</v>
      </c>
      <c r="T35" s="37" t="s">
        <v>159</v>
      </c>
      <c r="U35" s="37" t="s">
        <v>159</v>
      </c>
      <c r="V35" s="37" t="s">
        <v>159</v>
      </c>
      <c r="W35" s="37" t="s">
        <v>159</v>
      </c>
      <c r="X35" s="37" t="s">
        <v>159</v>
      </c>
      <c r="Y35" s="37" t="s">
        <v>159</v>
      </c>
      <c r="Z35" s="37" t="s">
        <v>159</v>
      </c>
      <c r="AA35" s="37" t="s">
        <v>159</v>
      </c>
      <c r="AB35" s="37" t="s">
        <v>159</v>
      </c>
      <c r="AC35" s="37" t="s">
        <v>159</v>
      </c>
      <c r="AD35" s="37" t="s">
        <v>159</v>
      </c>
      <c r="AE35" s="37" t="s">
        <v>159</v>
      </c>
      <c r="AF35" s="37" t="s">
        <v>159</v>
      </c>
      <c r="AG35" s="37" t="s">
        <v>159</v>
      </c>
      <c r="AH35" s="37" t="s">
        <v>159</v>
      </c>
      <c r="AI35" s="37" t="s">
        <v>159</v>
      </c>
      <c r="AJ35" s="46">
        <v>0.23194488408989999</v>
      </c>
      <c r="AK35" s="46">
        <v>7.2625889550385805E-2</v>
      </c>
      <c r="AL35" s="46">
        <v>0</v>
      </c>
      <c r="AM35" s="46">
        <v>0</v>
      </c>
      <c r="AN35" s="46">
        <v>4488</v>
      </c>
      <c r="AO35" s="46">
        <v>4294967295</v>
      </c>
      <c r="AP35" s="46">
        <v>4294967295</v>
      </c>
      <c r="AQ35" s="46">
        <v>61047</v>
      </c>
      <c r="AR35" s="46">
        <v>0</v>
      </c>
      <c r="AS35" s="46">
        <v>0</v>
      </c>
      <c r="AT35" s="46">
        <v>4488</v>
      </c>
      <c r="AU35" s="46">
        <v>504</v>
      </c>
      <c r="AV35" s="46">
        <v>2</v>
      </c>
      <c r="AW35" s="46">
        <v>1</v>
      </c>
      <c r="AX35" s="46">
        <v>0</v>
      </c>
      <c r="AY35" s="46">
        <v>0</v>
      </c>
      <c r="AZ35" s="46">
        <v>109</v>
      </c>
      <c r="BA35" s="46">
        <v>6881</v>
      </c>
      <c r="BB35" s="46">
        <v>1</v>
      </c>
      <c r="BC35" s="46">
        <v>1</v>
      </c>
      <c r="BD35" s="46">
        <v>1</v>
      </c>
      <c r="BE35" s="50" t="s">
        <v>159</v>
      </c>
      <c r="BF35" s="37"/>
      <c r="BG35" s="38"/>
    </row>
    <row r="36" spans="1:59" x14ac:dyDescent="0.25">
      <c r="A36" s="36">
        <v>33</v>
      </c>
      <c r="B36" s="46" t="s">
        <v>311</v>
      </c>
      <c r="C36" s="46">
        <v>23.3</v>
      </c>
      <c r="D36" s="46">
        <v>0.19</v>
      </c>
      <c r="E36" s="46">
        <v>8</v>
      </c>
      <c r="F36" s="46">
        <v>0.13400000000000001</v>
      </c>
      <c r="G36" s="46">
        <v>204</v>
      </c>
      <c r="H36" s="46">
        <v>65</v>
      </c>
      <c r="I36" s="46">
        <v>600</v>
      </c>
      <c r="J36" s="46">
        <v>4444</v>
      </c>
      <c r="K36" s="56">
        <v>0</v>
      </c>
      <c r="L36" s="46">
        <v>2925</v>
      </c>
      <c r="M36" s="46">
        <v>116</v>
      </c>
      <c r="N36" s="46">
        <v>17114</v>
      </c>
      <c r="O36" s="46" t="s">
        <v>159</v>
      </c>
      <c r="P36" s="46" t="s">
        <v>159</v>
      </c>
      <c r="Q36" s="37" t="s">
        <v>159</v>
      </c>
      <c r="R36" s="37" t="s">
        <v>159</v>
      </c>
      <c r="S36" s="37" t="s">
        <v>159</v>
      </c>
      <c r="T36" s="37" t="s">
        <v>159</v>
      </c>
      <c r="U36" s="37" t="s">
        <v>159</v>
      </c>
      <c r="V36" s="37" t="s">
        <v>159</v>
      </c>
      <c r="W36" s="37" t="s">
        <v>159</v>
      </c>
      <c r="X36" s="37" t="s">
        <v>159</v>
      </c>
      <c r="Y36" s="37" t="s">
        <v>159</v>
      </c>
      <c r="Z36" s="37" t="s">
        <v>159</v>
      </c>
      <c r="AA36" s="37" t="s">
        <v>159</v>
      </c>
      <c r="AB36" s="37" t="s">
        <v>159</v>
      </c>
      <c r="AC36" s="37" t="s">
        <v>159</v>
      </c>
      <c r="AD36" s="37" t="s">
        <v>159</v>
      </c>
      <c r="AE36" s="37" t="s">
        <v>159</v>
      </c>
      <c r="AF36" s="37" t="s">
        <v>159</v>
      </c>
      <c r="AG36" s="37" t="s">
        <v>159</v>
      </c>
      <c r="AH36" s="37" t="s">
        <v>159</v>
      </c>
      <c r="AI36" s="37" t="s">
        <v>159</v>
      </c>
      <c r="AJ36" s="46">
        <v>0.25382598008228502</v>
      </c>
      <c r="AK36" s="46">
        <v>9.5642891361678806E-2</v>
      </c>
      <c r="AL36" s="46">
        <v>0</v>
      </c>
      <c r="AM36" s="46">
        <v>0</v>
      </c>
      <c r="AN36" s="46">
        <v>4488</v>
      </c>
      <c r="AO36" s="46">
        <v>4294967295</v>
      </c>
      <c r="AP36" s="46">
        <v>4294967295</v>
      </c>
      <c r="AQ36" s="46">
        <v>61047</v>
      </c>
      <c r="AR36" s="46">
        <v>0</v>
      </c>
      <c r="AS36" s="46">
        <v>0</v>
      </c>
      <c r="AT36" s="46">
        <v>4488</v>
      </c>
      <c r="AU36" s="46">
        <v>504</v>
      </c>
      <c r="AV36" s="46">
        <v>2</v>
      </c>
      <c r="AW36" s="46">
        <v>1</v>
      </c>
      <c r="AX36" s="46">
        <v>0</v>
      </c>
      <c r="AY36" s="46">
        <v>0</v>
      </c>
      <c r="AZ36" s="46">
        <v>116</v>
      </c>
      <c r="BA36" s="46">
        <v>17114</v>
      </c>
      <c r="BB36" s="46">
        <v>1</v>
      </c>
      <c r="BC36" s="46">
        <v>1</v>
      </c>
      <c r="BD36" s="46">
        <v>1</v>
      </c>
      <c r="BE36" s="50" t="s">
        <v>159</v>
      </c>
      <c r="BF36" s="37"/>
      <c r="BG36" s="38"/>
    </row>
    <row r="37" spans="1:59" x14ac:dyDescent="0.25">
      <c r="A37" s="36">
        <v>34</v>
      </c>
      <c r="B37" s="46" t="s">
        <v>312</v>
      </c>
      <c r="C37" s="46">
        <v>25</v>
      </c>
      <c r="D37" s="46">
        <v>0.2</v>
      </c>
      <c r="E37" s="46">
        <v>10</v>
      </c>
      <c r="F37" s="46">
        <v>0.14399999999999999</v>
      </c>
      <c r="G37" s="46">
        <v>224</v>
      </c>
      <c r="H37" s="46">
        <v>0</v>
      </c>
      <c r="I37" s="46">
        <v>650</v>
      </c>
      <c r="J37" s="46">
        <v>3164602367</v>
      </c>
      <c r="K37" s="56">
        <v>4294967295</v>
      </c>
      <c r="L37" s="46">
        <v>64885</v>
      </c>
      <c r="M37" s="46">
        <v>123</v>
      </c>
      <c r="N37" s="46">
        <v>7347</v>
      </c>
      <c r="O37" s="46" t="s">
        <v>159</v>
      </c>
      <c r="P37" s="46" t="s">
        <v>159</v>
      </c>
      <c r="Q37" s="37" t="s">
        <v>159</v>
      </c>
      <c r="R37" s="37" t="s">
        <v>159</v>
      </c>
      <c r="S37" s="37" t="s">
        <v>159</v>
      </c>
      <c r="T37" s="37" t="s">
        <v>159</v>
      </c>
      <c r="U37" s="37" t="s">
        <v>159</v>
      </c>
      <c r="V37" s="37" t="s">
        <v>159</v>
      </c>
      <c r="W37" s="37" t="s">
        <v>159</v>
      </c>
      <c r="X37" s="37" t="s">
        <v>159</v>
      </c>
      <c r="Y37" s="37" t="s">
        <v>159</v>
      </c>
      <c r="Z37" s="37" t="s">
        <v>159</v>
      </c>
      <c r="AA37" s="37" t="s">
        <v>159</v>
      </c>
      <c r="AB37" s="37" t="s">
        <v>159</v>
      </c>
      <c r="AC37" s="37" t="s">
        <v>159</v>
      </c>
      <c r="AD37" s="37" t="s">
        <v>159</v>
      </c>
      <c r="AE37" s="37" t="s">
        <v>159</v>
      </c>
      <c r="AF37" s="37" t="s">
        <v>159</v>
      </c>
      <c r="AG37" s="37" t="s">
        <v>159</v>
      </c>
      <c r="AH37" s="37" t="s">
        <v>159</v>
      </c>
      <c r="AI37" s="37" t="s">
        <v>159</v>
      </c>
      <c r="AJ37" s="46">
        <v>0.26959730895135398</v>
      </c>
      <c r="AK37" s="46">
        <v>0.11808862170182401</v>
      </c>
      <c r="AL37" s="46">
        <v>224</v>
      </c>
      <c r="AM37" s="46">
        <v>0</v>
      </c>
      <c r="AN37" s="46">
        <v>650</v>
      </c>
      <c r="AO37" s="46">
        <v>3164602367</v>
      </c>
      <c r="AP37" s="46">
        <v>4294967295</v>
      </c>
      <c r="AQ37" s="46">
        <v>64885</v>
      </c>
      <c r="AR37" s="46">
        <v>0</v>
      </c>
      <c r="AS37" s="46">
        <v>0</v>
      </c>
      <c r="AT37" s="46">
        <v>4488</v>
      </c>
      <c r="AU37" s="46">
        <v>504</v>
      </c>
      <c r="AV37" s="46">
        <v>0</v>
      </c>
      <c r="AW37" s="46">
        <v>0</v>
      </c>
      <c r="AX37" s="46">
        <v>0</v>
      </c>
      <c r="AY37" s="46">
        <v>0</v>
      </c>
      <c r="AZ37" s="46">
        <v>123</v>
      </c>
      <c r="BA37" s="46">
        <v>7347</v>
      </c>
      <c r="BB37" s="46">
        <v>1</v>
      </c>
      <c r="BC37" s="46">
        <v>1</v>
      </c>
      <c r="BD37" s="46">
        <v>1</v>
      </c>
      <c r="BE37" s="50" t="s">
        <v>159</v>
      </c>
      <c r="BF37" s="37"/>
      <c r="BG37" s="38"/>
    </row>
    <row r="38" spans="1:59" x14ac:dyDescent="0.25">
      <c r="A38" s="36">
        <v>35</v>
      </c>
      <c r="B38" s="46" t="s">
        <v>313</v>
      </c>
      <c r="C38" s="46">
        <v>27</v>
      </c>
      <c r="D38" s="46">
        <v>0.21</v>
      </c>
      <c r="E38" s="46">
        <v>12.4</v>
      </c>
      <c r="F38" s="46">
        <v>0.154</v>
      </c>
      <c r="G38" s="46">
        <v>244.7</v>
      </c>
      <c r="H38" s="46">
        <v>85</v>
      </c>
      <c r="I38" s="46">
        <v>700</v>
      </c>
      <c r="J38" s="46">
        <v>6444</v>
      </c>
      <c r="K38" s="56">
        <v>2145623</v>
      </c>
      <c r="L38" s="46">
        <v>3125</v>
      </c>
      <c r="M38" s="46">
        <v>130</v>
      </c>
      <c r="N38" s="46">
        <v>7580</v>
      </c>
      <c r="O38" s="46" t="s">
        <v>159</v>
      </c>
      <c r="P38" s="46" t="s">
        <v>159</v>
      </c>
      <c r="Q38" s="37" t="s">
        <v>159</v>
      </c>
      <c r="R38" s="37" t="s">
        <v>159</v>
      </c>
      <c r="S38" s="37" t="s">
        <v>159</v>
      </c>
      <c r="T38" s="37" t="s">
        <v>159</v>
      </c>
      <c r="U38" s="37" t="s">
        <v>159</v>
      </c>
      <c r="V38" s="37" t="s">
        <v>159</v>
      </c>
      <c r="W38" s="37" t="s">
        <v>159</v>
      </c>
      <c r="X38" s="37" t="s">
        <v>159</v>
      </c>
      <c r="Y38" s="37" t="s">
        <v>159</v>
      </c>
      <c r="Z38" s="37" t="s">
        <v>159</v>
      </c>
      <c r="AA38" s="37" t="s">
        <v>159</v>
      </c>
      <c r="AB38" s="37" t="s">
        <v>159</v>
      </c>
      <c r="AC38" s="37" t="s">
        <v>159</v>
      </c>
      <c r="AD38" s="37" t="s">
        <v>159</v>
      </c>
      <c r="AE38" s="37" t="s">
        <v>159</v>
      </c>
      <c r="AF38" s="37" t="s">
        <v>159</v>
      </c>
      <c r="AG38" s="37" t="s">
        <v>159</v>
      </c>
      <c r="AH38" s="37" t="s">
        <v>159</v>
      </c>
      <c r="AI38" s="37" t="s">
        <v>159</v>
      </c>
      <c r="AJ38" s="46">
        <v>0.287725570106596</v>
      </c>
      <c r="AK38" s="46">
        <v>0.14428935849991001</v>
      </c>
      <c r="AL38" s="46">
        <v>0</v>
      </c>
      <c r="AM38" s="46">
        <v>0</v>
      </c>
      <c r="AN38" s="46">
        <v>4488</v>
      </c>
      <c r="AO38" s="46">
        <v>4294967295</v>
      </c>
      <c r="AP38" s="46">
        <v>4294967295</v>
      </c>
      <c r="AQ38" s="46">
        <v>61047</v>
      </c>
      <c r="AR38" s="46">
        <v>0</v>
      </c>
      <c r="AS38" s="46">
        <v>0</v>
      </c>
      <c r="AT38" s="46">
        <v>4488</v>
      </c>
      <c r="AU38" s="46">
        <v>504</v>
      </c>
      <c r="AV38" s="46">
        <v>2</v>
      </c>
      <c r="AW38" s="46">
        <v>1</v>
      </c>
      <c r="AX38" s="46">
        <v>0</v>
      </c>
      <c r="AY38" s="46">
        <v>0</v>
      </c>
      <c r="AZ38" s="46">
        <v>130</v>
      </c>
      <c r="BA38" s="46">
        <v>7580</v>
      </c>
      <c r="BB38" s="46">
        <v>1</v>
      </c>
      <c r="BC38" s="46">
        <v>1</v>
      </c>
      <c r="BD38" s="46">
        <v>1</v>
      </c>
      <c r="BE38" s="50" t="s">
        <v>159</v>
      </c>
      <c r="BF38" s="37"/>
      <c r="BG38" s="38"/>
    </row>
    <row r="39" spans="1:59" x14ac:dyDescent="0.25">
      <c r="A39" s="36">
        <v>36</v>
      </c>
      <c r="B39" s="46" t="s">
        <v>314</v>
      </c>
      <c r="C39" s="46">
        <v>29.8</v>
      </c>
      <c r="D39" s="46">
        <v>0.22</v>
      </c>
      <c r="E39" s="46">
        <v>14</v>
      </c>
      <c r="F39" s="46">
        <v>0.16400000000000001</v>
      </c>
      <c r="G39" s="46">
        <v>264</v>
      </c>
      <c r="H39" s="46">
        <v>95</v>
      </c>
      <c r="I39" s="46">
        <v>750</v>
      </c>
      <c r="J39" s="46">
        <v>7444</v>
      </c>
      <c r="K39" s="46">
        <v>1</v>
      </c>
      <c r="L39" s="56">
        <v>0</v>
      </c>
      <c r="M39" s="46">
        <v>137</v>
      </c>
      <c r="N39" s="46">
        <v>813</v>
      </c>
      <c r="O39" s="56" t="s">
        <v>159</v>
      </c>
      <c r="P39" s="56" t="s">
        <v>159</v>
      </c>
      <c r="Q39" s="37" t="s">
        <v>159</v>
      </c>
      <c r="R39" s="37" t="s">
        <v>159</v>
      </c>
      <c r="S39" s="37" t="s">
        <v>159</v>
      </c>
      <c r="T39" s="37" t="s">
        <v>159</v>
      </c>
      <c r="U39" s="37" t="s">
        <v>159</v>
      </c>
      <c r="V39" s="37" t="s">
        <v>159</v>
      </c>
      <c r="W39" s="37" t="s">
        <v>159</v>
      </c>
      <c r="X39" s="37" t="s">
        <v>159</v>
      </c>
      <c r="Y39" s="37" t="s">
        <v>159</v>
      </c>
      <c r="Z39" s="37" t="s">
        <v>159</v>
      </c>
      <c r="AA39" s="37" t="s">
        <v>159</v>
      </c>
      <c r="AB39" s="37" t="s">
        <v>159</v>
      </c>
      <c r="AC39" s="37" t="s">
        <v>159</v>
      </c>
      <c r="AD39" s="37" t="s">
        <v>159</v>
      </c>
      <c r="AE39" s="37" t="s">
        <v>159</v>
      </c>
      <c r="AF39" s="37" t="s">
        <v>159</v>
      </c>
      <c r="AG39" s="37" t="s">
        <v>159</v>
      </c>
      <c r="AH39" s="37" t="s">
        <v>159</v>
      </c>
      <c r="AI39" s="37" t="s">
        <v>159</v>
      </c>
      <c r="AJ39" s="46">
        <v>0.31235175549014899</v>
      </c>
      <c r="AK39" s="46">
        <v>0.161322630847752</v>
      </c>
      <c r="AL39" s="46">
        <v>0</v>
      </c>
      <c r="AM39" s="46">
        <v>0</v>
      </c>
      <c r="AN39" s="46">
        <v>4488</v>
      </c>
      <c r="AO39" s="46">
        <v>4294967295</v>
      </c>
      <c r="AP39" s="46">
        <v>4294967295</v>
      </c>
      <c r="AQ39" s="46">
        <v>61047</v>
      </c>
      <c r="AR39" s="46">
        <v>0</v>
      </c>
      <c r="AS39" s="46">
        <v>0</v>
      </c>
      <c r="AT39" s="46">
        <v>4488</v>
      </c>
      <c r="AU39" s="46">
        <v>504</v>
      </c>
      <c r="AV39" s="46">
        <v>2</v>
      </c>
      <c r="AW39" s="46">
        <v>1</v>
      </c>
      <c r="AX39" s="46">
        <v>0</v>
      </c>
      <c r="AY39" s="46">
        <v>0</v>
      </c>
      <c r="AZ39" s="46">
        <v>137</v>
      </c>
      <c r="BA39" s="46">
        <v>813</v>
      </c>
      <c r="BB39" s="46">
        <v>1</v>
      </c>
      <c r="BC39" s="46">
        <v>1</v>
      </c>
      <c r="BD39" s="46">
        <v>1</v>
      </c>
      <c r="BE39" s="50" t="s">
        <v>159</v>
      </c>
      <c r="BF39" s="37"/>
      <c r="BG39" s="38"/>
    </row>
    <row r="40" spans="1:59" x14ac:dyDescent="0.25">
      <c r="A40" s="36">
        <v>37</v>
      </c>
      <c r="B40" s="46" t="s">
        <v>315</v>
      </c>
      <c r="C40" s="46">
        <v>31</v>
      </c>
      <c r="D40" s="46">
        <v>0.23</v>
      </c>
      <c r="E40" s="46">
        <v>16</v>
      </c>
      <c r="F40" s="46">
        <v>0.17399999999999999</v>
      </c>
      <c r="G40" s="46">
        <v>284</v>
      </c>
      <c r="H40" s="46">
        <v>105</v>
      </c>
      <c r="I40" s="46">
        <v>0</v>
      </c>
      <c r="J40" s="46">
        <v>3161587711</v>
      </c>
      <c r="K40" s="46">
        <v>3173908479</v>
      </c>
      <c r="L40" s="56">
        <v>65535</v>
      </c>
      <c r="M40" s="46">
        <v>144</v>
      </c>
      <c r="N40" s="46">
        <v>8046</v>
      </c>
      <c r="O40" s="56" t="s">
        <v>159</v>
      </c>
      <c r="P40" s="56" t="s">
        <v>159</v>
      </c>
      <c r="Q40" s="37" t="s">
        <v>159</v>
      </c>
      <c r="R40" s="37" t="s">
        <v>159</v>
      </c>
      <c r="S40" s="37" t="s">
        <v>159</v>
      </c>
      <c r="T40" s="37" t="s">
        <v>159</v>
      </c>
      <c r="U40" s="37" t="s">
        <v>159</v>
      </c>
      <c r="V40" s="37" t="s">
        <v>159</v>
      </c>
      <c r="W40" s="37" t="s">
        <v>159</v>
      </c>
      <c r="X40" s="37" t="s">
        <v>159</v>
      </c>
      <c r="Y40" s="37" t="s">
        <v>159</v>
      </c>
      <c r="Z40" s="37" t="s">
        <v>159</v>
      </c>
      <c r="AA40" s="37" t="s">
        <v>159</v>
      </c>
      <c r="AB40" s="37" t="s">
        <v>159</v>
      </c>
      <c r="AC40" s="37" t="s">
        <v>159</v>
      </c>
      <c r="AD40" s="37" t="s">
        <v>159</v>
      </c>
      <c r="AE40" s="37" t="s">
        <v>159</v>
      </c>
      <c r="AF40" s="37" t="s">
        <v>159</v>
      </c>
      <c r="AG40" s="37" t="s">
        <v>159</v>
      </c>
      <c r="AH40" s="37" t="s">
        <v>159</v>
      </c>
      <c r="AI40" s="37" t="s">
        <v>159</v>
      </c>
      <c r="AJ40" s="46">
        <v>0.322643454118758</v>
      </c>
      <c r="AK40" s="46">
        <v>0.182138220055336</v>
      </c>
      <c r="AL40" s="46">
        <v>284</v>
      </c>
      <c r="AM40" s="46">
        <v>105</v>
      </c>
      <c r="AN40" s="46">
        <v>0</v>
      </c>
      <c r="AO40" s="46">
        <v>3161587711</v>
      </c>
      <c r="AP40" s="46">
        <v>3173908479</v>
      </c>
      <c r="AQ40" s="46">
        <v>65535</v>
      </c>
      <c r="AR40" s="46">
        <v>0</v>
      </c>
      <c r="AS40" s="46">
        <v>0</v>
      </c>
      <c r="AT40" s="46">
        <v>4488</v>
      </c>
      <c r="AU40" s="46">
        <v>504</v>
      </c>
      <c r="AV40" s="46">
        <v>0</v>
      </c>
      <c r="AW40" s="46">
        <v>0</v>
      </c>
      <c r="AX40" s="46">
        <v>0</v>
      </c>
      <c r="AY40" s="46">
        <v>0</v>
      </c>
      <c r="AZ40" s="46">
        <v>144</v>
      </c>
      <c r="BA40" s="46">
        <v>8046</v>
      </c>
      <c r="BB40" s="46">
        <v>1</v>
      </c>
      <c r="BC40" s="46">
        <v>1</v>
      </c>
      <c r="BD40" s="46">
        <v>1</v>
      </c>
      <c r="BE40" s="50" t="s">
        <v>159</v>
      </c>
      <c r="BF40" s="37"/>
      <c r="BG40" s="38"/>
    </row>
    <row r="41" spans="1:59" x14ac:dyDescent="0.25">
      <c r="A41" s="36">
        <v>38</v>
      </c>
      <c r="B41" s="46" t="s">
        <v>316</v>
      </c>
      <c r="C41" s="46">
        <v>33</v>
      </c>
      <c r="D41" s="46">
        <v>0.24</v>
      </c>
      <c r="E41" s="46">
        <v>18</v>
      </c>
      <c r="F41" s="46">
        <v>0.184</v>
      </c>
      <c r="G41" s="46">
        <v>304</v>
      </c>
      <c r="H41" s="46">
        <v>115</v>
      </c>
      <c r="I41" s="46">
        <v>850</v>
      </c>
      <c r="J41" s="46">
        <v>9444</v>
      </c>
      <c r="K41" s="46">
        <v>25846</v>
      </c>
      <c r="L41" s="56">
        <v>254</v>
      </c>
      <c r="M41" s="46">
        <v>151</v>
      </c>
      <c r="N41" s="46">
        <v>8279</v>
      </c>
      <c r="O41" s="56" t="s">
        <v>159</v>
      </c>
      <c r="P41" s="56" t="s">
        <v>159</v>
      </c>
      <c r="Q41" s="37" t="s">
        <v>159</v>
      </c>
      <c r="R41" s="37" t="s">
        <v>159</v>
      </c>
      <c r="S41" s="37" t="s">
        <v>159</v>
      </c>
      <c r="T41" s="37" t="s">
        <v>159</v>
      </c>
      <c r="U41" s="37" t="s">
        <v>159</v>
      </c>
      <c r="V41" s="37" t="s">
        <v>159</v>
      </c>
      <c r="W41" s="37" t="s">
        <v>159</v>
      </c>
      <c r="X41" s="37" t="s">
        <v>159</v>
      </c>
      <c r="Y41" s="37" t="s">
        <v>159</v>
      </c>
      <c r="Z41" s="37" t="s">
        <v>159</v>
      </c>
      <c r="AA41" s="37" t="s">
        <v>159</v>
      </c>
      <c r="AB41" s="37" t="s">
        <v>159</v>
      </c>
      <c r="AC41" s="37" t="s">
        <v>159</v>
      </c>
      <c r="AD41" s="37" t="s">
        <v>159</v>
      </c>
      <c r="AE41" s="37" t="s">
        <v>159</v>
      </c>
      <c r="AF41" s="37" t="s">
        <v>159</v>
      </c>
      <c r="AG41" s="37" t="s">
        <v>159</v>
      </c>
      <c r="AH41" s="37" t="s">
        <v>159</v>
      </c>
      <c r="AI41" s="37" t="s">
        <v>159</v>
      </c>
      <c r="AJ41" s="46">
        <v>0.33945513418159801</v>
      </c>
      <c r="AK41" s="46">
        <v>0.202437175847025</v>
      </c>
      <c r="AL41" s="46">
        <v>0</v>
      </c>
      <c r="AM41" s="46">
        <v>0</v>
      </c>
      <c r="AN41" s="46">
        <v>4488</v>
      </c>
      <c r="AO41" s="46">
        <v>4294967295</v>
      </c>
      <c r="AP41" s="46">
        <v>4294967295</v>
      </c>
      <c r="AQ41" s="46">
        <v>61047</v>
      </c>
      <c r="AR41" s="46">
        <v>0</v>
      </c>
      <c r="AS41" s="46">
        <v>0</v>
      </c>
      <c r="AT41" s="46">
        <v>4488</v>
      </c>
      <c r="AU41" s="46">
        <v>504</v>
      </c>
      <c r="AV41" s="46">
        <v>2</v>
      </c>
      <c r="AW41" s="46">
        <v>1</v>
      </c>
      <c r="AX41" s="46">
        <v>0</v>
      </c>
      <c r="AY41" s="46">
        <v>0</v>
      </c>
      <c r="AZ41" s="46">
        <v>151</v>
      </c>
      <c r="BA41" s="46">
        <v>8279</v>
      </c>
      <c r="BB41" s="46">
        <v>1</v>
      </c>
      <c r="BC41" s="46">
        <v>1</v>
      </c>
      <c r="BD41" s="46">
        <v>1</v>
      </c>
      <c r="BE41" s="50" t="s">
        <v>159</v>
      </c>
      <c r="BF41" s="37"/>
      <c r="BG41" s="38"/>
    </row>
    <row r="42" spans="1:59" x14ac:dyDescent="0.25">
      <c r="A42" s="36">
        <v>39</v>
      </c>
      <c r="B42" s="46" t="s">
        <v>729</v>
      </c>
      <c r="C42" s="46">
        <v>35</v>
      </c>
      <c r="D42" s="46">
        <v>0.1</v>
      </c>
      <c r="E42" s="46">
        <v>8.5</v>
      </c>
      <c r="F42" s="46">
        <v>1.2E-2</v>
      </c>
      <c r="G42" s="46">
        <v>1</v>
      </c>
      <c r="H42" s="46">
        <v>12</v>
      </c>
      <c r="I42" s="46">
        <v>124</v>
      </c>
      <c r="J42" s="46">
        <v>1</v>
      </c>
      <c r="K42" s="46">
        <v>2456</v>
      </c>
      <c r="L42" s="46">
        <v>525</v>
      </c>
      <c r="M42" s="56">
        <v>0</v>
      </c>
      <c r="N42" s="46">
        <v>8512</v>
      </c>
      <c r="O42" s="37" t="s">
        <v>159</v>
      </c>
      <c r="P42" s="37" t="s">
        <v>159</v>
      </c>
      <c r="Q42" s="37" t="s">
        <v>159</v>
      </c>
      <c r="R42" s="37" t="s">
        <v>159</v>
      </c>
      <c r="S42" s="37" t="s">
        <v>159</v>
      </c>
      <c r="T42" s="37" t="s">
        <v>159</v>
      </c>
      <c r="U42" s="37" t="s">
        <v>159</v>
      </c>
      <c r="V42" s="37" t="s">
        <v>159</v>
      </c>
      <c r="W42" s="37" t="s">
        <v>159</v>
      </c>
      <c r="X42" s="37" t="s">
        <v>159</v>
      </c>
      <c r="Y42" s="37" t="s">
        <v>159</v>
      </c>
      <c r="Z42" s="37" t="s">
        <v>159</v>
      </c>
      <c r="AA42" s="37" t="s">
        <v>159</v>
      </c>
      <c r="AB42" s="37" t="s">
        <v>159</v>
      </c>
      <c r="AC42" s="37" t="s">
        <v>159</v>
      </c>
      <c r="AD42" s="37" t="s">
        <v>159</v>
      </c>
      <c r="AE42" s="37" t="s">
        <v>159</v>
      </c>
      <c r="AF42" s="37" t="s">
        <v>159</v>
      </c>
      <c r="AG42" s="37" t="s">
        <v>159</v>
      </c>
      <c r="AH42" s="37" t="s">
        <v>159</v>
      </c>
      <c r="AI42" s="37" t="s">
        <v>159</v>
      </c>
      <c r="AJ42" s="46">
        <v>0.35584955602459201</v>
      </c>
      <c r="AK42" s="46">
        <v>0.101307320694327</v>
      </c>
      <c r="AL42" s="46">
        <v>0</v>
      </c>
      <c r="AM42" s="46">
        <v>0</v>
      </c>
      <c r="AN42" s="46">
        <v>4488</v>
      </c>
      <c r="AO42" s="46">
        <v>4294967295</v>
      </c>
      <c r="AP42" s="46">
        <v>4294967295</v>
      </c>
      <c r="AQ42" s="46">
        <v>61047</v>
      </c>
      <c r="AR42" s="46">
        <v>0</v>
      </c>
      <c r="AS42" s="46">
        <v>0</v>
      </c>
      <c r="AT42" s="46">
        <v>4488</v>
      </c>
      <c r="AU42" s="46">
        <v>504</v>
      </c>
      <c r="AV42" s="46">
        <v>2</v>
      </c>
      <c r="AW42" s="46">
        <v>1</v>
      </c>
      <c r="AX42" s="46">
        <v>0</v>
      </c>
      <c r="AY42" s="46">
        <v>0</v>
      </c>
      <c r="AZ42" s="46">
        <v>0</v>
      </c>
      <c r="BA42" s="46">
        <v>8512</v>
      </c>
      <c r="BB42" s="46">
        <v>1</v>
      </c>
      <c r="BC42" s="46">
        <v>1</v>
      </c>
      <c r="BD42" s="46">
        <v>1</v>
      </c>
      <c r="BE42" s="50" t="s">
        <v>159</v>
      </c>
      <c r="BF42" s="37"/>
      <c r="BG42" s="38"/>
    </row>
    <row r="43" spans="1:59" x14ac:dyDescent="0.25">
      <c r="A43" s="36">
        <v>40</v>
      </c>
      <c r="B43" s="46" t="s">
        <v>730</v>
      </c>
      <c r="C43" s="46">
        <v>37</v>
      </c>
      <c r="D43" s="46">
        <v>0.2</v>
      </c>
      <c r="E43" s="46">
        <v>16</v>
      </c>
      <c r="F43" s="46">
        <v>1.4999999999999999E-2</v>
      </c>
      <c r="G43" s="46">
        <v>5</v>
      </c>
      <c r="H43" s="46">
        <v>36.200000000000003</v>
      </c>
      <c r="I43" s="46">
        <v>224</v>
      </c>
      <c r="J43" s="46">
        <v>3210739711</v>
      </c>
      <c r="K43" s="46">
        <v>3186570034</v>
      </c>
      <c r="L43" s="46">
        <v>65311</v>
      </c>
      <c r="M43" s="56">
        <v>255</v>
      </c>
      <c r="N43" s="46">
        <v>8745</v>
      </c>
      <c r="O43" s="37" t="s">
        <v>159</v>
      </c>
      <c r="P43" s="37" t="s">
        <v>159</v>
      </c>
      <c r="Q43" s="37" t="s">
        <v>159</v>
      </c>
      <c r="R43" s="37" t="s">
        <v>159</v>
      </c>
      <c r="S43" s="37" t="s">
        <v>159</v>
      </c>
      <c r="T43" s="37" t="s">
        <v>159</v>
      </c>
      <c r="U43" s="37" t="s">
        <v>159</v>
      </c>
      <c r="V43" s="37" t="s">
        <v>159</v>
      </c>
      <c r="W43" s="37" t="s">
        <v>159</v>
      </c>
      <c r="X43" s="37" t="s">
        <v>159</v>
      </c>
      <c r="Y43" s="37" t="s">
        <v>159</v>
      </c>
      <c r="Z43" s="37" t="s">
        <v>159</v>
      </c>
      <c r="AA43" s="37" t="s">
        <v>159</v>
      </c>
      <c r="AB43" s="37" t="s">
        <v>159</v>
      </c>
      <c r="AC43" s="37" t="s">
        <v>159</v>
      </c>
      <c r="AD43" s="37" t="s">
        <v>159</v>
      </c>
      <c r="AE43" s="37" t="s">
        <v>159</v>
      </c>
      <c r="AF43" s="37" t="s">
        <v>159</v>
      </c>
      <c r="AG43" s="37" t="s">
        <v>159</v>
      </c>
      <c r="AH43" s="37" t="s">
        <v>159</v>
      </c>
      <c r="AI43" s="37" t="s">
        <v>159</v>
      </c>
      <c r="AJ43" s="46">
        <v>0.37183707580615999</v>
      </c>
      <c r="AK43" s="46">
        <v>0.182138220055336</v>
      </c>
      <c r="AL43" s="46">
        <v>5</v>
      </c>
      <c r="AM43" s="46">
        <v>36.200000000000003</v>
      </c>
      <c r="AN43" s="46">
        <v>224</v>
      </c>
      <c r="AO43" s="46">
        <v>3210739711</v>
      </c>
      <c r="AP43" s="46">
        <v>3186570034</v>
      </c>
      <c r="AQ43" s="46">
        <v>65311</v>
      </c>
      <c r="AR43" s="46">
        <v>0</v>
      </c>
      <c r="AS43" s="46">
        <v>0</v>
      </c>
      <c r="AT43" s="46">
        <v>4488</v>
      </c>
      <c r="AU43" s="46">
        <v>504</v>
      </c>
      <c r="AV43" s="46">
        <v>0</v>
      </c>
      <c r="AW43" s="46">
        <v>0</v>
      </c>
      <c r="AX43" s="46">
        <v>0</v>
      </c>
      <c r="AY43" s="46">
        <v>0</v>
      </c>
      <c r="AZ43" s="46">
        <v>255</v>
      </c>
      <c r="BA43" s="46">
        <v>8745</v>
      </c>
      <c r="BB43" s="46">
        <v>1</v>
      </c>
      <c r="BC43" s="46">
        <v>1</v>
      </c>
      <c r="BD43" s="46">
        <v>1</v>
      </c>
      <c r="BE43" s="50" t="s">
        <v>159</v>
      </c>
      <c r="BF43" s="37"/>
      <c r="BG43" s="38"/>
    </row>
    <row r="44" spans="1:59" x14ac:dyDescent="0.25">
      <c r="A44" s="36">
        <v>41</v>
      </c>
      <c r="B44" s="46" t="s">
        <v>728</v>
      </c>
      <c r="C44" s="46">
        <v>39</v>
      </c>
      <c r="D44" s="46">
        <v>0.33</v>
      </c>
      <c r="E44" s="46">
        <v>17</v>
      </c>
      <c r="F44" s="46">
        <v>1.6E-2</v>
      </c>
      <c r="G44" s="46">
        <v>6</v>
      </c>
      <c r="H44" s="46">
        <v>37.200000000000003</v>
      </c>
      <c r="I44" s="46">
        <v>225</v>
      </c>
      <c r="J44" s="46">
        <v>3210739712</v>
      </c>
      <c r="K44" s="46">
        <v>3186570034</v>
      </c>
      <c r="L44" s="46">
        <v>65312</v>
      </c>
      <c r="M44" s="56">
        <v>1</v>
      </c>
      <c r="N44" s="46">
        <v>8978</v>
      </c>
      <c r="O44" s="37" t="s">
        <v>159</v>
      </c>
      <c r="P44" s="37" t="s">
        <v>159</v>
      </c>
      <c r="Q44" s="37" t="s">
        <v>159</v>
      </c>
      <c r="R44" s="37" t="s">
        <v>159</v>
      </c>
      <c r="S44" s="37" t="s">
        <v>159</v>
      </c>
      <c r="T44" s="37" t="s">
        <v>159</v>
      </c>
      <c r="U44" s="37" t="s">
        <v>159</v>
      </c>
      <c r="V44" s="37" t="s">
        <v>159</v>
      </c>
      <c r="W44" s="37" t="s">
        <v>159</v>
      </c>
      <c r="X44" s="37" t="s">
        <v>159</v>
      </c>
      <c r="Y44" s="37" t="s">
        <v>159</v>
      </c>
      <c r="Z44" s="37" t="s">
        <v>159</v>
      </c>
      <c r="AA44" s="37" t="s">
        <v>159</v>
      </c>
      <c r="AB44" s="37" t="s">
        <v>159</v>
      </c>
      <c r="AC44" s="37" t="s">
        <v>159</v>
      </c>
      <c r="AD44" s="37" t="s">
        <v>159</v>
      </c>
      <c r="AE44" s="37" t="s">
        <v>159</v>
      </c>
      <c r="AF44" s="37" t="s">
        <v>159</v>
      </c>
      <c r="AG44" s="37" t="s">
        <v>159</v>
      </c>
      <c r="AH44" s="37" t="s">
        <v>159</v>
      </c>
      <c r="AI44" s="37" t="s">
        <v>159</v>
      </c>
      <c r="AJ44" s="46">
        <v>0.38742779264959998</v>
      </c>
      <c r="AK44" s="46">
        <v>0.19235146816239099</v>
      </c>
      <c r="AL44" s="46">
        <v>0</v>
      </c>
      <c r="AM44" s="46">
        <v>0</v>
      </c>
      <c r="AN44" s="46">
        <v>4488</v>
      </c>
      <c r="AO44" s="46">
        <v>4294967295</v>
      </c>
      <c r="AP44" s="46">
        <v>4294967295</v>
      </c>
      <c r="AQ44" s="46">
        <v>61047</v>
      </c>
      <c r="AR44" s="46">
        <v>0</v>
      </c>
      <c r="AS44" s="46">
        <v>0</v>
      </c>
      <c r="AT44" s="46">
        <v>4488</v>
      </c>
      <c r="AU44" s="46">
        <v>504</v>
      </c>
      <c r="AV44" s="46">
        <v>2</v>
      </c>
      <c r="AW44" s="46">
        <v>1</v>
      </c>
      <c r="AX44" s="46">
        <v>0</v>
      </c>
      <c r="AY44" s="46">
        <v>0</v>
      </c>
      <c r="AZ44" s="46">
        <v>1</v>
      </c>
      <c r="BA44" s="46">
        <v>8978</v>
      </c>
      <c r="BB44" s="46">
        <v>1</v>
      </c>
      <c r="BC44" s="46">
        <v>1</v>
      </c>
      <c r="BD44" s="46">
        <v>1</v>
      </c>
      <c r="BE44" s="50" t="s">
        <v>159</v>
      </c>
      <c r="BF44" s="37"/>
      <c r="BG44" s="38"/>
    </row>
    <row r="45" spans="1:59" x14ac:dyDescent="0.25">
      <c r="A45" s="36">
        <v>42</v>
      </c>
      <c r="B45" s="46" t="s">
        <v>731</v>
      </c>
      <c r="C45" s="46">
        <v>41</v>
      </c>
      <c r="D45" s="46">
        <v>0.22</v>
      </c>
      <c r="E45" s="46">
        <v>14</v>
      </c>
      <c r="F45" s="46">
        <v>0.16400000000000001</v>
      </c>
      <c r="G45" s="46">
        <v>264</v>
      </c>
      <c r="H45" s="46">
        <v>95</v>
      </c>
      <c r="I45" s="46">
        <v>750</v>
      </c>
      <c r="J45" s="46">
        <v>7444</v>
      </c>
      <c r="K45" s="46">
        <v>1</v>
      </c>
      <c r="L45" s="46">
        <v>47</v>
      </c>
      <c r="M45" s="46">
        <v>5</v>
      </c>
      <c r="N45" s="56">
        <v>0</v>
      </c>
      <c r="O45" s="37" t="s">
        <v>159</v>
      </c>
      <c r="P45" s="37" t="s">
        <v>159</v>
      </c>
      <c r="Q45" s="37" t="s">
        <v>159</v>
      </c>
      <c r="R45" s="37" t="s">
        <v>159</v>
      </c>
      <c r="S45" s="37" t="s">
        <v>159</v>
      </c>
      <c r="T45" s="37" t="s">
        <v>159</v>
      </c>
      <c r="U45" s="37" t="s">
        <v>159</v>
      </c>
      <c r="V45" s="37" t="s">
        <v>159</v>
      </c>
      <c r="W45" s="37" t="s">
        <v>159</v>
      </c>
      <c r="X45" s="37" t="s">
        <v>159</v>
      </c>
      <c r="Y45" s="37" t="s">
        <v>159</v>
      </c>
      <c r="Z45" s="37" t="s">
        <v>159</v>
      </c>
      <c r="AA45" s="37" t="s">
        <v>159</v>
      </c>
      <c r="AB45" s="37" t="s">
        <v>159</v>
      </c>
      <c r="AC45" s="37" t="s">
        <v>159</v>
      </c>
      <c r="AD45" s="37" t="s">
        <v>159</v>
      </c>
      <c r="AE45" s="37" t="s">
        <v>159</v>
      </c>
      <c r="AF45" s="37" t="s">
        <v>159</v>
      </c>
      <c r="AG45" s="37" t="s">
        <v>159</v>
      </c>
      <c r="AH45" s="37" t="s">
        <v>159</v>
      </c>
      <c r="AI45" s="37" t="s">
        <v>159</v>
      </c>
      <c r="AJ45" s="46">
        <v>0.40263155502258202</v>
      </c>
      <c r="AK45" s="46">
        <v>0.161322630847752</v>
      </c>
      <c r="AL45" s="46">
        <v>0</v>
      </c>
      <c r="AM45" s="46">
        <v>0</v>
      </c>
      <c r="AN45" s="46">
        <v>4488</v>
      </c>
      <c r="AO45" s="46">
        <v>4294967295</v>
      </c>
      <c r="AP45" s="46">
        <v>4294967295</v>
      </c>
      <c r="AQ45" s="46">
        <v>61047</v>
      </c>
      <c r="AR45" s="46">
        <v>0</v>
      </c>
      <c r="AS45" s="46">
        <v>0</v>
      </c>
      <c r="AT45" s="46">
        <v>4488</v>
      </c>
      <c r="AU45" s="46">
        <v>504</v>
      </c>
      <c r="AV45" s="46">
        <v>2</v>
      </c>
      <c r="AW45" s="46">
        <v>1</v>
      </c>
      <c r="AX45" s="46">
        <v>0</v>
      </c>
      <c r="AY45" s="46">
        <v>0</v>
      </c>
      <c r="AZ45" s="46">
        <v>5</v>
      </c>
      <c r="BA45" s="46">
        <v>0</v>
      </c>
      <c r="BB45" s="46">
        <v>1</v>
      </c>
      <c r="BC45" s="46">
        <v>1</v>
      </c>
      <c r="BD45" s="46">
        <v>1</v>
      </c>
      <c r="BE45" s="50" t="s">
        <v>159</v>
      </c>
      <c r="BF45" s="37"/>
      <c r="BG45" s="38"/>
    </row>
    <row r="46" spans="1:59" x14ac:dyDescent="0.25">
      <c r="A46" s="36">
        <v>43</v>
      </c>
      <c r="B46" s="46" t="s">
        <v>732</v>
      </c>
      <c r="C46" s="46">
        <v>55.5</v>
      </c>
      <c r="D46" s="46">
        <v>0.23</v>
      </c>
      <c r="E46" s="46">
        <v>16</v>
      </c>
      <c r="F46" s="46">
        <v>0.17399999999999999</v>
      </c>
      <c r="G46" s="46">
        <v>284</v>
      </c>
      <c r="H46" s="46">
        <v>105</v>
      </c>
      <c r="I46" s="46">
        <v>0</v>
      </c>
      <c r="J46" s="46">
        <v>3161587711</v>
      </c>
      <c r="K46" s="46">
        <v>3173908479</v>
      </c>
      <c r="L46" s="46">
        <v>347</v>
      </c>
      <c r="M46" s="46">
        <v>16</v>
      </c>
      <c r="N46" s="56">
        <v>4294967295</v>
      </c>
      <c r="O46" s="37" t="s">
        <v>159</v>
      </c>
      <c r="P46" s="37" t="s">
        <v>159</v>
      </c>
      <c r="Q46" s="37" t="s">
        <v>159</v>
      </c>
      <c r="R46" s="37" t="s">
        <v>159</v>
      </c>
      <c r="S46" s="37" t="s">
        <v>159</v>
      </c>
      <c r="T46" s="37" t="s">
        <v>159</v>
      </c>
      <c r="U46" s="37" t="s">
        <v>159</v>
      </c>
      <c r="V46" s="37" t="s">
        <v>159</v>
      </c>
      <c r="W46" s="37" t="s">
        <v>159</v>
      </c>
      <c r="X46" s="37" t="s">
        <v>159</v>
      </c>
      <c r="Y46" s="37" t="s">
        <v>159</v>
      </c>
      <c r="Z46" s="37" t="s">
        <v>159</v>
      </c>
      <c r="AA46" s="37" t="s">
        <v>159</v>
      </c>
      <c r="AB46" s="37" t="s">
        <v>159</v>
      </c>
      <c r="AC46" s="37" t="s">
        <v>159</v>
      </c>
      <c r="AD46" s="37" t="s">
        <v>159</v>
      </c>
      <c r="AE46" s="37" t="s">
        <v>159</v>
      </c>
      <c r="AF46" s="37" t="s">
        <v>159</v>
      </c>
      <c r="AG46" s="37" t="s">
        <v>159</v>
      </c>
      <c r="AH46" s="37" t="s">
        <v>159</v>
      </c>
      <c r="AI46" s="37" t="s">
        <v>159</v>
      </c>
      <c r="AJ46" s="46">
        <v>0.50213860754265904</v>
      </c>
      <c r="AK46" s="46">
        <v>0.182138220055336</v>
      </c>
      <c r="AL46" s="46">
        <v>0</v>
      </c>
      <c r="AM46" s="46">
        <v>0</v>
      </c>
      <c r="AN46" s="46">
        <v>4488</v>
      </c>
      <c r="AO46" s="46">
        <v>4294967295</v>
      </c>
      <c r="AP46" s="46">
        <v>4294967295</v>
      </c>
      <c r="AQ46" s="46">
        <v>61047</v>
      </c>
      <c r="AR46" s="46">
        <v>0</v>
      </c>
      <c r="AS46" s="46">
        <v>0</v>
      </c>
      <c r="AT46" s="46">
        <v>4488</v>
      </c>
      <c r="AU46" s="46">
        <v>504</v>
      </c>
      <c r="AV46" s="46">
        <v>2</v>
      </c>
      <c r="AW46" s="46">
        <v>1</v>
      </c>
      <c r="AX46" s="46">
        <v>0</v>
      </c>
      <c r="AY46" s="46">
        <v>0</v>
      </c>
      <c r="AZ46" s="46">
        <v>16</v>
      </c>
      <c r="BA46" s="46">
        <v>4294967295</v>
      </c>
      <c r="BB46" s="46">
        <v>1</v>
      </c>
      <c r="BC46" s="46">
        <v>1</v>
      </c>
      <c r="BD46" s="46">
        <v>1</v>
      </c>
      <c r="BE46" s="50" t="s">
        <v>159</v>
      </c>
      <c r="BF46" s="37"/>
      <c r="BG46" s="38"/>
    </row>
    <row r="47" spans="1:59" ht="15.75" thickBot="1" x14ac:dyDescent="0.3">
      <c r="A47" s="39">
        <v>44</v>
      </c>
      <c r="B47" s="47" t="s">
        <v>733</v>
      </c>
      <c r="C47" s="47">
        <v>6.6</v>
      </c>
      <c r="D47" s="47">
        <v>0.24</v>
      </c>
      <c r="E47" s="47">
        <v>18</v>
      </c>
      <c r="F47" s="47">
        <v>0.184</v>
      </c>
      <c r="G47" s="47">
        <v>304</v>
      </c>
      <c r="H47" s="47">
        <v>115</v>
      </c>
      <c r="I47" s="47">
        <v>850</v>
      </c>
      <c r="J47" s="47">
        <v>9444</v>
      </c>
      <c r="K47" s="47">
        <v>25846</v>
      </c>
      <c r="L47" s="47">
        <v>666</v>
      </c>
      <c r="M47" s="47">
        <v>7</v>
      </c>
      <c r="N47" s="57">
        <v>154235</v>
      </c>
      <c r="O47" s="40" t="s">
        <v>159</v>
      </c>
      <c r="P47" s="40" t="s">
        <v>159</v>
      </c>
      <c r="Q47" s="40" t="s">
        <v>159</v>
      </c>
      <c r="R47" s="40" t="s">
        <v>159</v>
      </c>
      <c r="S47" s="40" t="s">
        <v>159</v>
      </c>
      <c r="T47" s="40" t="s">
        <v>159</v>
      </c>
      <c r="U47" s="40" t="s">
        <v>159</v>
      </c>
      <c r="V47" s="40" t="s">
        <v>159</v>
      </c>
      <c r="W47" s="40" t="s">
        <v>159</v>
      </c>
      <c r="X47" s="40" t="s">
        <v>159</v>
      </c>
      <c r="Y47" s="40" t="s">
        <v>159</v>
      </c>
      <c r="Z47" s="40" t="s">
        <v>159</v>
      </c>
      <c r="AA47" s="40" t="s">
        <v>159</v>
      </c>
      <c r="AB47" s="40" t="s">
        <v>159</v>
      </c>
      <c r="AC47" s="40" t="s">
        <v>159</v>
      </c>
      <c r="AD47" s="40" t="s">
        <v>159</v>
      </c>
      <c r="AE47" s="40" t="s">
        <v>159</v>
      </c>
      <c r="AF47" s="40" t="s">
        <v>159</v>
      </c>
      <c r="AG47" s="40" t="s">
        <v>159</v>
      </c>
      <c r="AH47" s="40" t="s">
        <v>159</v>
      </c>
      <c r="AI47" s="40" t="s">
        <v>159</v>
      </c>
      <c r="AJ47" s="47">
        <v>7.95918316289842E-2</v>
      </c>
      <c r="AK47" s="47">
        <v>0.202437175847025</v>
      </c>
      <c r="AL47" s="47">
        <v>0</v>
      </c>
      <c r="AM47" s="47">
        <v>0</v>
      </c>
      <c r="AN47" s="47">
        <v>4488</v>
      </c>
      <c r="AO47" s="47">
        <v>4294967295</v>
      </c>
      <c r="AP47" s="47">
        <v>4294967295</v>
      </c>
      <c r="AQ47" s="47">
        <v>61047</v>
      </c>
      <c r="AR47" s="47">
        <v>0</v>
      </c>
      <c r="AS47" s="47">
        <v>0</v>
      </c>
      <c r="AT47" s="47">
        <v>4488</v>
      </c>
      <c r="AU47" s="47">
        <v>504</v>
      </c>
      <c r="AV47" s="47">
        <v>2</v>
      </c>
      <c r="AW47" s="47">
        <v>1</v>
      </c>
      <c r="AX47" s="47">
        <v>0</v>
      </c>
      <c r="AY47" s="47">
        <v>0</v>
      </c>
      <c r="AZ47" s="47">
        <v>7</v>
      </c>
      <c r="BA47" s="47">
        <v>154235</v>
      </c>
      <c r="BB47" s="47">
        <v>1</v>
      </c>
      <c r="BC47" s="47">
        <v>1</v>
      </c>
      <c r="BD47" s="47">
        <v>1</v>
      </c>
      <c r="BE47" s="51" t="s">
        <v>159</v>
      </c>
      <c r="BF47" s="40"/>
      <c r="BG47" s="41"/>
    </row>
    <row r="48" spans="1:59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</row>
    <row r="49" spans="1:59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</row>
    <row r="50" spans="1:59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</row>
    <row r="51" spans="1:59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</row>
    <row r="52" spans="1:59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</row>
    <row r="53" spans="1:59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</row>
    <row r="54" spans="1:59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</row>
    <row r="55" spans="1:59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</row>
    <row r="56" spans="1:59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</row>
    <row r="57" spans="1:59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</row>
  </sheetData>
  <mergeCells count="2">
    <mergeCell ref="A1:B1"/>
    <mergeCell ref="A2:B2"/>
  </mergeCells>
  <hyperlinks>
    <hyperlink ref="A1" location="'DigColPs_Init1'!A1" display="'DigColPs_Init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1"/>
      <c r="D15" s="272" t="s">
        <v>42</v>
      </c>
      <c r="E15" s="273"/>
      <c r="F15" s="74" t="s">
        <v>43</v>
      </c>
    </row>
    <row r="16" spans="1:6" x14ac:dyDescent="0.25">
      <c r="A16" s="77" t="s">
        <v>44</v>
      </c>
      <c r="B16" s="78" t="s">
        <v>45</v>
      </c>
      <c r="C16" s="79" t="s">
        <v>46</v>
      </c>
      <c r="D16" s="81" t="s">
        <v>47</v>
      </c>
      <c r="E16" s="80" t="s">
        <v>48</v>
      </c>
      <c r="F16" s="14" t="s">
        <v>44</v>
      </c>
    </row>
    <row r="17" spans="1:6" x14ac:dyDescent="0.25">
      <c r="A17" s="52" t="s">
        <v>64</v>
      </c>
      <c r="B17" s="15" t="s">
        <v>718</v>
      </c>
      <c r="C17" s="16">
        <v>5</v>
      </c>
      <c r="D17" s="17"/>
      <c r="E17" s="18"/>
      <c r="F17" s="19"/>
    </row>
    <row r="18" spans="1:6" x14ac:dyDescent="0.25">
      <c r="A18" s="52" t="s">
        <v>64</v>
      </c>
      <c r="B18" s="15" t="s">
        <v>193</v>
      </c>
      <c r="C18" s="16">
        <v>2</v>
      </c>
      <c r="D18" s="17"/>
      <c r="E18" s="18"/>
      <c r="F18" s="19"/>
    </row>
    <row r="19" spans="1:6" x14ac:dyDescent="0.25">
      <c r="A19" s="52" t="s">
        <v>64</v>
      </c>
      <c r="B19" s="15" t="s">
        <v>99</v>
      </c>
      <c r="C19" s="16">
        <v>2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onstrainOneRev() R'!A1" display="'ConstrainOneRev() R'!A1"/>
    <hyperlink ref="A18" location="'ConstrainOneRev() P'!A1" display="'ConstrainOneRev() P'!A1"/>
    <hyperlink ref="A19" location="'ConstrainOneRev() M'!A1" display="'ConstrainOneRev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5.7109375" bestFit="1" customWidth="1"/>
    <col min="4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79" t="s">
        <v>64</v>
      </c>
      <c r="B1" s="280"/>
      <c r="C1" s="45" t="s">
        <v>160</v>
      </c>
      <c r="D1" s="58" t="s">
        <v>159</v>
      </c>
      <c r="E1" s="75"/>
      <c r="F1" s="43"/>
      <c r="G1" s="43"/>
      <c r="H1" s="44"/>
    </row>
    <row r="2" spans="1:8" ht="60" customHeight="1" x14ac:dyDescent="0.25">
      <c r="A2" s="281" t="s">
        <v>99</v>
      </c>
      <c r="B2" s="282"/>
      <c r="C2" s="48" t="s">
        <v>169</v>
      </c>
      <c r="D2" s="60" t="s">
        <v>170</v>
      </c>
      <c r="E2" s="28" t="s">
        <v>171</v>
      </c>
      <c r="F2" s="29" t="s">
        <v>21</v>
      </c>
      <c r="G2" s="29" t="s">
        <v>156</v>
      </c>
      <c r="H2" s="30" t="s">
        <v>158</v>
      </c>
    </row>
    <row r="3" spans="1:8" ht="66.75" x14ac:dyDescent="0.25">
      <c r="A3" s="31" t="s">
        <v>148</v>
      </c>
      <c r="B3" s="32" t="s">
        <v>149</v>
      </c>
      <c r="C3" s="59" t="s">
        <v>114</v>
      </c>
      <c r="D3" s="34" t="s">
        <v>64</v>
      </c>
      <c r="E3" s="35" t="s">
        <v>64</v>
      </c>
      <c r="F3" s="29" t="s">
        <v>155</v>
      </c>
      <c r="G3" s="29" t="s">
        <v>157</v>
      </c>
      <c r="H3" s="30"/>
    </row>
    <row r="4" spans="1:8" ht="20.100000000000001" customHeight="1" x14ac:dyDescent="0.25">
      <c r="A4" s="36">
        <v>1</v>
      </c>
      <c r="B4" s="69" t="s">
        <v>374</v>
      </c>
      <c r="C4" s="62">
        <v>-1800</v>
      </c>
      <c r="D4" s="37" t="s">
        <v>159</v>
      </c>
      <c r="E4" s="46">
        <v>0</v>
      </c>
      <c r="F4" s="50" t="s">
        <v>159</v>
      </c>
      <c r="G4" s="37"/>
      <c r="H4" s="38"/>
    </row>
    <row r="5" spans="1:8" ht="20.100000000000001" customHeight="1" thickBot="1" x14ac:dyDescent="0.3">
      <c r="A5" s="39">
        <v>2</v>
      </c>
      <c r="B5" s="68" t="s">
        <v>375</v>
      </c>
      <c r="C5" s="65">
        <v>0</v>
      </c>
      <c r="D5" s="40" t="s">
        <v>159</v>
      </c>
      <c r="E5" s="47">
        <v>0</v>
      </c>
      <c r="F5" s="51" t="s">
        <v>159</v>
      </c>
      <c r="G5" s="40"/>
      <c r="H5" s="41"/>
    </row>
    <row r="6" spans="1:8" x14ac:dyDescent="0.25">
      <c r="A6" s="42"/>
      <c r="B6" s="42"/>
      <c r="C6" s="42"/>
      <c r="D6" s="42"/>
      <c r="E6" s="42"/>
      <c r="F6" s="42"/>
      <c r="G6" s="42"/>
      <c r="H6" s="42"/>
    </row>
    <row r="7" spans="1:8" x14ac:dyDescent="0.25">
      <c r="A7" s="42"/>
      <c r="B7" s="42"/>
      <c r="C7" s="42"/>
      <c r="D7" s="42"/>
      <c r="E7" s="42"/>
      <c r="F7" s="42"/>
      <c r="G7" s="42"/>
      <c r="H7" s="42"/>
    </row>
    <row r="8" spans="1:8" x14ac:dyDescent="0.25">
      <c r="A8" s="42"/>
      <c r="B8" s="42"/>
      <c r="C8" s="42"/>
      <c r="D8" s="42"/>
      <c r="E8" s="42"/>
      <c r="F8" s="42"/>
      <c r="G8" s="42"/>
      <c r="H8" s="42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</sheetData>
  <sheetProtection sheet="1" objects="1" scenarios="1"/>
  <mergeCells count="2">
    <mergeCell ref="A1:B1"/>
    <mergeCell ref="A2:B2"/>
  </mergeCells>
  <hyperlinks>
    <hyperlink ref="A1" location="'ConstrainOneRev'!A1" display="'ConstrainOneRev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1.5703125" bestFit="1" customWidth="1"/>
    <col min="3" max="3" width="4.7109375" bestFit="1" customWidth="1"/>
    <col min="4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79" t="s">
        <v>64</v>
      </c>
      <c r="B1" s="280"/>
      <c r="C1" s="45" t="s">
        <v>160</v>
      </c>
      <c r="D1" s="58" t="s">
        <v>159</v>
      </c>
      <c r="E1" s="75"/>
      <c r="F1" s="43"/>
      <c r="G1" s="43"/>
      <c r="H1" s="44"/>
    </row>
    <row r="2" spans="1:8" ht="60" customHeight="1" x14ac:dyDescent="0.25">
      <c r="A2" s="281" t="s">
        <v>193</v>
      </c>
      <c r="B2" s="282"/>
      <c r="C2" s="48" t="s">
        <v>169</v>
      </c>
      <c r="D2" s="60" t="s">
        <v>170</v>
      </c>
      <c r="E2" s="28" t="s">
        <v>171</v>
      </c>
      <c r="F2" s="29" t="s">
        <v>21</v>
      </c>
      <c r="G2" s="29" t="s">
        <v>156</v>
      </c>
      <c r="H2" s="30" t="s">
        <v>158</v>
      </c>
    </row>
    <row r="3" spans="1:8" ht="66.75" x14ac:dyDescent="0.25">
      <c r="A3" s="31" t="s">
        <v>148</v>
      </c>
      <c r="B3" s="32" t="s">
        <v>149</v>
      </c>
      <c r="C3" s="59" t="s">
        <v>114</v>
      </c>
      <c r="D3" s="34" t="s">
        <v>64</v>
      </c>
      <c r="E3" s="35" t="s">
        <v>64</v>
      </c>
      <c r="F3" s="29" t="s">
        <v>155</v>
      </c>
      <c r="G3" s="29" t="s">
        <v>157</v>
      </c>
      <c r="H3" s="30"/>
    </row>
    <row r="4" spans="1:8" ht="20.100000000000001" customHeight="1" x14ac:dyDescent="0.25">
      <c r="A4" s="36">
        <v>1</v>
      </c>
      <c r="B4" s="69" t="s">
        <v>336</v>
      </c>
      <c r="C4" s="46">
        <v>500</v>
      </c>
      <c r="D4" s="37" t="s">
        <v>159</v>
      </c>
      <c r="E4" s="46">
        <v>140</v>
      </c>
      <c r="F4" s="50" t="s">
        <v>159</v>
      </c>
      <c r="G4" s="37"/>
      <c r="H4" s="38"/>
    </row>
    <row r="5" spans="1:8" ht="20.100000000000001" customHeight="1" thickBot="1" x14ac:dyDescent="0.3">
      <c r="A5" s="39">
        <v>2</v>
      </c>
      <c r="B5" s="47" t="s">
        <v>337</v>
      </c>
      <c r="C5" s="47">
        <v>-500</v>
      </c>
      <c r="D5" s="40" t="s">
        <v>159</v>
      </c>
      <c r="E5" s="47">
        <v>220</v>
      </c>
      <c r="F5" s="51" t="s">
        <v>159</v>
      </c>
      <c r="G5" s="40"/>
      <c r="H5" s="41"/>
    </row>
    <row r="6" spans="1:8" x14ac:dyDescent="0.25">
      <c r="A6" s="42"/>
      <c r="B6" s="42"/>
      <c r="C6" s="42"/>
      <c r="D6" s="42"/>
      <c r="E6" s="42"/>
      <c r="F6" s="42"/>
      <c r="G6" s="42"/>
      <c r="H6" s="42"/>
    </row>
    <row r="7" spans="1:8" x14ac:dyDescent="0.25">
      <c r="A7" s="42"/>
      <c r="B7" s="42"/>
      <c r="C7" s="42"/>
      <c r="D7" s="42"/>
      <c r="E7" s="42"/>
      <c r="F7" s="42"/>
      <c r="G7" s="42"/>
      <c r="H7" s="42"/>
    </row>
    <row r="8" spans="1:8" x14ac:dyDescent="0.25">
      <c r="A8" s="42"/>
      <c r="B8" s="42"/>
      <c r="C8" s="42"/>
      <c r="D8" s="42"/>
      <c r="E8" s="42"/>
      <c r="F8" s="42"/>
      <c r="G8" s="42"/>
      <c r="H8" s="42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</sheetData>
  <sheetProtection sheet="1" objects="1" scenarios="1"/>
  <mergeCells count="2">
    <mergeCell ref="A1:B1"/>
    <mergeCell ref="A2:B2"/>
  </mergeCells>
  <hyperlinks>
    <hyperlink ref="A1" location="'ConstrainOneRev'!A1" display="'ConstrainOneRev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1.140625" bestFit="1" customWidth="1"/>
    <col min="3" max="3" width="6.7109375" bestFit="1" customWidth="1"/>
    <col min="4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79" t="s">
        <v>64</v>
      </c>
      <c r="B1" s="280"/>
      <c r="C1" s="45" t="s">
        <v>160</v>
      </c>
      <c r="D1" s="58" t="s">
        <v>159</v>
      </c>
      <c r="E1" s="75"/>
      <c r="F1" s="43"/>
      <c r="G1" s="43"/>
      <c r="H1" s="44"/>
    </row>
    <row r="2" spans="1:8" ht="60" customHeight="1" x14ac:dyDescent="0.25">
      <c r="A2" s="281" t="s">
        <v>147</v>
      </c>
      <c r="B2" s="282"/>
      <c r="C2" s="48" t="s">
        <v>169</v>
      </c>
      <c r="D2" s="60" t="s">
        <v>170</v>
      </c>
      <c r="E2" s="28" t="s">
        <v>171</v>
      </c>
      <c r="F2" s="29" t="s">
        <v>21</v>
      </c>
      <c r="G2" s="29" t="s">
        <v>156</v>
      </c>
      <c r="H2" s="30" t="s">
        <v>158</v>
      </c>
    </row>
    <row r="3" spans="1:8" ht="87.75" customHeight="1" x14ac:dyDescent="0.25">
      <c r="A3" s="31" t="s">
        <v>148</v>
      </c>
      <c r="B3" s="32" t="s">
        <v>149</v>
      </c>
      <c r="C3" s="59" t="s">
        <v>114</v>
      </c>
      <c r="D3" s="34" t="s">
        <v>64</v>
      </c>
      <c r="E3" s="35" t="s">
        <v>64</v>
      </c>
      <c r="F3" s="29" t="s">
        <v>155</v>
      </c>
      <c r="G3" s="29" t="s">
        <v>157</v>
      </c>
      <c r="H3" s="30"/>
    </row>
    <row r="4" spans="1:8" x14ac:dyDescent="0.25">
      <c r="A4" s="36">
        <v>1</v>
      </c>
      <c r="B4" s="46" t="s">
        <v>172</v>
      </c>
      <c r="C4" s="56">
        <v>-1800</v>
      </c>
      <c r="D4" s="37" t="s">
        <v>159</v>
      </c>
      <c r="E4" s="46">
        <v>0</v>
      </c>
      <c r="F4" s="50" t="s">
        <v>159</v>
      </c>
      <c r="G4" s="37"/>
      <c r="H4" s="38"/>
    </row>
    <row r="5" spans="1:8" x14ac:dyDescent="0.25">
      <c r="A5" s="36">
        <v>2</v>
      </c>
      <c r="B5" s="46" t="s">
        <v>173</v>
      </c>
      <c r="C5" s="56">
        <v>1800</v>
      </c>
      <c r="D5" s="37" t="s">
        <v>159</v>
      </c>
      <c r="E5" s="46">
        <v>0</v>
      </c>
      <c r="F5" s="50" t="s">
        <v>159</v>
      </c>
      <c r="G5" s="37"/>
      <c r="H5" s="38"/>
    </row>
    <row r="6" spans="1:8" x14ac:dyDescent="0.25">
      <c r="A6" s="36">
        <v>3</v>
      </c>
      <c r="B6" s="46" t="s">
        <v>334</v>
      </c>
      <c r="C6" s="56">
        <v>0</v>
      </c>
      <c r="D6" s="37" t="s">
        <v>159</v>
      </c>
      <c r="E6" s="46">
        <v>0</v>
      </c>
      <c r="F6" s="50" t="s">
        <v>159</v>
      </c>
      <c r="G6" s="37"/>
      <c r="H6" s="38"/>
    </row>
    <row r="7" spans="1:8" x14ac:dyDescent="0.25">
      <c r="A7" s="36">
        <v>4</v>
      </c>
      <c r="B7" s="46" t="s">
        <v>174</v>
      </c>
      <c r="C7" s="56">
        <v>800.5</v>
      </c>
      <c r="D7" s="37" t="s">
        <v>159</v>
      </c>
      <c r="E7" s="46">
        <v>80.5</v>
      </c>
      <c r="F7" s="50" t="s">
        <v>159</v>
      </c>
      <c r="G7" s="37"/>
      <c r="H7" s="38"/>
    </row>
    <row r="8" spans="1:8" ht="15.75" thickBot="1" x14ac:dyDescent="0.3">
      <c r="A8" s="39">
        <v>5</v>
      </c>
      <c r="B8" s="47" t="s">
        <v>335</v>
      </c>
      <c r="C8" s="57">
        <v>-750.2</v>
      </c>
      <c r="D8" s="40" t="s">
        <v>159</v>
      </c>
      <c r="E8" s="47">
        <v>329.8</v>
      </c>
      <c r="F8" s="51" t="s">
        <v>159</v>
      </c>
      <c r="G8" s="40"/>
      <c r="H8" s="41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  <row r="16" spans="1:8" x14ac:dyDescent="0.25">
      <c r="A16" s="42"/>
      <c r="B16" s="42"/>
      <c r="C16" s="42"/>
      <c r="D16" s="42"/>
      <c r="E16" s="42"/>
      <c r="F16" s="42"/>
      <c r="G16" s="42"/>
      <c r="H16" s="42"/>
    </row>
    <row r="17" spans="1:8" x14ac:dyDescent="0.25">
      <c r="A17" s="42"/>
      <c r="B17" s="42"/>
      <c r="C17" s="42"/>
      <c r="D17" s="42"/>
      <c r="E17" s="42"/>
      <c r="F17" s="42"/>
      <c r="G17" s="42"/>
      <c r="H17" s="42"/>
    </row>
    <row r="18" spans="1:8" x14ac:dyDescent="0.25">
      <c r="A18" s="42"/>
      <c r="B18" s="42"/>
      <c r="C18" s="42"/>
      <c r="D18" s="42"/>
      <c r="E18" s="42"/>
      <c r="F18" s="42"/>
      <c r="G18" s="42"/>
      <c r="H18" s="42"/>
    </row>
  </sheetData>
  <sheetProtection sheet="1" objects="1" scenarios="1"/>
  <mergeCells count="2">
    <mergeCell ref="A1:B1"/>
    <mergeCell ref="A2:B2"/>
  </mergeCells>
  <hyperlinks>
    <hyperlink ref="A1" location="'ConstrainOneRev'!A1" display="'ConstrainOneRev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1"/>
      <c r="D15" s="272" t="s">
        <v>42</v>
      </c>
      <c r="E15" s="273"/>
      <c r="F15" s="159" t="s">
        <v>43</v>
      </c>
    </row>
    <row r="16" spans="1:6" x14ac:dyDescent="0.25">
      <c r="A16" s="161" t="s">
        <v>44</v>
      </c>
      <c r="B16" s="162" t="s">
        <v>45</v>
      </c>
      <c r="C16" s="163" t="s">
        <v>46</v>
      </c>
      <c r="D16" s="165" t="s">
        <v>47</v>
      </c>
      <c r="E16" s="164" t="s">
        <v>48</v>
      </c>
      <c r="F16" s="14" t="s">
        <v>44</v>
      </c>
    </row>
    <row r="17" spans="1:6" x14ac:dyDescent="0.25">
      <c r="A17" s="52" t="s">
        <v>63</v>
      </c>
      <c r="B17" s="15" t="s">
        <v>718</v>
      </c>
      <c r="C17" s="16">
        <v>16</v>
      </c>
      <c r="D17" s="17" t="s">
        <v>95</v>
      </c>
      <c r="E17" s="18" t="s">
        <v>397</v>
      </c>
      <c r="F17" s="19"/>
    </row>
    <row r="18" spans="1:6" x14ac:dyDescent="0.25">
      <c r="A18" s="52" t="s">
        <v>63</v>
      </c>
      <c r="B18" s="15" t="s">
        <v>193</v>
      </c>
      <c r="C18" s="16">
        <v>3</v>
      </c>
      <c r="D18" s="17" t="s">
        <v>397</v>
      </c>
      <c r="E18" s="18"/>
      <c r="F18" s="19"/>
    </row>
    <row r="19" spans="1:6" x14ac:dyDescent="0.25">
      <c r="A19" s="52" t="s">
        <v>63</v>
      </c>
      <c r="B19" s="15" t="s">
        <v>99</v>
      </c>
      <c r="C19" s="16">
        <v>2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omputeRoughTurns() R'!A1" display="'ComputeRoughTurns() R'!A1"/>
    <hyperlink ref="A18" location="'ComputeRoughTurns() P'!A1" display="'ComputeRoughTurns() P'!A1"/>
    <hyperlink ref="A19" location="'ComputeRoughTurns() M'!A1" display="'ComputeRoughTurns() M'!A1"/>
  </hyperlink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4" width="4.140625" bestFit="1" customWidth="1"/>
    <col min="5" max="5" width="3.28515625" bestFit="1" customWidth="1"/>
    <col min="6" max="6" width="7.28515625" bestFit="1" customWidth="1"/>
    <col min="7" max="7" width="4.140625" bestFit="1" customWidth="1"/>
    <col min="8" max="9" width="7.2851562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79" t="s">
        <v>63</v>
      </c>
      <c r="B1" s="280"/>
      <c r="C1" s="45" t="s">
        <v>160</v>
      </c>
      <c r="D1" s="58" t="s">
        <v>159</v>
      </c>
      <c r="E1" s="58"/>
      <c r="F1" s="160"/>
      <c r="G1" s="160"/>
      <c r="H1" s="160"/>
      <c r="I1" s="160"/>
      <c r="J1" s="43"/>
      <c r="K1" s="43"/>
      <c r="L1" s="44"/>
    </row>
    <row r="2" spans="1:12" ht="60" customHeight="1" x14ac:dyDescent="0.25">
      <c r="A2" s="281" t="s">
        <v>99</v>
      </c>
      <c r="B2" s="282"/>
      <c r="C2" s="48" t="s">
        <v>169</v>
      </c>
      <c r="D2" s="48" t="s">
        <v>150</v>
      </c>
      <c r="E2" s="48" t="s">
        <v>150</v>
      </c>
      <c r="F2" s="60" t="s">
        <v>170</v>
      </c>
      <c r="G2" s="60" t="s">
        <v>151</v>
      </c>
      <c r="H2" s="28" t="s">
        <v>171</v>
      </c>
      <c r="I2" s="28" t="s">
        <v>153</v>
      </c>
      <c r="J2" s="29" t="s">
        <v>21</v>
      </c>
      <c r="K2" s="29" t="s">
        <v>156</v>
      </c>
      <c r="L2" s="30" t="s">
        <v>158</v>
      </c>
    </row>
    <row r="3" spans="1:12" ht="108" x14ac:dyDescent="0.25">
      <c r="A3" s="31" t="s">
        <v>148</v>
      </c>
      <c r="B3" s="70" t="s">
        <v>149</v>
      </c>
      <c r="C3" s="71" t="s">
        <v>113</v>
      </c>
      <c r="D3" s="71" t="s">
        <v>95</v>
      </c>
      <c r="E3" s="102" t="s">
        <v>397</v>
      </c>
      <c r="F3" s="72" t="s">
        <v>63</v>
      </c>
      <c r="G3" s="72" t="s">
        <v>397</v>
      </c>
      <c r="H3" s="73" t="s">
        <v>63</v>
      </c>
      <c r="I3" s="73" t="s">
        <v>397</v>
      </c>
      <c r="J3" s="29" t="s">
        <v>155</v>
      </c>
      <c r="K3" s="29" t="s">
        <v>157</v>
      </c>
      <c r="L3" s="30"/>
    </row>
    <row r="4" spans="1:12" ht="20.100000000000001" customHeight="1" x14ac:dyDescent="0.25">
      <c r="A4" s="36">
        <v>1</v>
      </c>
      <c r="B4" s="181" t="s">
        <v>373</v>
      </c>
      <c r="C4" s="46">
        <v>30</v>
      </c>
      <c r="D4" s="46">
        <v>30</v>
      </c>
      <c r="E4" s="46">
        <v>-3</v>
      </c>
      <c r="F4" s="46" t="s">
        <v>159</v>
      </c>
      <c r="G4" s="46" t="s">
        <v>159</v>
      </c>
      <c r="H4" s="46">
        <v>-1080</v>
      </c>
      <c r="I4" s="46">
        <v>-3</v>
      </c>
      <c r="J4" s="50" t="s">
        <v>159</v>
      </c>
      <c r="K4" s="37"/>
      <c r="L4" s="38"/>
    </row>
    <row r="5" spans="1:12" ht="20.100000000000001" customHeight="1" thickBot="1" x14ac:dyDescent="0.3">
      <c r="A5" s="39">
        <v>2</v>
      </c>
      <c r="B5" s="182" t="s">
        <v>372</v>
      </c>
      <c r="C5" s="65">
        <v>360</v>
      </c>
      <c r="D5" s="65">
        <v>340</v>
      </c>
      <c r="E5" s="65">
        <v>4</v>
      </c>
      <c r="F5" s="40" t="s">
        <v>159</v>
      </c>
      <c r="G5" s="40" t="s">
        <v>159</v>
      </c>
      <c r="H5" s="47">
        <v>1080</v>
      </c>
      <c r="I5" s="47">
        <v>3</v>
      </c>
      <c r="J5" s="51" t="s">
        <v>159</v>
      </c>
      <c r="K5" s="40"/>
      <c r="L5" s="41"/>
    </row>
    <row r="6" spans="1:1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</row>
    <row r="7" spans="1:1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</row>
    <row r="8" spans="1:1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</row>
    <row r="9" spans="1:1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</row>
    <row r="10" spans="1:1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</row>
    <row r="11" spans="1:1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</row>
    <row r="12" spans="1:1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</row>
    <row r="13" spans="1:1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</row>
    <row r="14" spans="1:1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</row>
    <row r="15" spans="1:1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</row>
  </sheetData>
  <sheetProtection sheet="1" objects="1" scenarios="1"/>
  <mergeCells count="2">
    <mergeCell ref="A1:B1"/>
    <mergeCell ref="A2:B2"/>
  </mergeCells>
  <hyperlinks>
    <hyperlink ref="A1" location="'ComputeRoughTurns'!A1" display="'ComputeRoughTurns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5703125" bestFit="1" customWidth="1"/>
    <col min="3" max="3" width="4.7109375" bestFit="1" customWidth="1"/>
    <col min="4" max="4" width="4" bestFit="1" customWidth="1"/>
    <col min="5" max="5" width="3.28515625" bestFit="1" customWidth="1"/>
    <col min="6" max="6" width="7.28515625" bestFit="1" customWidth="1"/>
    <col min="7" max="7" width="4.140625" bestFit="1" customWidth="1"/>
    <col min="8" max="9" width="7.2851562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79" t="s">
        <v>63</v>
      </c>
      <c r="B1" s="280"/>
      <c r="C1" s="45" t="s">
        <v>160</v>
      </c>
      <c r="D1" s="58" t="s">
        <v>159</v>
      </c>
      <c r="E1" s="58"/>
      <c r="F1" s="160"/>
      <c r="G1" s="160"/>
      <c r="H1" s="160"/>
      <c r="I1" s="160"/>
      <c r="J1" s="43"/>
      <c r="K1" s="43"/>
      <c r="L1" s="44"/>
    </row>
    <row r="2" spans="1:12" ht="60" customHeight="1" x14ac:dyDescent="0.25">
      <c r="A2" s="281" t="s">
        <v>193</v>
      </c>
      <c r="B2" s="282"/>
      <c r="C2" s="48" t="s">
        <v>169</v>
      </c>
      <c r="D2" s="48" t="s">
        <v>150</v>
      </c>
      <c r="E2" s="48" t="s">
        <v>150</v>
      </c>
      <c r="F2" s="60" t="s">
        <v>170</v>
      </c>
      <c r="G2" s="60" t="s">
        <v>151</v>
      </c>
      <c r="H2" s="28" t="s">
        <v>171</v>
      </c>
      <c r="I2" s="28" t="s">
        <v>153</v>
      </c>
      <c r="J2" s="29" t="s">
        <v>21</v>
      </c>
      <c r="K2" s="29" t="s">
        <v>156</v>
      </c>
      <c r="L2" s="30" t="s">
        <v>158</v>
      </c>
    </row>
    <row r="3" spans="1:12" ht="108" x14ac:dyDescent="0.25">
      <c r="A3" s="31" t="s">
        <v>148</v>
      </c>
      <c r="B3" s="32" t="s">
        <v>149</v>
      </c>
      <c r="C3" s="59" t="s">
        <v>113</v>
      </c>
      <c r="D3" s="33" t="s">
        <v>95</v>
      </c>
      <c r="E3" s="33" t="s">
        <v>397</v>
      </c>
      <c r="F3" s="34" t="s">
        <v>63</v>
      </c>
      <c r="G3" s="34" t="s">
        <v>397</v>
      </c>
      <c r="H3" s="35" t="s">
        <v>63</v>
      </c>
      <c r="I3" s="35" t="s">
        <v>397</v>
      </c>
      <c r="J3" s="29" t="s">
        <v>155</v>
      </c>
      <c r="K3" s="29" t="s">
        <v>157</v>
      </c>
      <c r="L3" s="30"/>
    </row>
    <row r="4" spans="1:12" ht="20.100000000000001" customHeight="1" x14ac:dyDescent="0.25">
      <c r="A4" s="36">
        <v>1</v>
      </c>
      <c r="B4" s="46" t="s">
        <v>181</v>
      </c>
      <c r="C4" s="62">
        <v>360</v>
      </c>
      <c r="D4" s="62">
        <v>340</v>
      </c>
      <c r="E4" s="62">
        <v>4</v>
      </c>
      <c r="F4" s="37" t="s">
        <v>159</v>
      </c>
      <c r="G4" s="37" t="s">
        <v>159</v>
      </c>
      <c r="H4" s="46">
        <v>1080</v>
      </c>
      <c r="I4" s="46">
        <v>3</v>
      </c>
      <c r="J4" s="50" t="s">
        <v>159</v>
      </c>
      <c r="K4" s="37"/>
      <c r="L4" s="38"/>
    </row>
    <row r="5" spans="1:12" ht="20.100000000000001" customHeight="1" x14ac:dyDescent="0.25">
      <c r="A5" s="36">
        <v>2</v>
      </c>
      <c r="B5" s="69" t="s">
        <v>333</v>
      </c>
      <c r="C5" s="62">
        <v>-360</v>
      </c>
      <c r="D5" s="62">
        <v>24</v>
      </c>
      <c r="E5" s="62">
        <v>0</v>
      </c>
      <c r="F5" s="37" t="s">
        <v>159</v>
      </c>
      <c r="G5" s="37" t="s">
        <v>159</v>
      </c>
      <c r="H5" s="46">
        <v>360</v>
      </c>
      <c r="I5" s="46">
        <v>1</v>
      </c>
      <c r="J5" s="50" t="s">
        <v>159</v>
      </c>
      <c r="K5" s="37"/>
      <c r="L5" s="38"/>
    </row>
    <row r="6" spans="1:12" ht="20.100000000000001" customHeight="1" thickBot="1" x14ac:dyDescent="0.3">
      <c r="A6" s="39">
        <v>3</v>
      </c>
      <c r="B6" s="68" t="s">
        <v>182</v>
      </c>
      <c r="C6" s="47">
        <v>30</v>
      </c>
      <c r="D6" s="47">
        <v>30</v>
      </c>
      <c r="E6" s="47">
        <v>-3</v>
      </c>
      <c r="F6" s="40" t="s">
        <v>159</v>
      </c>
      <c r="G6" s="40" t="s">
        <v>159</v>
      </c>
      <c r="H6" s="47">
        <v>-1080</v>
      </c>
      <c r="I6" s="47">
        <v>-3</v>
      </c>
      <c r="J6" s="51" t="s">
        <v>159</v>
      </c>
      <c r="K6" s="40"/>
      <c r="L6" s="41"/>
    </row>
    <row r="7" spans="1:1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</row>
    <row r="8" spans="1:1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</row>
    <row r="9" spans="1:1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</row>
    <row r="10" spans="1:1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</row>
    <row r="11" spans="1:1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</row>
    <row r="12" spans="1:1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</row>
    <row r="13" spans="1:1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</row>
    <row r="14" spans="1:1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</row>
    <row r="15" spans="1:1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</row>
    <row r="16" spans="1:1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</row>
  </sheetData>
  <sheetProtection sheet="1" objects="1" scenarios="1"/>
  <mergeCells count="2">
    <mergeCell ref="A1:B1"/>
    <mergeCell ref="A2:B2"/>
  </mergeCells>
  <hyperlinks>
    <hyperlink ref="A1" location="'ComputeRoughTurns'!A1" display="'ComputeRoughTurns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1.7109375" bestFit="1" customWidth="1"/>
    <col min="3" max="3" width="6.7109375" bestFit="1" customWidth="1"/>
    <col min="4" max="4" width="6" bestFit="1" customWidth="1"/>
    <col min="5" max="5" width="3.28515625" bestFit="1" customWidth="1"/>
    <col min="6" max="6" width="7.28515625" bestFit="1" customWidth="1"/>
    <col min="7" max="7" width="4.140625" bestFit="1" customWidth="1"/>
    <col min="8" max="9" width="7.2851562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79" t="s">
        <v>63</v>
      </c>
      <c r="B1" s="280"/>
      <c r="C1" s="45" t="s">
        <v>160</v>
      </c>
      <c r="D1" s="58" t="s">
        <v>159</v>
      </c>
      <c r="E1" s="58"/>
      <c r="F1" s="160"/>
      <c r="G1" s="160"/>
      <c r="H1" s="160"/>
      <c r="I1" s="160"/>
      <c r="J1" s="43"/>
      <c r="K1" s="43"/>
      <c r="L1" s="44"/>
    </row>
    <row r="2" spans="1:12" ht="60" customHeight="1" x14ac:dyDescent="0.25">
      <c r="A2" s="281" t="s">
        <v>147</v>
      </c>
      <c r="B2" s="282"/>
      <c r="C2" s="48" t="s">
        <v>169</v>
      </c>
      <c r="D2" s="48" t="s">
        <v>150</v>
      </c>
      <c r="E2" s="48" t="s">
        <v>150</v>
      </c>
      <c r="F2" s="60" t="s">
        <v>170</v>
      </c>
      <c r="G2" s="60" t="s">
        <v>151</v>
      </c>
      <c r="H2" s="28" t="s">
        <v>171</v>
      </c>
      <c r="I2" s="28" t="s">
        <v>153</v>
      </c>
      <c r="J2" s="29" t="s">
        <v>21</v>
      </c>
      <c r="K2" s="29" t="s">
        <v>156</v>
      </c>
      <c r="L2" s="30" t="s">
        <v>158</v>
      </c>
    </row>
    <row r="3" spans="1:12" ht="144" x14ac:dyDescent="0.25">
      <c r="A3" s="31" t="s">
        <v>148</v>
      </c>
      <c r="B3" s="32" t="s">
        <v>149</v>
      </c>
      <c r="C3" s="59" t="s">
        <v>113</v>
      </c>
      <c r="D3" s="33" t="s">
        <v>95</v>
      </c>
      <c r="E3" s="33" t="s">
        <v>397</v>
      </c>
      <c r="F3" s="34" t="s">
        <v>63</v>
      </c>
      <c r="G3" s="34" t="s">
        <v>397</v>
      </c>
      <c r="H3" s="35" t="s">
        <v>63</v>
      </c>
      <c r="I3" s="35" t="s">
        <v>397</v>
      </c>
      <c r="J3" s="29" t="s">
        <v>155</v>
      </c>
      <c r="K3" s="29" t="s">
        <v>157</v>
      </c>
      <c r="L3" s="30"/>
    </row>
    <row r="4" spans="1:12" x14ac:dyDescent="0.25">
      <c r="A4" s="36">
        <v>1</v>
      </c>
      <c r="B4" s="46" t="s">
        <v>161</v>
      </c>
      <c r="C4" s="56">
        <v>-360</v>
      </c>
      <c r="D4" s="56">
        <v>20</v>
      </c>
      <c r="E4" s="56">
        <v>-5</v>
      </c>
      <c r="F4" s="37" t="s">
        <v>159</v>
      </c>
      <c r="G4" s="37" t="s">
        <v>159</v>
      </c>
      <c r="H4" s="46">
        <v>-1440</v>
      </c>
      <c r="I4" s="46">
        <v>-4</v>
      </c>
      <c r="J4" s="50" t="s">
        <v>159</v>
      </c>
      <c r="K4" s="37"/>
      <c r="L4" s="38"/>
    </row>
    <row r="5" spans="1:12" x14ac:dyDescent="0.25">
      <c r="A5" s="36">
        <v>2</v>
      </c>
      <c r="B5" s="46" t="s">
        <v>162</v>
      </c>
      <c r="C5" s="56">
        <v>360</v>
      </c>
      <c r="D5" s="56">
        <v>340</v>
      </c>
      <c r="E5" s="56">
        <v>5</v>
      </c>
      <c r="F5" s="37" t="s">
        <v>159</v>
      </c>
      <c r="G5" s="37" t="s">
        <v>159</v>
      </c>
      <c r="H5" s="46">
        <v>1440</v>
      </c>
      <c r="I5" s="46">
        <v>4</v>
      </c>
      <c r="J5" s="50" t="s">
        <v>159</v>
      </c>
      <c r="K5" s="37"/>
      <c r="L5" s="38"/>
    </row>
    <row r="6" spans="1:12" x14ac:dyDescent="0.25">
      <c r="A6" s="36">
        <v>3</v>
      </c>
      <c r="B6" s="46" t="s">
        <v>175</v>
      </c>
      <c r="C6" s="56">
        <v>-360</v>
      </c>
      <c r="D6" s="46">
        <v>24.5</v>
      </c>
      <c r="E6" s="46">
        <v>0</v>
      </c>
      <c r="F6" s="37" t="s">
        <v>159</v>
      </c>
      <c r="G6" s="37" t="s">
        <v>159</v>
      </c>
      <c r="H6" s="46">
        <v>360</v>
      </c>
      <c r="I6" s="46">
        <v>1</v>
      </c>
      <c r="J6" s="50" t="s">
        <v>159</v>
      </c>
      <c r="K6" s="37"/>
      <c r="L6" s="38"/>
    </row>
    <row r="7" spans="1:12" x14ac:dyDescent="0.25">
      <c r="A7" s="36">
        <v>4</v>
      </c>
      <c r="B7" s="46" t="s">
        <v>176</v>
      </c>
      <c r="C7" s="56">
        <v>360</v>
      </c>
      <c r="D7" s="46">
        <v>28</v>
      </c>
      <c r="E7" s="46">
        <v>1</v>
      </c>
      <c r="F7" s="37" t="s">
        <v>159</v>
      </c>
      <c r="G7" s="37" t="s">
        <v>159</v>
      </c>
      <c r="H7" s="46">
        <v>0</v>
      </c>
      <c r="I7" s="46">
        <v>0</v>
      </c>
      <c r="J7" s="50" t="s">
        <v>159</v>
      </c>
      <c r="K7" s="37"/>
      <c r="L7" s="38"/>
    </row>
    <row r="8" spans="1:12" x14ac:dyDescent="0.25">
      <c r="A8" s="36">
        <v>5</v>
      </c>
      <c r="B8" s="46" t="s">
        <v>379</v>
      </c>
      <c r="C8" s="56">
        <v>0</v>
      </c>
      <c r="D8" s="46">
        <v>44.4</v>
      </c>
      <c r="E8" s="46">
        <v>2</v>
      </c>
      <c r="F8" s="37" t="s">
        <v>159</v>
      </c>
      <c r="G8" s="37" t="s">
        <v>159</v>
      </c>
      <c r="H8" s="46">
        <v>720</v>
      </c>
      <c r="I8" s="46">
        <v>2</v>
      </c>
      <c r="J8" s="50" t="s">
        <v>159</v>
      </c>
      <c r="K8" s="37"/>
      <c r="L8" s="38"/>
    </row>
    <row r="9" spans="1:12" x14ac:dyDescent="0.25">
      <c r="A9" s="36">
        <v>6</v>
      </c>
      <c r="B9" s="46" t="s">
        <v>177</v>
      </c>
      <c r="C9" s="56">
        <v>180.5</v>
      </c>
      <c r="D9" s="46">
        <v>68</v>
      </c>
      <c r="E9" s="46">
        <v>3</v>
      </c>
      <c r="F9" s="37" t="s">
        <v>159</v>
      </c>
      <c r="G9" s="37" t="s">
        <v>159</v>
      </c>
      <c r="H9" s="46">
        <v>720</v>
      </c>
      <c r="I9" s="46">
        <v>2</v>
      </c>
      <c r="J9" s="50" t="s">
        <v>159</v>
      </c>
      <c r="K9" s="37"/>
      <c r="L9" s="38"/>
    </row>
    <row r="10" spans="1:12" x14ac:dyDescent="0.25">
      <c r="A10" s="36">
        <v>7</v>
      </c>
      <c r="B10" s="46" t="s">
        <v>378</v>
      </c>
      <c r="C10" s="56">
        <v>-150.6</v>
      </c>
      <c r="D10" s="46">
        <v>90.2</v>
      </c>
      <c r="E10" s="46">
        <v>4</v>
      </c>
      <c r="F10" s="37" t="s">
        <v>159</v>
      </c>
      <c r="G10" s="37" t="s">
        <v>159</v>
      </c>
      <c r="H10" s="46">
        <v>1800</v>
      </c>
      <c r="I10" s="46">
        <v>5</v>
      </c>
      <c r="J10" s="50" t="s">
        <v>159</v>
      </c>
      <c r="K10" s="37"/>
      <c r="L10" s="38"/>
    </row>
    <row r="11" spans="1:12" x14ac:dyDescent="0.25">
      <c r="A11" s="36">
        <v>8</v>
      </c>
      <c r="B11" s="46" t="s">
        <v>178</v>
      </c>
      <c r="C11" s="46">
        <v>50</v>
      </c>
      <c r="D11" s="56">
        <v>20</v>
      </c>
      <c r="E11" s="46">
        <v>3</v>
      </c>
      <c r="F11" s="37" t="s">
        <v>159</v>
      </c>
      <c r="G11" s="37" t="s">
        <v>159</v>
      </c>
      <c r="H11" s="46">
        <v>720</v>
      </c>
      <c r="I11" s="46">
        <v>2</v>
      </c>
      <c r="J11" s="50" t="s">
        <v>159</v>
      </c>
      <c r="K11" s="37"/>
      <c r="L11" s="38"/>
    </row>
    <row r="12" spans="1:12" x14ac:dyDescent="0.25">
      <c r="A12" s="36">
        <v>9</v>
      </c>
      <c r="B12" s="46" t="s">
        <v>179</v>
      </c>
      <c r="C12" s="46">
        <v>-30.5</v>
      </c>
      <c r="D12" s="56">
        <v>340</v>
      </c>
      <c r="E12" s="46">
        <v>1</v>
      </c>
      <c r="F12" s="37" t="s">
        <v>159</v>
      </c>
      <c r="G12" s="37" t="s">
        <v>159</v>
      </c>
      <c r="H12" s="46">
        <v>360</v>
      </c>
      <c r="I12" s="46">
        <v>1</v>
      </c>
      <c r="J12" s="50" t="s">
        <v>159</v>
      </c>
      <c r="K12" s="37"/>
      <c r="L12" s="38"/>
    </row>
    <row r="13" spans="1:12" x14ac:dyDescent="0.25">
      <c r="A13" s="36">
        <v>10</v>
      </c>
      <c r="B13" s="46" t="s">
        <v>558</v>
      </c>
      <c r="C13" s="46">
        <v>-29.5</v>
      </c>
      <c r="D13" s="56">
        <v>240</v>
      </c>
      <c r="E13" s="46">
        <v>-3</v>
      </c>
      <c r="F13" s="37" t="s">
        <v>159</v>
      </c>
      <c r="G13" s="37" t="s">
        <v>159</v>
      </c>
      <c r="H13" s="46">
        <v>-1080</v>
      </c>
      <c r="I13" s="46">
        <v>-3</v>
      </c>
      <c r="J13" s="50" t="s">
        <v>159</v>
      </c>
      <c r="K13" s="37"/>
      <c r="L13" s="38"/>
    </row>
    <row r="14" spans="1:12" x14ac:dyDescent="0.25">
      <c r="A14" s="36">
        <v>11</v>
      </c>
      <c r="B14" s="46" t="s">
        <v>180</v>
      </c>
      <c r="C14" s="46">
        <v>0</v>
      </c>
      <c r="D14" s="56">
        <v>100.8</v>
      </c>
      <c r="E14" s="46">
        <v>2</v>
      </c>
      <c r="F14" s="37" t="s">
        <v>159</v>
      </c>
      <c r="G14" s="37" t="s">
        <v>159</v>
      </c>
      <c r="H14" s="46">
        <v>720</v>
      </c>
      <c r="I14" s="46">
        <v>2</v>
      </c>
      <c r="J14" s="50" t="s">
        <v>159</v>
      </c>
      <c r="K14" s="37"/>
      <c r="L14" s="38"/>
    </row>
    <row r="15" spans="1:12" x14ac:dyDescent="0.25">
      <c r="A15" s="36">
        <v>12</v>
      </c>
      <c r="B15" s="46" t="s">
        <v>417</v>
      </c>
      <c r="C15" s="46">
        <v>154.19999999999999</v>
      </c>
      <c r="D15" s="46">
        <v>155</v>
      </c>
      <c r="E15" s="56">
        <v>-5</v>
      </c>
      <c r="F15" s="37" t="s">
        <v>159</v>
      </c>
      <c r="G15" s="37" t="s">
        <v>159</v>
      </c>
      <c r="H15" s="46">
        <v>-1800</v>
      </c>
      <c r="I15" s="46">
        <v>-5</v>
      </c>
      <c r="J15" s="50" t="s">
        <v>159</v>
      </c>
      <c r="K15" s="37"/>
      <c r="L15" s="38"/>
    </row>
    <row r="16" spans="1:12" x14ac:dyDescent="0.25">
      <c r="A16" s="36">
        <v>13</v>
      </c>
      <c r="B16" s="46" t="s">
        <v>418</v>
      </c>
      <c r="C16" s="46">
        <v>40</v>
      </c>
      <c r="D16" s="46">
        <v>25.4</v>
      </c>
      <c r="E16" s="56">
        <v>5</v>
      </c>
      <c r="F16" s="37" t="s">
        <v>159</v>
      </c>
      <c r="G16" s="37" t="s">
        <v>159</v>
      </c>
      <c r="H16" s="46">
        <v>1440</v>
      </c>
      <c r="I16" s="46">
        <v>4</v>
      </c>
      <c r="J16" s="50" t="s">
        <v>159</v>
      </c>
      <c r="K16" s="37"/>
      <c r="L16" s="38"/>
    </row>
    <row r="17" spans="1:12" x14ac:dyDescent="0.25">
      <c r="A17" s="36">
        <v>14</v>
      </c>
      <c r="B17" s="46" t="s">
        <v>419</v>
      </c>
      <c r="C17" s="46">
        <v>-300</v>
      </c>
      <c r="D17" s="46">
        <v>300</v>
      </c>
      <c r="E17" s="56">
        <v>0</v>
      </c>
      <c r="F17" s="37" t="s">
        <v>159</v>
      </c>
      <c r="G17" s="37" t="s">
        <v>159</v>
      </c>
      <c r="H17" s="46">
        <v>0</v>
      </c>
      <c r="I17" s="46">
        <v>0</v>
      </c>
      <c r="J17" s="50" t="s">
        <v>159</v>
      </c>
      <c r="K17" s="37"/>
      <c r="L17" s="38"/>
    </row>
    <row r="18" spans="1:12" x14ac:dyDescent="0.25">
      <c r="A18" s="36">
        <v>15</v>
      </c>
      <c r="B18" s="46" t="s">
        <v>420</v>
      </c>
      <c r="C18" s="46">
        <v>10.5</v>
      </c>
      <c r="D18" s="46">
        <v>150.1</v>
      </c>
      <c r="E18" s="56">
        <v>1</v>
      </c>
      <c r="F18" s="37" t="s">
        <v>159</v>
      </c>
      <c r="G18" s="37" t="s">
        <v>159</v>
      </c>
      <c r="H18" s="46">
        <v>360</v>
      </c>
      <c r="I18" s="46">
        <v>1</v>
      </c>
      <c r="J18" s="50" t="s">
        <v>159</v>
      </c>
      <c r="K18" s="37"/>
      <c r="L18" s="38"/>
    </row>
    <row r="19" spans="1:12" ht="15.75" thickBot="1" x14ac:dyDescent="0.3">
      <c r="A19" s="39">
        <v>16</v>
      </c>
      <c r="B19" s="47" t="s">
        <v>421</v>
      </c>
      <c r="C19" s="47">
        <v>150</v>
      </c>
      <c r="D19" s="47">
        <v>200</v>
      </c>
      <c r="E19" s="57">
        <v>-2</v>
      </c>
      <c r="F19" s="40" t="s">
        <v>159</v>
      </c>
      <c r="G19" s="40" t="s">
        <v>159</v>
      </c>
      <c r="H19" s="47">
        <v>-720</v>
      </c>
      <c r="I19" s="47">
        <v>-2</v>
      </c>
      <c r="J19" s="51" t="s">
        <v>159</v>
      </c>
      <c r="K19" s="40"/>
      <c r="L19" s="41"/>
    </row>
    <row r="20" spans="1:1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  <row r="21" spans="1:1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</row>
    <row r="22" spans="1:1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</row>
    <row r="23" spans="1:1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</row>
    <row r="24" spans="1:1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</row>
    <row r="25" spans="1:1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</row>
    <row r="26" spans="1:1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</row>
    <row r="27" spans="1:1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</row>
    <row r="28" spans="1:1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</row>
    <row r="29" spans="1:1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</row>
  </sheetData>
  <sheetProtection sheet="1" objects="1" scenarios="1"/>
  <mergeCells count="2">
    <mergeCell ref="A1:B1"/>
    <mergeCell ref="A2:B2"/>
  </mergeCells>
  <hyperlinks>
    <hyperlink ref="A1" location="'ComputeRoughTurns'!A1" display="'ComputeRoughTurns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1"/>
      <c r="D15" s="272" t="s">
        <v>42</v>
      </c>
      <c r="E15" s="273"/>
      <c r="F15" s="166" t="s">
        <v>43</v>
      </c>
    </row>
    <row r="16" spans="1:6" x14ac:dyDescent="0.25">
      <c r="A16" s="187" t="s">
        <v>44</v>
      </c>
      <c r="B16" s="188" t="s">
        <v>45</v>
      </c>
      <c r="C16" s="189" t="s">
        <v>46</v>
      </c>
      <c r="D16" s="191" t="s">
        <v>47</v>
      </c>
      <c r="E16" s="190" t="s">
        <v>48</v>
      </c>
      <c r="F16" s="14" t="s">
        <v>44</v>
      </c>
    </row>
    <row r="17" spans="1:6" x14ac:dyDescent="0.25">
      <c r="A17" s="52" t="s">
        <v>57</v>
      </c>
      <c r="B17" s="15" t="s">
        <v>193</v>
      </c>
      <c r="C17" s="16">
        <v>4</v>
      </c>
      <c r="D17" s="17"/>
      <c r="E17" s="18"/>
      <c r="F17" s="19"/>
    </row>
    <row r="18" spans="1:6" x14ac:dyDescent="0.25">
      <c r="A18" s="52" t="s">
        <v>57</v>
      </c>
      <c r="B18" s="15" t="s">
        <v>718</v>
      </c>
      <c r="C18" s="16">
        <v>3</v>
      </c>
      <c r="D18" s="17"/>
      <c r="E18" s="18"/>
      <c r="F18" s="19"/>
    </row>
    <row r="19" spans="1:6" x14ac:dyDescent="0.25">
      <c r="A19" s="52" t="s">
        <v>57</v>
      </c>
      <c r="B19" s="15" t="s">
        <v>99</v>
      </c>
      <c r="C19" s="16">
        <v>2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OddParityFault() P'!A1" display="'OddParityFault() P'!A1"/>
    <hyperlink ref="A18" location="'OddParityFault() R'!A1" display="'OddParityFault() R'!A1"/>
    <hyperlink ref="A19" location="'OddParityFault() M'!A1" display="'OddParityFault() M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7109375" bestFit="1" customWidth="1"/>
    <col min="3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79" t="s">
        <v>57</v>
      </c>
      <c r="B1" s="280"/>
      <c r="C1" s="45" t="s">
        <v>160</v>
      </c>
      <c r="D1" s="58" t="s">
        <v>159</v>
      </c>
      <c r="E1" s="167"/>
      <c r="F1" s="43"/>
      <c r="G1" s="43"/>
      <c r="H1" s="44"/>
    </row>
    <row r="2" spans="1:8" ht="60" customHeight="1" x14ac:dyDescent="0.25">
      <c r="A2" s="281" t="s">
        <v>99</v>
      </c>
      <c r="B2" s="282"/>
      <c r="C2" s="48" t="s">
        <v>169</v>
      </c>
      <c r="D2" s="60" t="s">
        <v>170</v>
      </c>
      <c r="E2" s="28" t="s">
        <v>171</v>
      </c>
      <c r="F2" s="29" t="s">
        <v>21</v>
      </c>
      <c r="G2" s="29" t="s">
        <v>156</v>
      </c>
      <c r="H2" s="30" t="s">
        <v>158</v>
      </c>
    </row>
    <row r="3" spans="1:8" ht="57.75" x14ac:dyDescent="0.25">
      <c r="A3" s="31" t="s">
        <v>148</v>
      </c>
      <c r="B3" s="32" t="s">
        <v>149</v>
      </c>
      <c r="C3" s="59" t="s">
        <v>110</v>
      </c>
      <c r="D3" s="34" t="s">
        <v>57</v>
      </c>
      <c r="E3" s="35" t="s">
        <v>57</v>
      </c>
      <c r="F3" s="29" t="s">
        <v>155</v>
      </c>
      <c r="G3" s="29" t="s">
        <v>157</v>
      </c>
      <c r="H3" s="30"/>
    </row>
    <row r="4" spans="1:8" ht="20.100000000000001" customHeight="1" x14ac:dyDescent="0.25">
      <c r="A4" s="36">
        <v>1</v>
      </c>
      <c r="B4" s="69" t="s">
        <v>370</v>
      </c>
      <c r="C4" s="46">
        <v>65535</v>
      </c>
      <c r="D4" s="37" t="s">
        <v>159</v>
      </c>
      <c r="E4" s="46">
        <v>1</v>
      </c>
      <c r="F4" s="50" t="s">
        <v>159</v>
      </c>
      <c r="G4" s="37"/>
      <c r="H4" s="38"/>
    </row>
    <row r="5" spans="1:8" ht="20.100000000000001" customHeight="1" thickBot="1" x14ac:dyDescent="0.3">
      <c r="A5" s="39">
        <v>2</v>
      </c>
      <c r="B5" s="68" t="s">
        <v>371</v>
      </c>
      <c r="C5" s="47">
        <v>0</v>
      </c>
      <c r="D5" s="40" t="s">
        <v>159</v>
      </c>
      <c r="E5" s="47">
        <v>1</v>
      </c>
      <c r="F5" s="51" t="s">
        <v>159</v>
      </c>
      <c r="G5" s="40"/>
      <c r="H5" s="41"/>
    </row>
    <row r="6" spans="1:8" x14ac:dyDescent="0.25">
      <c r="A6" s="42"/>
      <c r="B6" s="42"/>
      <c r="C6" s="42"/>
      <c r="D6" s="42"/>
      <c r="E6" s="42"/>
      <c r="F6" s="42"/>
      <c r="G6" s="42"/>
      <c r="H6" s="42"/>
    </row>
    <row r="7" spans="1:8" x14ac:dyDescent="0.25">
      <c r="A7" s="42"/>
      <c r="B7" s="42"/>
      <c r="C7" s="42"/>
      <c r="D7" s="42"/>
      <c r="E7" s="42"/>
      <c r="F7" s="42"/>
      <c r="G7" s="42"/>
      <c r="H7" s="42"/>
    </row>
    <row r="8" spans="1:8" x14ac:dyDescent="0.25">
      <c r="A8" s="42"/>
      <c r="B8" s="42"/>
      <c r="C8" s="42"/>
      <c r="D8" s="42"/>
      <c r="E8" s="42"/>
      <c r="F8" s="42"/>
      <c r="G8" s="42"/>
      <c r="H8" s="42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</sheetData>
  <sheetProtection sheet="1" objects="1" scenarios="1"/>
  <mergeCells count="2">
    <mergeCell ref="A1:B1"/>
    <mergeCell ref="A2:B2"/>
  </mergeCells>
  <hyperlinks>
    <hyperlink ref="A1" location="'OddParityFault'!A1" display="'OddParityFaul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7109375" bestFit="1" customWidth="1"/>
    <col min="3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79" t="s">
        <v>57</v>
      </c>
      <c r="B1" s="280"/>
      <c r="C1" s="45" t="s">
        <v>160</v>
      </c>
      <c r="D1" s="58" t="s">
        <v>159</v>
      </c>
      <c r="E1" s="167"/>
      <c r="F1" s="43"/>
      <c r="G1" s="43"/>
      <c r="H1" s="44"/>
    </row>
    <row r="2" spans="1:8" ht="60" customHeight="1" x14ac:dyDescent="0.25">
      <c r="A2" s="281" t="s">
        <v>193</v>
      </c>
      <c r="B2" s="282"/>
      <c r="C2" s="48" t="s">
        <v>169</v>
      </c>
      <c r="D2" s="60" t="s">
        <v>170</v>
      </c>
      <c r="E2" s="28" t="s">
        <v>171</v>
      </c>
      <c r="F2" s="29" t="s">
        <v>21</v>
      </c>
      <c r="G2" s="29" t="s">
        <v>156</v>
      </c>
      <c r="H2" s="30" t="s">
        <v>158</v>
      </c>
    </row>
    <row r="3" spans="1:8" ht="57.75" x14ac:dyDescent="0.25">
      <c r="A3" s="31" t="s">
        <v>148</v>
      </c>
      <c r="B3" s="32" t="s">
        <v>149</v>
      </c>
      <c r="C3" s="59" t="s">
        <v>110</v>
      </c>
      <c r="D3" s="34" t="s">
        <v>57</v>
      </c>
      <c r="E3" s="35" t="s">
        <v>57</v>
      </c>
      <c r="F3" s="29" t="s">
        <v>155</v>
      </c>
      <c r="G3" s="29" t="s">
        <v>157</v>
      </c>
      <c r="H3" s="30"/>
    </row>
    <row r="4" spans="1:8" ht="75" x14ac:dyDescent="0.25">
      <c r="A4" s="36">
        <v>1</v>
      </c>
      <c r="B4" s="69" t="s">
        <v>235</v>
      </c>
      <c r="C4" s="46">
        <v>0</v>
      </c>
      <c r="D4" s="37" t="s">
        <v>159</v>
      </c>
      <c r="E4" s="46">
        <v>1</v>
      </c>
      <c r="F4" s="50" t="s">
        <v>159</v>
      </c>
      <c r="G4" s="37"/>
      <c r="H4" s="38"/>
    </row>
    <row r="5" spans="1:8" ht="75" x14ac:dyDescent="0.25">
      <c r="A5" s="36">
        <v>2</v>
      </c>
      <c r="B5" s="69" t="s">
        <v>235</v>
      </c>
      <c r="C5" s="46">
        <v>65535</v>
      </c>
      <c r="D5" s="37" t="s">
        <v>159</v>
      </c>
      <c r="E5" s="46">
        <v>1</v>
      </c>
      <c r="F5" s="50" t="s">
        <v>159</v>
      </c>
      <c r="G5" s="37"/>
      <c r="H5" s="38"/>
    </row>
    <row r="6" spans="1:8" ht="75" x14ac:dyDescent="0.25">
      <c r="A6" s="36">
        <v>3</v>
      </c>
      <c r="B6" s="69" t="s">
        <v>235</v>
      </c>
      <c r="C6" s="46">
        <v>10</v>
      </c>
      <c r="D6" s="37" t="s">
        <v>159</v>
      </c>
      <c r="E6" s="46">
        <v>1</v>
      </c>
      <c r="F6" s="50" t="s">
        <v>159</v>
      </c>
      <c r="G6" s="37"/>
      <c r="H6" s="38"/>
    </row>
    <row r="7" spans="1:8" ht="75.75" thickBot="1" x14ac:dyDescent="0.3">
      <c r="A7" s="39">
        <v>4</v>
      </c>
      <c r="B7" s="68" t="s">
        <v>235</v>
      </c>
      <c r="C7" s="47">
        <v>1</v>
      </c>
      <c r="D7" s="40" t="s">
        <v>159</v>
      </c>
      <c r="E7" s="47">
        <v>0</v>
      </c>
      <c r="F7" s="51" t="s">
        <v>159</v>
      </c>
      <c r="G7" s="40"/>
      <c r="H7" s="41"/>
    </row>
    <row r="8" spans="1:8" x14ac:dyDescent="0.25">
      <c r="A8" s="42"/>
      <c r="B8" s="42"/>
      <c r="C8" s="42"/>
      <c r="D8" s="42"/>
      <c r="E8" s="42"/>
      <c r="F8" s="42"/>
      <c r="G8" s="42"/>
      <c r="H8" s="42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  <row r="16" spans="1:8" x14ac:dyDescent="0.25">
      <c r="A16" s="42"/>
      <c r="B16" s="42"/>
      <c r="C16" s="42"/>
      <c r="D16" s="42"/>
      <c r="E16" s="42"/>
      <c r="F16" s="42"/>
      <c r="G16" s="42"/>
      <c r="H16" s="42"/>
    </row>
    <row r="17" spans="1:8" x14ac:dyDescent="0.25">
      <c r="A17" s="42"/>
      <c r="B17" s="42"/>
      <c r="C17" s="42"/>
      <c r="D17" s="42"/>
      <c r="E17" s="42"/>
      <c r="F17" s="42"/>
      <c r="G17" s="42"/>
      <c r="H17" s="42"/>
    </row>
  </sheetData>
  <sheetProtection sheet="1" objects="1" scenarios="1"/>
  <mergeCells count="2">
    <mergeCell ref="A1:B1"/>
    <mergeCell ref="A2:B2"/>
  </mergeCells>
  <hyperlinks>
    <hyperlink ref="A1" location="'OddParityFault'!A1" display="'OddParityFault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85546875" bestFit="1" customWidth="1"/>
    <col min="3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79" t="s">
        <v>57</v>
      </c>
      <c r="B1" s="280"/>
      <c r="C1" s="45" t="s">
        <v>160</v>
      </c>
      <c r="D1" s="58" t="s">
        <v>159</v>
      </c>
      <c r="E1" s="167"/>
      <c r="F1" s="43"/>
      <c r="G1" s="43"/>
      <c r="H1" s="44"/>
    </row>
    <row r="2" spans="1:8" ht="60" customHeight="1" x14ac:dyDescent="0.25">
      <c r="A2" s="281" t="s">
        <v>147</v>
      </c>
      <c r="B2" s="282"/>
      <c r="C2" s="48" t="s">
        <v>169</v>
      </c>
      <c r="D2" s="60" t="s">
        <v>170</v>
      </c>
      <c r="E2" s="28" t="s">
        <v>171</v>
      </c>
      <c r="F2" s="29" t="s">
        <v>21</v>
      </c>
      <c r="G2" s="29" t="s">
        <v>156</v>
      </c>
      <c r="H2" s="30" t="s">
        <v>158</v>
      </c>
    </row>
    <row r="3" spans="1:8" ht="57.75" x14ac:dyDescent="0.25">
      <c r="A3" s="31" t="s">
        <v>148</v>
      </c>
      <c r="B3" s="32" t="s">
        <v>149</v>
      </c>
      <c r="C3" s="59" t="s">
        <v>110</v>
      </c>
      <c r="D3" s="34" t="s">
        <v>57</v>
      </c>
      <c r="E3" s="35" t="s">
        <v>57</v>
      </c>
      <c r="F3" s="29" t="s">
        <v>155</v>
      </c>
      <c r="G3" s="29" t="s">
        <v>157</v>
      </c>
      <c r="H3" s="30"/>
    </row>
    <row r="4" spans="1:8" x14ac:dyDescent="0.25">
      <c r="A4" s="36">
        <v>1</v>
      </c>
      <c r="B4" s="46" t="s">
        <v>190</v>
      </c>
      <c r="C4" s="56">
        <v>0</v>
      </c>
      <c r="D4" s="37" t="s">
        <v>159</v>
      </c>
      <c r="E4" s="46">
        <v>1</v>
      </c>
      <c r="F4" s="50" t="s">
        <v>159</v>
      </c>
      <c r="G4" s="37"/>
      <c r="H4" s="38"/>
    </row>
    <row r="5" spans="1:8" x14ac:dyDescent="0.25">
      <c r="A5" s="36">
        <v>2</v>
      </c>
      <c r="B5" s="46" t="s">
        <v>191</v>
      </c>
      <c r="C5" s="56">
        <v>65535</v>
      </c>
      <c r="D5" s="37" t="s">
        <v>159</v>
      </c>
      <c r="E5" s="46">
        <v>1</v>
      </c>
      <c r="F5" s="50" t="s">
        <v>159</v>
      </c>
      <c r="G5" s="37"/>
      <c r="H5" s="38"/>
    </row>
    <row r="6" spans="1:8" ht="15.75" thickBot="1" x14ac:dyDescent="0.3">
      <c r="A6" s="39">
        <v>3</v>
      </c>
      <c r="B6" s="47" t="s">
        <v>192</v>
      </c>
      <c r="C6" s="57">
        <v>44</v>
      </c>
      <c r="D6" s="40" t="s">
        <v>159</v>
      </c>
      <c r="E6" s="47">
        <v>0</v>
      </c>
      <c r="F6" s="51" t="s">
        <v>159</v>
      </c>
      <c r="G6" s="40"/>
      <c r="H6" s="41"/>
    </row>
    <row r="7" spans="1:8" x14ac:dyDescent="0.25">
      <c r="A7" s="42"/>
      <c r="B7" s="42"/>
      <c r="C7" s="42"/>
      <c r="D7" s="42"/>
      <c r="E7" s="42"/>
      <c r="F7" s="42"/>
      <c r="G7" s="42"/>
      <c r="H7" s="42"/>
    </row>
    <row r="8" spans="1:8" x14ac:dyDescent="0.25">
      <c r="A8" s="42"/>
      <c r="B8" s="42"/>
      <c r="C8" s="42"/>
      <c r="D8" s="42"/>
      <c r="E8" s="42"/>
      <c r="F8" s="42"/>
      <c r="G8" s="42"/>
      <c r="H8" s="42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  <row r="16" spans="1:8" x14ac:dyDescent="0.25">
      <c r="A16" s="42"/>
      <c r="B16" s="42"/>
      <c r="C16" s="42"/>
      <c r="D16" s="42"/>
      <c r="E16" s="42"/>
      <c r="F16" s="42"/>
      <c r="G16" s="42"/>
      <c r="H16" s="42"/>
    </row>
  </sheetData>
  <sheetProtection sheet="1" objects="1" scenarios="1"/>
  <mergeCells count="2">
    <mergeCell ref="A1:B1"/>
    <mergeCell ref="A2:B2"/>
  </mergeCells>
  <hyperlinks>
    <hyperlink ref="A1" location="'OddParityFault'!A1" display="'OddParityFault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1"/>
      <c r="D15" s="272" t="s">
        <v>42</v>
      </c>
      <c r="E15" s="273"/>
      <c r="F15" s="238" t="s">
        <v>43</v>
      </c>
    </row>
    <row r="16" spans="1:6" x14ac:dyDescent="0.25">
      <c r="A16" s="242" t="s">
        <v>44</v>
      </c>
      <c r="B16" s="243" t="s">
        <v>45</v>
      </c>
      <c r="C16" s="244" t="s">
        <v>46</v>
      </c>
      <c r="D16" s="246" t="s">
        <v>47</v>
      </c>
      <c r="E16" s="245" t="s">
        <v>48</v>
      </c>
      <c r="F16" s="14" t="s">
        <v>44</v>
      </c>
    </row>
    <row r="17" spans="1:6" x14ac:dyDescent="0.25">
      <c r="A17" s="52" t="s">
        <v>398</v>
      </c>
      <c r="B17" s="15" t="s">
        <v>193</v>
      </c>
      <c r="C17" s="16">
        <v>8</v>
      </c>
      <c r="D17" s="17" t="s">
        <v>286</v>
      </c>
      <c r="E17" s="18" t="s">
        <v>258</v>
      </c>
      <c r="F17" s="19" t="s">
        <v>272</v>
      </c>
    </row>
    <row r="18" spans="1:6" x14ac:dyDescent="0.25">
      <c r="A18" s="52" t="s">
        <v>398</v>
      </c>
      <c r="B18" s="15" t="s">
        <v>718</v>
      </c>
      <c r="C18" s="16">
        <v>21</v>
      </c>
      <c r="D18" s="17" t="s">
        <v>285</v>
      </c>
      <c r="E18" s="18" t="s">
        <v>259</v>
      </c>
      <c r="F18" s="19" t="s">
        <v>273</v>
      </c>
    </row>
    <row r="19" spans="1:6" x14ac:dyDescent="0.25">
      <c r="A19" s="52" t="s">
        <v>398</v>
      </c>
      <c r="B19" s="15" t="s">
        <v>99</v>
      </c>
      <c r="C19" s="16">
        <v>2</v>
      </c>
      <c r="D19" s="17" t="s">
        <v>567</v>
      </c>
      <c r="E19" s="18" t="s">
        <v>274</v>
      </c>
      <c r="F19" s="19" t="s">
        <v>56</v>
      </c>
    </row>
    <row r="20" spans="1:6" x14ac:dyDescent="0.25">
      <c r="A20" s="76"/>
      <c r="B20" s="15"/>
      <c r="C20" s="16"/>
      <c r="D20" s="17" t="s">
        <v>566</v>
      </c>
      <c r="E20" s="18" t="s">
        <v>287</v>
      </c>
      <c r="F20" s="19" t="s">
        <v>55</v>
      </c>
    </row>
    <row r="21" spans="1:6" x14ac:dyDescent="0.25">
      <c r="A21" s="15"/>
      <c r="B21" s="15"/>
      <c r="C21" s="16"/>
      <c r="D21" s="17" t="s">
        <v>258</v>
      </c>
      <c r="E21" s="18" t="s">
        <v>288</v>
      </c>
      <c r="F21" s="19" t="s">
        <v>425</v>
      </c>
    </row>
    <row r="22" spans="1:6" x14ac:dyDescent="0.25">
      <c r="A22" s="15"/>
      <c r="B22" s="15"/>
      <c r="C22" s="16"/>
      <c r="D22" s="17" t="s">
        <v>259</v>
      </c>
      <c r="E22" s="18" t="s">
        <v>289</v>
      </c>
      <c r="F22" s="19"/>
    </row>
    <row r="23" spans="1:6" x14ac:dyDescent="0.25">
      <c r="A23" s="15"/>
      <c r="B23" s="15"/>
      <c r="C23" s="16"/>
      <c r="D23" s="17" t="s">
        <v>274</v>
      </c>
      <c r="E23" s="18" t="s">
        <v>424</v>
      </c>
      <c r="F23" s="19"/>
    </row>
    <row r="24" spans="1:6" x14ac:dyDescent="0.25">
      <c r="A24" s="15"/>
      <c r="B24" s="15"/>
      <c r="C24" s="16"/>
      <c r="D24" s="17" t="s">
        <v>287</v>
      </c>
      <c r="E24" s="18" t="s">
        <v>342</v>
      </c>
      <c r="F24" s="19"/>
    </row>
    <row r="25" spans="1:6" x14ac:dyDescent="0.25">
      <c r="A25" s="15"/>
      <c r="B25" s="15"/>
      <c r="C25" s="16"/>
      <c r="D25" s="17" t="s">
        <v>288</v>
      </c>
      <c r="E25" s="18" t="s">
        <v>343</v>
      </c>
      <c r="F25" s="19"/>
    </row>
    <row r="26" spans="1:6" x14ac:dyDescent="0.25">
      <c r="A26" s="15"/>
      <c r="B26" s="15"/>
      <c r="C26" s="16"/>
      <c r="D26" s="17" t="s">
        <v>289</v>
      </c>
      <c r="E26" s="18" t="s">
        <v>344</v>
      </c>
      <c r="F26" s="19"/>
    </row>
    <row r="27" spans="1:6" x14ac:dyDescent="0.25">
      <c r="A27" s="15"/>
      <c r="B27" s="15"/>
      <c r="C27" s="16"/>
      <c r="D27" s="17" t="s">
        <v>422</v>
      </c>
      <c r="E27" s="18"/>
      <c r="F27" s="19"/>
    </row>
    <row r="28" spans="1:6" x14ac:dyDescent="0.25">
      <c r="A28" s="15"/>
      <c r="B28" s="15"/>
      <c r="C28" s="16"/>
      <c r="D28" s="17" t="s">
        <v>382</v>
      </c>
      <c r="E28" s="18"/>
      <c r="F28" s="19"/>
    </row>
    <row r="29" spans="1:6" x14ac:dyDescent="0.25">
      <c r="A29" s="15"/>
      <c r="B29" s="15"/>
      <c r="C29" s="16"/>
      <c r="D29" s="17" t="s">
        <v>424</v>
      </c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86"/>
      <c r="B318" s="86"/>
      <c r="C318" s="88"/>
      <c r="D318" s="91"/>
      <c r="E318" s="92"/>
      <c r="F318" s="94"/>
    </row>
    <row r="319" spans="1:6" x14ac:dyDescent="0.25">
      <c r="A319" s="86"/>
      <c r="B319" s="86"/>
      <c r="C319" s="88"/>
      <c r="D319" s="91"/>
      <c r="E319" s="92"/>
      <c r="F319" s="94"/>
    </row>
    <row r="320" spans="1:6" x14ac:dyDescent="0.25">
      <c r="A320" s="86"/>
      <c r="B320" s="86"/>
      <c r="C320" s="88"/>
      <c r="D320" s="91"/>
      <c r="E320" s="92"/>
      <c r="F320" s="94"/>
    </row>
    <row r="321" spans="1:6" x14ac:dyDescent="0.25">
      <c r="A321" s="86"/>
      <c r="B321" s="86"/>
      <c r="C321" s="88"/>
      <c r="D321" s="91"/>
      <c r="E321" s="92"/>
      <c r="F321" s="94"/>
    </row>
    <row r="322" spans="1:6" x14ac:dyDescent="0.25">
      <c r="A322" s="86"/>
      <c r="B322" s="86"/>
      <c r="C322" s="88"/>
      <c r="D322" s="91"/>
      <c r="E322" s="92"/>
      <c r="F322" s="94"/>
    </row>
    <row r="323" spans="1:6" x14ac:dyDescent="0.25">
      <c r="A323" s="86"/>
      <c r="B323" s="86"/>
      <c r="C323" s="88"/>
      <c r="D323" s="91"/>
      <c r="E323" s="92"/>
      <c r="F323" s="94"/>
    </row>
    <row r="324" spans="1:6" x14ac:dyDescent="0.25">
      <c r="A324" s="86"/>
      <c r="B324" s="86"/>
      <c r="C324" s="88"/>
      <c r="D324" s="91"/>
      <c r="E324" s="92"/>
      <c r="F324" s="94"/>
    </row>
    <row r="325" spans="1:6" x14ac:dyDescent="0.25">
      <c r="A325" s="86"/>
      <c r="B325" s="86"/>
      <c r="C325" s="88"/>
      <c r="D325" s="91"/>
      <c r="E325" s="92"/>
      <c r="F325" s="94"/>
    </row>
    <row r="326" spans="1:6" x14ac:dyDescent="0.25">
      <c r="A326" s="86"/>
      <c r="B326" s="86"/>
      <c r="C326" s="88"/>
      <c r="D326" s="91"/>
      <c r="E326" s="92"/>
      <c r="F326" s="94"/>
    </row>
    <row r="327" spans="1:6" x14ac:dyDescent="0.25">
      <c r="A327" s="86"/>
      <c r="B327" s="86"/>
      <c r="C327" s="88"/>
      <c r="D327" s="91"/>
      <c r="E327" s="92"/>
      <c r="F327" s="94"/>
    </row>
    <row r="328" spans="1:6" x14ac:dyDescent="0.25">
      <c r="A328" s="86"/>
      <c r="B328" s="86"/>
      <c r="C328" s="88"/>
      <c r="D328" s="91"/>
      <c r="E328" s="92"/>
      <c r="F328" s="94"/>
    </row>
    <row r="329" spans="1:6" x14ac:dyDescent="0.25">
      <c r="A329" s="86"/>
      <c r="B329" s="86"/>
      <c r="C329" s="88"/>
      <c r="D329" s="91"/>
      <c r="E329" s="92"/>
      <c r="F329" s="94"/>
    </row>
    <row r="330" spans="1:6" x14ac:dyDescent="0.25">
      <c r="A330" s="86"/>
      <c r="B330" s="86"/>
      <c r="C330" s="88"/>
      <c r="D330" s="91"/>
      <c r="E330" s="92"/>
      <c r="F330" s="94"/>
    </row>
    <row r="331" spans="1:6" x14ac:dyDescent="0.25">
      <c r="A331" s="86"/>
      <c r="B331" s="86"/>
      <c r="C331" s="88"/>
      <c r="D331" s="91"/>
      <c r="E331" s="92"/>
      <c r="F331" s="94"/>
    </row>
    <row r="332" spans="1:6" x14ac:dyDescent="0.25">
      <c r="A332" s="86"/>
      <c r="B332" s="86"/>
      <c r="C332" s="88"/>
      <c r="D332" s="91"/>
      <c r="E332" s="92"/>
      <c r="F332" s="94"/>
    </row>
    <row r="333" spans="1:6" x14ac:dyDescent="0.25">
      <c r="A333" s="86"/>
      <c r="B333" s="86"/>
      <c r="C333" s="88"/>
      <c r="D333" s="91"/>
      <c r="E333" s="92"/>
      <c r="F333" s="94"/>
    </row>
    <row r="334" spans="1:6" x14ac:dyDescent="0.25">
      <c r="A334" s="86"/>
      <c r="B334" s="86"/>
      <c r="C334" s="88"/>
      <c r="D334" s="91"/>
      <c r="E334" s="92"/>
      <c r="F334" s="94"/>
    </row>
    <row r="335" spans="1:6" x14ac:dyDescent="0.25">
      <c r="A335" s="86"/>
      <c r="B335" s="86"/>
      <c r="C335" s="88"/>
      <c r="D335" s="91"/>
      <c r="E335" s="92"/>
      <c r="F335" s="94"/>
    </row>
    <row r="336" spans="1:6" x14ac:dyDescent="0.25">
      <c r="A336" s="86"/>
      <c r="B336" s="86"/>
      <c r="C336" s="88"/>
      <c r="D336" s="91"/>
      <c r="E336" s="92"/>
      <c r="F336" s="94"/>
    </row>
    <row r="337" spans="1:6" x14ac:dyDescent="0.25">
      <c r="A337" s="86"/>
      <c r="B337" s="86"/>
      <c r="C337" s="88"/>
      <c r="D337" s="91"/>
      <c r="E337" s="92"/>
      <c r="F337" s="94"/>
    </row>
    <row r="338" spans="1:6" x14ac:dyDescent="0.25">
      <c r="A338" s="86"/>
      <c r="B338" s="86"/>
      <c r="C338" s="88"/>
      <c r="D338" s="91"/>
      <c r="E338" s="92"/>
      <c r="F338" s="94"/>
    </row>
    <row r="339" spans="1:6" x14ac:dyDescent="0.25">
      <c r="A339" s="86"/>
      <c r="B339" s="86"/>
      <c r="C339" s="88"/>
      <c r="D339" s="91"/>
      <c r="E339" s="92"/>
      <c r="F339" s="94"/>
    </row>
    <row r="340" spans="1:6" x14ac:dyDescent="0.25">
      <c r="A340" s="86"/>
      <c r="B340" s="86"/>
      <c r="C340" s="88"/>
      <c r="D340" s="91"/>
      <c r="E340" s="92"/>
      <c r="F340" s="94"/>
    </row>
    <row r="341" spans="1:6" x14ac:dyDescent="0.25">
      <c r="A341" s="86"/>
      <c r="B341" s="86"/>
      <c r="C341" s="88"/>
      <c r="D341" s="91"/>
      <c r="E341" s="92"/>
      <c r="F341" s="94"/>
    </row>
    <row r="342" spans="1:6" x14ac:dyDescent="0.25">
      <c r="A342" s="86"/>
      <c r="B342" s="86"/>
      <c r="C342" s="88"/>
      <c r="D342" s="91"/>
      <c r="E342" s="92"/>
      <c r="F342" s="94"/>
    </row>
    <row r="343" spans="1:6" x14ac:dyDescent="0.25">
      <c r="A343" s="86"/>
      <c r="B343" s="86"/>
      <c r="C343" s="88"/>
      <c r="D343" s="91"/>
      <c r="E343" s="92"/>
      <c r="F343" s="94"/>
    </row>
    <row r="344" spans="1:6" x14ac:dyDescent="0.25">
      <c r="A344" s="86"/>
      <c r="B344" s="86"/>
      <c r="C344" s="88"/>
      <c r="D344" s="91"/>
      <c r="E344" s="92"/>
      <c r="F344" s="94"/>
    </row>
    <row r="345" spans="1:6" x14ac:dyDescent="0.25">
      <c r="A345" s="86"/>
      <c r="B345" s="86"/>
      <c r="C345" s="88"/>
      <c r="D345" s="91"/>
      <c r="E345" s="92"/>
      <c r="F345" s="94"/>
    </row>
    <row r="346" spans="1:6" x14ac:dyDescent="0.25">
      <c r="A346" s="86"/>
      <c r="B346" s="86"/>
      <c r="C346" s="88"/>
      <c r="D346" s="91"/>
      <c r="E346" s="92"/>
      <c r="F346" s="94"/>
    </row>
    <row r="347" spans="1:6" x14ac:dyDescent="0.25">
      <c r="A347" s="86"/>
      <c r="B347" s="86"/>
      <c r="C347" s="88"/>
      <c r="D347" s="91"/>
      <c r="E347" s="92"/>
      <c r="F347" s="94"/>
    </row>
    <row r="348" spans="1:6" x14ac:dyDescent="0.25">
      <c r="A348" s="86"/>
      <c r="B348" s="86"/>
      <c r="C348" s="88"/>
      <c r="D348" s="91"/>
      <c r="E348" s="92"/>
      <c r="F348" s="94"/>
    </row>
    <row r="349" spans="1:6" x14ac:dyDescent="0.25">
      <c r="A349" s="86"/>
      <c r="B349" s="86"/>
      <c r="C349" s="88"/>
      <c r="D349" s="91"/>
      <c r="E349" s="92"/>
      <c r="F349" s="94"/>
    </row>
    <row r="350" spans="1:6" x14ac:dyDescent="0.25">
      <c r="A350" s="86"/>
      <c r="B350" s="86"/>
      <c r="C350" s="88"/>
      <c r="D350" s="91"/>
      <c r="E350" s="92"/>
      <c r="F350" s="94"/>
    </row>
    <row r="351" spans="1:6" x14ac:dyDescent="0.25">
      <c r="A351" s="86"/>
      <c r="B351" s="86"/>
      <c r="C351" s="88"/>
      <c r="D351" s="91"/>
      <c r="E351" s="92"/>
      <c r="F351" s="94"/>
    </row>
    <row r="352" spans="1:6" x14ac:dyDescent="0.25">
      <c r="A352" s="86"/>
      <c r="B352" s="86"/>
      <c r="C352" s="88"/>
      <c r="D352" s="91"/>
      <c r="E352" s="92"/>
      <c r="F352" s="94"/>
    </row>
    <row r="353" spans="1:6" x14ac:dyDescent="0.25">
      <c r="A353" s="86"/>
      <c r="B353" s="86"/>
      <c r="C353" s="88"/>
      <c r="D353" s="91"/>
      <c r="E353" s="92"/>
      <c r="F353" s="94"/>
    </row>
    <row r="354" spans="1:6" x14ac:dyDescent="0.25">
      <c r="A354" s="86"/>
      <c r="B354" s="86"/>
      <c r="C354" s="88"/>
      <c r="D354" s="91"/>
      <c r="E354" s="92"/>
      <c r="F354" s="94"/>
    </row>
    <row r="355" spans="1:6" x14ac:dyDescent="0.25">
      <c r="A355" s="86"/>
      <c r="B355" s="86"/>
      <c r="C355" s="88"/>
      <c r="D355" s="91"/>
      <c r="E355" s="92"/>
      <c r="F355" s="94"/>
    </row>
    <row r="356" spans="1:6" x14ac:dyDescent="0.25">
      <c r="A356" s="86"/>
      <c r="B356" s="86"/>
      <c r="C356" s="88"/>
      <c r="D356" s="91"/>
      <c r="E356" s="92"/>
      <c r="F356" s="94"/>
    </row>
    <row r="357" spans="1:6" x14ac:dyDescent="0.25">
      <c r="A357" s="86"/>
      <c r="B357" s="86"/>
      <c r="C357" s="88"/>
      <c r="D357" s="91"/>
      <c r="E357" s="92"/>
      <c r="F357" s="94"/>
    </row>
    <row r="358" spans="1:6" x14ac:dyDescent="0.25">
      <c r="A358" s="86"/>
      <c r="B358" s="86"/>
      <c r="C358" s="88"/>
      <c r="D358" s="91"/>
      <c r="E358" s="92"/>
      <c r="F358" s="94"/>
    </row>
    <row r="359" spans="1:6" x14ac:dyDescent="0.25">
      <c r="A359" s="86"/>
      <c r="B359" s="86"/>
      <c r="C359" s="88"/>
      <c r="D359" s="91"/>
      <c r="E359" s="92"/>
      <c r="F359" s="94"/>
    </row>
    <row r="360" spans="1:6" x14ac:dyDescent="0.25">
      <c r="A360" s="86"/>
      <c r="B360" s="86"/>
      <c r="C360" s="88"/>
      <c r="D360" s="91"/>
      <c r="E360" s="92"/>
      <c r="F360" s="94"/>
    </row>
    <row r="361" spans="1:6" x14ac:dyDescent="0.25">
      <c r="A361" s="86"/>
      <c r="B361" s="86"/>
      <c r="C361" s="88"/>
      <c r="D361" s="91"/>
      <c r="E361" s="92"/>
      <c r="F361" s="94"/>
    </row>
    <row r="362" spans="1:6" x14ac:dyDescent="0.25">
      <c r="A362" s="86"/>
      <c r="B362" s="86"/>
      <c r="C362" s="88"/>
      <c r="D362" s="91"/>
      <c r="E362" s="92"/>
      <c r="F362" s="94"/>
    </row>
    <row r="363" spans="1:6" x14ac:dyDescent="0.25">
      <c r="A363" s="86"/>
      <c r="B363" s="86"/>
      <c r="C363" s="88"/>
      <c r="D363" s="91"/>
      <c r="E363" s="92"/>
      <c r="F363" s="94"/>
    </row>
    <row r="364" spans="1:6" x14ac:dyDescent="0.25">
      <c r="A364" s="86"/>
      <c r="B364" s="86"/>
      <c r="C364" s="88"/>
      <c r="D364" s="91"/>
      <c r="E364" s="92"/>
      <c r="F364" s="94"/>
    </row>
    <row r="365" spans="1:6" x14ac:dyDescent="0.25">
      <c r="A365" s="86"/>
      <c r="B365" s="86"/>
      <c r="C365" s="88"/>
      <c r="D365" s="91"/>
      <c r="E365" s="92"/>
      <c r="F365" s="94"/>
    </row>
    <row r="366" spans="1:6" x14ac:dyDescent="0.25">
      <c r="A366" s="86"/>
      <c r="B366" s="86"/>
      <c r="C366" s="88"/>
      <c r="D366" s="91"/>
      <c r="E366" s="92"/>
      <c r="F366" s="94"/>
    </row>
    <row r="367" spans="1:6" x14ac:dyDescent="0.25">
      <c r="A367" s="86"/>
      <c r="B367" s="86"/>
      <c r="C367" s="88"/>
      <c r="D367" s="91"/>
      <c r="E367" s="92"/>
      <c r="F367" s="94"/>
    </row>
    <row r="368" spans="1:6" x14ac:dyDescent="0.25">
      <c r="A368" s="86"/>
      <c r="B368" s="86"/>
      <c r="C368" s="88"/>
      <c r="D368" s="91"/>
      <c r="E368" s="92"/>
      <c r="F368" s="94"/>
    </row>
    <row r="369" spans="1:6" x14ac:dyDescent="0.25">
      <c r="A369" s="86"/>
      <c r="B369" s="86"/>
      <c r="C369" s="88"/>
      <c r="D369" s="91"/>
      <c r="E369" s="92"/>
      <c r="F369" s="94"/>
    </row>
    <row r="370" spans="1:6" x14ac:dyDescent="0.25">
      <c r="A370" s="86"/>
      <c r="B370" s="86"/>
      <c r="C370" s="88"/>
      <c r="D370" s="91"/>
      <c r="E370" s="92"/>
      <c r="F370" s="94"/>
    </row>
    <row r="371" spans="1:6" x14ac:dyDescent="0.25">
      <c r="A371" s="86"/>
      <c r="B371" s="86"/>
      <c r="C371" s="88"/>
      <c r="D371" s="91"/>
      <c r="E371" s="92"/>
      <c r="F371" s="94"/>
    </row>
    <row r="372" spans="1:6" x14ac:dyDescent="0.25">
      <c r="A372" s="86"/>
      <c r="B372" s="86"/>
      <c r="C372" s="88"/>
      <c r="D372" s="91"/>
      <c r="E372" s="92"/>
      <c r="F372" s="94"/>
    </row>
    <row r="373" spans="1:6" x14ac:dyDescent="0.25">
      <c r="A373" s="86"/>
      <c r="B373" s="86"/>
      <c r="C373" s="88"/>
      <c r="D373" s="91"/>
      <c r="E373" s="92"/>
      <c r="F373" s="94"/>
    </row>
    <row r="374" spans="1:6" x14ac:dyDescent="0.25">
      <c r="A374" s="86"/>
      <c r="B374" s="86"/>
      <c r="C374" s="88"/>
      <c r="D374" s="91"/>
      <c r="E374" s="92"/>
      <c r="F374" s="94"/>
    </row>
    <row r="375" spans="1:6" x14ac:dyDescent="0.25">
      <c r="A375" s="86"/>
      <c r="B375" s="86"/>
      <c r="C375" s="88"/>
      <c r="D375" s="91"/>
      <c r="E375" s="92"/>
      <c r="F375" s="94"/>
    </row>
    <row r="376" spans="1:6" x14ac:dyDescent="0.25">
      <c r="A376" s="86"/>
      <c r="B376" s="86"/>
      <c r="C376" s="88"/>
      <c r="D376" s="91"/>
      <c r="E376" s="92"/>
      <c r="F376" s="94"/>
    </row>
    <row r="377" spans="1:6" x14ac:dyDescent="0.25">
      <c r="A377" s="86"/>
      <c r="B377" s="86"/>
      <c r="C377" s="88"/>
      <c r="D377" s="91"/>
      <c r="E377" s="92"/>
      <c r="F377" s="94"/>
    </row>
    <row r="378" spans="1:6" x14ac:dyDescent="0.25">
      <c r="A378" s="86"/>
      <c r="B378" s="86"/>
      <c r="C378" s="88"/>
      <c r="D378" s="91"/>
      <c r="E378" s="92"/>
      <c r="F378" s="94"/>
    </row>
    <row r="379" spans="1:6" x14ac:dyDescent="0.25">
      <c r="A379" s="86"/>
      <c r="B379" s="86"/>
      <c r="C379" s="88"/>
      <c r="D379" s="91"/>
      <c r="E379" s="92"/>
      <c r="F379" s="94"/>
    </row>
    <row r="380" spans="1:6" x14ac:dyDescent="0.25">
      <c r="A380" s="86"/>
      <c r="B380" s="86"/>
      <c r="C380" s="88"/>
      <c r="D380" s="91"/>
      <c r="E380" s="92"/>
      <c r="F380" s="94"/>
    </row>
    <row r="381" spans="1:6" x14ac:dyDescent="0.25">
      <c r="A381" s="86"/>
      <c r="B381" s="86"/>
      <c r="C381" s="88"/>
      <c r="D381" s="91"/>
      <c r="E381" s="92"/>
      <c r="F381" s="94"/>
    </row>
    <row r="382" spans="1:6" x14ac:dyDescent="0.25">
      <c r="A382" s="86"/>
      <c r="B382" s="86"/>
      <c r="C382" s="88"/>
      <c r="D382" s="91"/>
      <c r="E382" s="92"/>
      <c r="F382" s="94"/>
    </row>
    <row r="383" spans="1:6" x14ac:dyDescent="0.25">
      <c r="A383" s="86"/>
      <c r="B383" s="86"/>
      <c r="C383" s="88"/>
      <c r="D383" s="91"/>
      <c r="E383" s="92"/>
      <c r="F383" s="94"/>
    </row>
    <row r="384" spans="1:6" x14ac:dyDescent="0.25">
      <c r="A384" s="86"/>
      <c r="B384" s="86"/>
      <c r="C384" s="88"/>
      <c r="D384" s="91"/>
      <c r="E384" s="92"/>
      <c r="F384" s="94"/>
    </row>
    <row r="385" spans="1:6" x14ac:dyDescent="0.25">
      <c r="A385" s="86"/>
      <c r="B385" s="86"/>
      <c r="C385" s="88"/>
      <c r="D385" s="91"/>
      <c r="E385" s="92"/>
      <c r="F385" s="94"/>
    </row>
    <row r="386" spans="1:6" x14ac:dyDescent="0.25">
      <c r="A386" s="86"/>
      <c r="B386" s="86"/>
      <c r="C386" s="88"/>
      <c r="D386" s="91"/>
      <c r="E386" s="92"/>
      <c r="F386" s="94"/>
    </row>
    <row r="387" spans="1:6" x14ac:dyDescent="0.25">
      <c r="A387" s="86"/>
      <c r="B387" s="86"/>
      <c r="C387" s="88"/>
      <c r="D387" s="91"/>
      <c r="E387" s="92"/>
      <c r="F387" s="94"/>
    </row>
    <row r="388" spans="1:6" x14ac:dyDescent="0.25">
      <c r="A388" s="86"/>
      <c r="B388" s="86"/>
      <c r="C388" s="88"/>
      <c r="D388" s="91"/>
      <c r="E388" s="92"/>
      <c r="F388" s="94"/>
    </row>
    <row r="389" spans="1:6" x14ac:dyDescent="0.25">
      <c r="A389" s="86"/>
      <c r="B389" s="86"/>
      <c r="C389" s="88"/>
      <c r="D389" s="91"/>
      <c r="E389" s="92"/>
      <c r="F389" s="94"/>
    </row>
    <row r="390" spans="1:6" x14ac:dyDescent="0.25">
      <c r="A390" s="86"/>
      <c r="B390" s="86"/>
      <c r="C390" s="88"/>
      <c r="D390" s="91"/>
      <c r="E390" s="92"/>
      <c r="F390" s="94"/>
    </row>
    <row r="391" spans="1:6" x14ac:dyDescent="0.25">
      <c r="A391" s="86"/>
      <c r="B391" s="86"/>
      <c r="C391" s="88"/>
      <c r="D391" s="91"/>
      <c r="E391" s="92"/>
      <c r="F391" s="94"/>
    </row>
    <row r="392" spans="1:6" x14ac:dyDescent="0.25">
      <c r="A392" s="86"/>
      <c r="B392" s="86"/>
      <c r="C392" s="88"/>
      <c r="D392" s="91"/>
      <c r="E392" s="92"/>
      <c r="F392" s="94"/>
    </row>
    <row r="393" spans="1:6" x14ac:dyDescent="0.25">
      <c r="A393" s="86"/>
      <c r="B393" s="86"/>
      <c r="C393" s="88"/>
      <c r="D393" s="91"/>
      <c r="E393" s="92"/>
      <c r="F393" s="94"/>
    </row>
    <row r="394" spans="1:6" x14ac:dyDescent="0.25">
      <c r="A394" s="86"/>
      <c r="B394" s="86"/>
      <c r="C394" s="88"/>
      <c r="D394" s="91"/>
      <c r="E394" s="92"/>
      <c r="F394" s="94"/>
    </row>
    <row r="395" spans="1:6" x14ac:dyDescent="0.25">
      <c r="A395" s="86"/>
      <c r="B395" s="86"/>
      <c r="C395" s="88"/>
      <c r="D395" s="91"/>
      <c r="E395" s="92"/>
      <c r="F395" s="94"/>
    </row>
    <row r="396" spans="1:6" x14ac:dyDescent="0.25">
      <c r="A396" s="86"/>
      <c r="B396" s="86"/>
      <c r="C396" s="88"/>
      <c r="D396" s="91"/>
      <c r="E396" s="92"/>
      <c r="F396" s="94"/>
    </row>
    <row r="397" spans="1:6" x14ac:dyDescent="0.25">
      <c r="A397" s="86"/>
      <c r="B397" s="86"/>
      <c r="C397" s="88"/>
      <c r="D397" s="91"/>
      <c r="E397" s="92"/>
      <c r="F397" s="94"/>
    </row>
    <row r="398" spans="1:6" x14ac:dyDescent="0.25">
      <c r="A398" s="86"/>
      <c r="B398" s="86"/>
      <c r="C398" s="88"/>
      <c r="D398" s="91"/>
      <c r="E398" s="92"/>
      <c r="F398" s="94"/>
    </row>
    <row r="399" spans="1:6" x14ac:dyDescent="0.25">
      <c r="A399" s="86"/>
      <c r="B399" s="86"/>
      <c r="C399" s="88"/>
      <c r="D399" s="91"/>
      <c r="E399" s="92"/>
      <c r="F399" s="94"/>
    </row>
    <row r="400" spans="1:6" x14ac:dyDescent="0.25">
      <c r="A400" s="86"/>
      <c r="B400" s="86"/>
      <c r="C400" s="88"/>
      <c r="D400" s="91"/>
      <c r="E400" s="92"/>
      <c r="F400" s="94"/>
    </row>
    <row r="401" spans="1:6" x14ac:dyDescent="0.25">
      <c r="A401" s="86"/>
      <c r="B401" s="86"/>
      <c r="C401" s="88"/>
      <c r="D401" s="91"/>
      <c r="E401" s="92"/>
      <c r="F401" s="94"/>
    </row>
    <row r="402" spans="1:6" x14ac:dyDescent="0.25">
      <c r="A402" s="86"/>
      <c r="B402" s="86"/>
      <c r="C402" s="88"/>
      <c r="D402" s="91"/>
      <c r="E402" s="92"/>
      <c r="F402" s="94"/>
    </row>
    <row r="403" spans="1:6" x14ac:dyDescent="0.25">
      <c r="A403" s="86"/>
      <c r="B403" s="86"/>
      <c r="C403" s="88"/>
      <c r="D403" s="91"/>
      <c r="E403" s="92"/>
      <c r="F403" s="94"/>
    </row>
    <row r="404" spans="1:6" x14ac:dyDescent="0.25">
      <c r="A404" s="86"/>
      <c r="B404" s="86"/>
      <c r="C404" s="88"/>
      <c r="D404" s="91"/>
      <c r="E404" s="92"/>
      <c r="F404" s="94"/>
    </row>
    <row r="405" spans="1:6" x14ac:dyDescent="0.25">
      <c r="A405" s="86"/>
      <c r="B405" s="86"/>
      <c r="C405" s="88"/>
      <c r="D405" s="91"/>
      <c r="E405" s="92"/>
      <c r="F405" s="94"/>
    </row>
    <row r="406" spans="1:6" x14ac:dyDescent="0.25">
      <c r="A406" s="86"/>
      <c r="B406" s="86"/>
      <c r="C406" s="88"/>
      <c r="D406" s="91"/>
      <c r="E406" s="92"/>
      <c r="F406" s="94"/>
    </row>
    <row r="407" spans="1:6" x14ac:dyDescent="0.25">
      <c r="A407" s="86"/>
      <c r="B407" s="86"/>
      <c r="C407" s="88"/>
      <c r="D407" s="91"/>
      <c r="E407" s="92"/>
      <c r="F407" s="94"/>
    </row>
    <row r="408" spans="1:6" x14ac:dyDescent="0.25">
      <c r="A408" s="86"/>
      <c r="B408" s="86"/>
      <c r="C408" s="88"/>
      <c r="D408" s="91"/>
      <c r="E408" s="92"/>
      <c r="F408" s="94"/>
    </row>
    <row r="409" spans="1:6" x14ac:dyDescent="0.25">
      <c r="A409" s="86"/>
      <c r="B409" s="86"/>
      <c r="C409" s="88"/>
      <c r="D409" s="91"/>
      <c r="E409" s="92"/>
      <c r="F409" s="94"/>
    </row>
    <row r="410" spans="1:6" x14ac:dyDescent="0.25">
      <c r="A410" s="86"/>
      <c r="B410" s="86"/>
      <c r="C410" s="88"/>
      <c r="D410" s="91"/>
      <c r="E410" s="92"/>
      <c r="F410" s="94"/>
    </row>
    <row r="411" spans="1:6" x14ac:dyDescent="0.25">
      <c r="A411" s="86"/>
      <c r="B411" s="86"/>
      <c r="C411" s="88"/>
      <c r="D411" s="91"/>
      <c r="E411" s="92"/>
      <c r="F411" s="94"/>
    </row>
    <row r="412" spans="1:6" x14ac:dyDescent="0.25">
      <c r="A412" s="86"/>
      <c r="B412" s="86"/>
      <c r="C412" s="88"/>
      <c r="D412" s="91"/>
      <c r="E412" s="92"/>
      <c r="F412" s="94"/>
    </row>
    <row r="413" spans="1:6" x14ac:dyDescent="0.25">
      <c r="A413" s="86"/>
      <c r="B413" s="86"/>
      <c r="C413" s="88"/>
      <c r="D413" s="91"/>
      <c r="E413" s="92"/>
      <c r="F413" s="94"/>
    </row>
    <row r="414" spans="1:6" x14ac:dyDescent="0.25">
      <c r="A414" s="86"/>
      <c r="B414" s="86"/>
      <c r="C414" s="88"/>
      <c r="D414" s="91"/>
      <c r="E414" s="92"/>
      <c r="F414" s="94"/>
    </row>
    <row r="415" spans="1:6" x14ac:dyDescent="0.25">
      <c r="A415" s="86"/>
      <c r="B415" s="86"/>
      <c r="C415" s="88"/>
      <c r="D415" s="91"/>
      <c r="E415" s="92"/>
      <c r="F415" s="94"/>
    </row>
    <row r="416" spans="1:6" x14ac:dyDescent="0.25">
      <c r="A416" s="86"/>
      <c r="B416" s="86"/>
      <c r="C416" s="88"/>
      <c r="D416" s="91"/>
      <c r="E416" s="92"/>
      <c r="F416" s="94"/>
    </row>
    <row r="417" spans="1:6" x14ac:dyDescent="0.25">
      <c r="A417" s="86"/>
      <c r="B417" s="86"/>
      <c r="C417" s="88"/>
      <c r="D417" s="91"/>
      <c r="E417" s="92"/>
      <c r="F417" s="94"/>
    </row>
    <row r="418" spans="1:6" x14ac:dyDescent="0.25">
      <c r="A418" s="86"/>
      <c r="B418" s="86"/>
      <c r="C418" s="88"/>
      <c r="D418" s="91"/>
      <c r="E418" s="92"/>
      <c r="F418" s="94"/>
    </row>
    <row r="419" spans="1:6" x14ac:dyDescent="0.25">
      <c r="A419" s="86"/>
      <c r="B419" s="86"/>
      <c r="C419" s="88"/>
      <c r="D419" s="91"/>
      <c r="E419" s="92"/>
      <c r="F419" s="94"/>
    </row>
    <row r="420" spans="1:6" x14ac:dyDescent="0.25">
      <c r="A420" s="86"/>
      <c r="B420" s="86"/>
      <c r="C420" s="88"/>
      <c r="D420" s="91"/>
      <c r="E420" s="92"/>
      <c r="F420" s="94"/>
    </row>
    <row r="421" spans="1:6" x14ac:dyDescent="0.25">
      <c r="A421" s="86"/>
      <c r="B421" s="86"/>
      <c r="C421" s="88"/>
      <c r="D421" s="91"/>
      <c r="E421" s="92"/>
      <c r="F421" s="94"/>
    </row>
    <row r="422" spans="1:6" x14ac:dyDescent="0.25">
      <c r="A422" s="86"/>
      <c r="B422" s="86"/>
      <c r="C422" s="88"/>
      <c r="D422" s="91"/>
      <c r="E422" s="92"/>
      <c r="F422" s="94"/>
    </row>
    <row r="423" spans="1:6" x14ac:dyDescent="0.25">
      <c r="A423" s="86"/>
      <c r="B423" s="86"/>
      <c r="C423" s="88"/>
      <c r="D423" s="91"/>
      <c r="E423" s="92"/>
      <c r="F423" s="94"/>
    </row>
    <row r="424" spans="1:6" x14ac:dyDescent="0.25">
      <c r="A424" s="86"/>
      <c r="B424" s="86"/>
      <c r="C424" s="88"/>
      <c r="D424" s="91"/>
      <c r="E424" s="92"/>
      <c r="F424" s="94"/>
    </row>
    <row r="425" spans="1:6" x14ac:dyDescent="0.25">
      <c r="A425" s="86"/>
      <c r="B425" s="86"/>
      <c r="C425" s="88"/>
      <c r="D425" s="91"/>
      <c r="E425" s="92"/>
      <c r="F425" s="94"/>
    </row>
    <row r="426" spans="1:6" x14ac:dyDescent="0.25">
      <c r="A426" s="86"/>
      <c r="B426" s="86"/>
      <c r="C426" s="88"/>
      <c r="D426" s="91"/>
      <c r="E426" s="92"/>
      <c r="F426" s="94"/>
    </row>
    <row r="427" spans="1:6" x14ac:dyDescent="0.25">
      <c r="A427" s="86"/>
      <c r="B427" s="86"/>
      <c r="C427" s="88"/>
      <c r="D427" s="91"/>
      <c r="E427" s="92"/>
      <c r="F427" s="94"/>
    </row>
    <row r="428" spans="1:6" x14ac:dyDescent="0.25">
      <c r="A428" s="86"/>
      <c r="B428" s="86"/>
      <c r="C428" s="88"/>
      <c r="D428" s="91"/>
      <c r="E428" s="92"/>
      <c r="F428" s="94"/>
    </row>
    <row r="429" spans="1:6" x14ac:dyDescent="0.25">
      <c r="A429" s="86"/>
      <c r="B429" s="86"/>
      <c r="C429" s="88"/>
      <c r="D429" s="91"/>
      <c r="E429" s="92"/>
      <c r="F429" s="94"/>
    </row>
    <row r="430" spans="1:6" x14ac:dyDescent="0.25">
      <c r="A430" s="86"/>
      <c r="B430" s="86"/>
      <c r="C430" s="88"/>
      <c r="D430" s="91"/>
      <c r="E430" s="92"/>
      <c r="F430" s="94"/>
    </row>
    <row r="431" spans="1:6" x14ac:dyDescent="0.25">
      <c r="A431" s="86"/>
      <c r="B431" s="86"/>
      <c r="C431" s="88"/>
      <c r="D431" s="91"/>
      <c r="E431" s="92"/>
      <c r="F431" s="94"/>
    </row>
    <row r="432" spans="1:6" x14ac:dyDescent="0.25">
      <c r="A432" s="86"/>
      <c r="B432" s="86"/>
      <c r="C432" s="88"/>
      <c r="D432" s="91"/>
      <c r="E432" s="92"/>
      <c r="F432" s="94"/>
    </row>
    <row r="433" spans="1:6" x14ac:dyDescent="0.25">
      <c r="A433" s="86"/>
      <c r="B433" s="86"/>
      <c r="C433" s="88"/>
      <c r="D433" s="91"/>
      <c r="E433" s="92"/>
      <c r="F433" s="94"/>
    </row>
    <row r="434" spans="1:6" x14ac:dyDescent="0.25">
      <c r="A434" s="86"/>
      <c r="B434" s="86"/>
      <c r="C434" s="88"/>
      <c r="D434" s="91"/>
      <c r="E434" s="92"/>
      <c r="F434" s="94"/>
    </row>
    <row r="435" spans="1:6" x14ac:dyDescent="0.25">
      <c r="A435" s="86"/>
      <c r="B435" s="86"/>
      <c r="C435" s="88"/>
      <c r="D435" s="91"/>
      <c r="E435" s="92"/>
      <c r="F435" s="94"/>
    </row>
    <row r="436" spans="1:6" x14ac:dyDescent="0.25">
      <c r="A436" s="86"/>
      <c r="B436" s="86"/>
      <c r="C436" s="88"/>
      <c r="D436" s="91"/>
      <c r="E436" s="92"/>
      <c r="F436" s="94"/>
    </row>
    <row r="437" spans="1:6" x14ac:dyDescent="0.25">
      <c r="A437" s="86"/>
      <c r="B437" s="86"/>
      <c r="C437" s="88"/>
      <c r="D437" s="91"/>
      <c r="E437" s="92"/>
      <c r="F437" s="94"/>
    </row>
    <row r="438" spans="1:6" x14ac:dyDescent="0.25">
      <c r="A438" s="86"/>
      <c r="B438" s="86"/>
      <c r="C438" s="88"/>
      <c r="D438" s="91"/>
      <c r="E438" s="92"/>
      <c r="F438" s="94"/>
    </row>
    <row r="439" spans="1:6" x14ac:dyDescent="0.25">
      <c r="A439" s="86"/>
      <c r="B439" s="86"/>
      <c r="C439" s="88"/>
      <c r="D439" s="91"/>
      <c r="E439" s="92"/>
      <c r="F439" s="94"/>
    </row>
    <row r="440" spans="1:6" x14ac:dyDescent="0.25">
      <c r="A440" s="86"/>
      <c r="B440" s="86"/>
      <c r="C440" s="88"/>
      <c r="D440" s="91"/>
      <c r="E440" s="92"/>
      <c r="F440" s="94"/>
    </row>
    <row r="441" spans="1:6" x14ac:dyDescent="0.25">
      <c r="A441" s="86"/>
      <c r="B441" s="86"/>
      <c r="C441" s="88"/>
      <c r="D441" s="91"/>
      <c r="E441" s="92"/>
      <c r="F441" s="94"/>
    </row>
    <row r="442" spans="1:6" x14ac:dyDescent="0.25">
      <c r="A442" s="86"/>
      <c r="B442" s="86"/>
      <c r="C442" s="88"/>
      <c r="D442" s="91"/>
      <c r="E442" s="92"/>
      <c r="F442" s="94"/>
    </row>
    <row r="443" spans="1:6" x14ac:dyDescent="0.25">
      <c r="A443" s="86"/>
      <c r="B443" s="86"/>
      <c r="C443" s="88"/>
      <c r="D443" s="91"/>
      <c r="E443" s="92"/>
      <c r="F443" s="94"/>
    </row>
    <row r="444" spans="1:6" x14ac:dyDescent="0.25">
      <c r="A444" s="86"/>
      <c r="B444" s="86"/>
      <c r="C444" s="88"/>
      <c r="D444" s="91"/>
      <c r="E444" s="92"/>
      <c r="F444" s="94"/>
    </row>
    <row r="445" spans="1:6" x14ac:dyDescent="0.25">
      <c r="A445" s="86"/>
      <c r="B445" s="86"/>
      <c r="C445" s="88"/>
      <c r="D445" s="91"/>
      <c r="E445" s="92"/>
      <c r="F445" s="94"/>
    </row>
    <row r="446" spans="1:6" x14ac:dyDescent="0.25">
      <c r="A446" s="86"/>
      <c r="B446" s="86"/>
      <c r="C446" s="88"/>
      <c r="D446" s="91"/>
      <c r="E446" s="92"/>
      <c r="F446" s="94"/>
    </row>
    <row r="447" spans="1:6" x14ac:dyDescent="0.25">
      <c r="A447" s="86"/>
      <c r="B447" s="86"/>
      <c r="C447" s="88"/>
      <c r="D447" s="91"/>
      <c r="E447" s="92"/>
      <c r="F447" s="94"/>
    </row>
    <row r="448" spans="1:6" x14ac:dyDescent="0.25">
      <c r="A448" s="86"/>
      <c r="B448" s="86"/>
      <c r="C448" s="88"/>
      <c r="D448" s="91"/>
      <c r="E448" s="92"/>
      <c r="F448" s="94"/>
    </row>
    <row r="449" spans="1:6" x14ac:dyDescent="0.25">
      <c r="A449" s="86"/>
      <c r="B449" s="86"/>
      <c r="C449" s="88"/>
      <c r="D449" s="91"/>
      <c r="E449" s="92"/>
      <c r="F449" s="94"/>
    </row>
    <row r="450" spans="1:6" x14ac:dyDescent="0.25">
      <c r="A450" s="86"/>
      <c r="B450" s="86"/>
      <c r="C450" s="88"/>
      <c r="D450" s="91"/>
      <c r="E450" s="92"/>
      <c r="F450" s="94"/>
    </row>
    <row r="451" spans="1:6" x14ac:dyDescent="0.25">
      <c r="A451" s="86"/>
      <c r="B451" s="86"/>
      <c r="C451" s="88"/>
      <c r="D451" s="91"/>
      <c r="E451" s="92"/>
      <c r="F451" s="94"/>
    </row>
    <row r="452" spans="1:6" x14ac:dyDescent="0.25">
      <c r="A452" s="86"/>
      <c r="B452" s="86"/>
      <c r="C452" s="88"/>
      <c r="D452" s="91"/>
      <c r="E452" s="92"/>
      <c r="F452" s="94"/>
    </row>
    <row r="453" spans="1:6" x14ac:dyDescent="0.25">
      <c r="A453" s="86"/>
      <c r="B453" s="86"/>
      <c r="C453" s="88"/>
      <c r="D453" s="91"/>
      <c r="E453" s="92"/>
      <c r="F453" s="94"/>
    </row>
    <row r="454" spans="1:6" x14ac:dyDescent="0.25">
      <c r="A454" s="86"/>
      <c r="B454" s="86"/>
      <c r="C454" s="88"/>
      <c r="D454" s="91"/>
      <c r="E454" s="92"/>
      <c r="F454" s="94"/>
    </row>
    <row r="455" spans="1:6" x14ac:dyDescent="0.25">
      <c r="A455" s="86"/>
      <c r="B455" s="86"/>
      <c r="C455" s="88"/>
      <c r="D455" s="91"/>
      <c r="E455" s="92"/>
      <c r="F455" s="94"/>
    </row>
    <row r="456" spans="1:6" x14ac:dyDescent="0.25">
      <c r="A456" s="86"/>
      <c r="B456" s="86"/>
      <c r="C456" s="88"/>
      <c r="D456" s="91"/>
      <c r="E456" s="92"/>
      <c r="F456" s="94"/>
    </row>
    <row r="457" spans="1:6" x14ac:dyDescent="0.25">
      <c r="A457" s="86"/>
      <c r="B457" s="86"/>
      <c r="C457" s="88"/>
      <c r="D457" s="91"/>
      <c r="E457" s="92"/>
      <c r="F457" s="94"/>
    </row>
    <row r="458" spans="1:6" x14ac:dyDescent="0.25">
      <c r="A458" s="86"/>
      <c r="B458" s="86"/>
      <c r="C458" s="88"/>
      <c r="D458" s="91"/>
      <c r="E458" s="92"/>
      <c r="F458" s="94"/>
    </row>
    <row r="459" spans="1:6" x14ac:dyDescent="0.25">
      <c r="A459" s="86"/>
      <c r="B459" s="86"/>
      <c r="C459" s="88"/>
      <c r="D459" s="91"/>
      <c r="E459" s="92"/>
      <c r="F459" s="94"/>
    </row>
    <row r="460" spans="1:6" x14ac:dyDescent="0.25">
      <c r="A460" s="86"/>
      <c r="B460" s="86"/>
      <c r="C460" s="88"/>
      <c r="D460" s="91"/>
      <c r="E460" s="92"/>
      <c r="F460" s="94"/>
    </row>
    <row r="461" spans="1:6" x14ac:dyDescent="0.25">
      <c r="A461" s="86"/>
      <c r="B461" s="86"/>
      <c r="C461" s="88"/>
      <c r="D461" s="91"/>
      <c r="E461" s="92"/>
      <c r="F461" s="94"/>
    </row>
    <row r="462" spans="1:6" x14ac:dyDescent="0.25">
      <c r="A462" s="86"/>
      <c r="B462" s="86"/>
      <c r="C462" s="88"/>
      <c r="D462" s="91"/>
      <c r="E462" s="92"/>
      <c r="F462" s="94"/>
    </row>
    <row r="463" spans="1:6" x14ac:dyDescent="0.25">
      <c r="A463" s="86"/>
      <c r="B463" s="86"/>
      <c r="C463" s="88"/>
      <c r="D463" s="91"/>
      <c r="E463" s="92"/>
      <c r="F463" s="94"/>
    </row>
    <row r="464" spans="1:6" x14ac:dyDescent="0.25">
      <c r="A464" s="86"/>
      <c r="B464" s="86"/>
      <c r="C464" s="88"/>
      <c r="D464" s="91"/>
      <c r="E464" s="92"/>
      <c r="F464" s="94"/>
    </row>
    <row r="465" spans="1:6" x14ac:dyDescent="0.25">
      <c r="A465" s="86"/>
      <c r="B465" s="86"/>
      <c r="C465" s="88"/>
      <c r="D465" s="91"/>
      <c r="E465" s="92"/>
      <c r="F465" s="94"/>
    </row>
    <row r="466" spans="1:6" x14ac:dyDescent="0.25">
      <c r="A466" s="86"/>
      <c r="B466" s="86"/>
      <c r="C466" s="88"/>
      <c r="D466" s="91"/>
      <c r="E466" s="92"/>
      <c r="F466" s="94"/>
    </row>
    <row r="467" spans="1:6" x14ac:dyDescent="0.25">
      <c r="A467" s="86"/>
      <c r="B467" s="86"/>
      <c r="C467" s="88"/>
      <c r="D467" s="91"/>
      <c r="E467" s="92"/>
      <c r="F467" s="94"/>
    </row>
    <row r="468" spans="1:6" x14ac:dyDescent="0.25">
      <c r="A468" s="86"/>
      <c r="B468" s="86"/>
      <c r="C468" s="88"/>
      <c r="D468" s="91"/>
      <c r="E468" s="92"/>
      <c r="F468" s="94"/>
    </row>
    <row r="469" spans="1:6" x14ac:dyDescent="0.25">
      <c r="A469" s="86"/>
      <c r="B469" s="86"/>
      <c r="C469" s="88"/>
      <c r="D469" s="91"/>
      <c r="E469" s="92"/>
      <c r="F469" s="94"/>
    </row>
    <row r="470" spans="1:6" x14ac:dyDescent="0.25">
      <c r="A470" s="86"/>
      <c r="B470" s="86"/>
      <c r="C470" s="88"/>
      <c r="D470" s="91"/>
      <c r="E470" s="92"/>
      <c r="F470" s="94"/>
    </row>
    <row r="471" spans="1:6" x14ac:dyDescent="0.25">
      <c r="A471" s="86"/>
      <c r="B471" s="86"/>
      <c r="C471" s="88"/>
      <c r="D471" s="91"/>
      <c r="E471" s="92"/>
      <c r="F471" s="94"/>
    </row>
    <row r="472" spans="1:6" x14ac:dyDescent="0.25">
      <c r="A472" s="86"/>
      <c r="B472" s="86"/>
      <c r="C472" s="88"/>
      <c r="D472" s="91"/>
      <c r="E472" s="92"/>
      <c r="F472" s="94"/>
    </row>
    <row r="473" spans="1:6" x14ac:dyDescent="0.25">
      <c r="A473" s="86"/>
      <c r="B473" s="86"/>
      <c r="C473" s="88"/>
      <c r="D473" s="91"/>
      <c r="E473" s="92"/>
      <c r="F473" s="94"/>
    </row>
    <row r="474" spans="1:6" x14ac:dyDescent="0.25">
      <c r="A474" s="86"/>
      <c r="B474" s="86"/>
      <c r="C474" s="88"/>
      <c r="D474" s="91"/>
      <c r="E474" s="92"/>
      <c r="F474" s="94"/>
    </row>
    <row r="475" spans="1:6" x14ac:dyDescent="0.25">
      <c r="A475" s="86"/>
      <c r="B475" s="86"/>
      <c r="C475" s="88"/>
      <c r="D475" s="91"/>
      <c r="E475" s="92"/>
      <c r="F475" s="94"/>
    </row>
    <row r="476" spans="1:6" x14ac:dyDescent="0.25">
      <c r="A476" s="86"/>
      <c r="B476" s="86"/>
      <c r="C476" s="88"/>
      <c r="D476" s="91"/>
      <c r="E476" s="92"/>
      <c r="F476" s="94"/>
    </row>
    <row r="477" spans="1:6" x14ac:dyDescent="0.25">
      <c r="A477" s="86"/>
      <c r="B477" s="86"/>
      <c r="C477" s="88"/>
      <c r="D477" s="91"/>
      <c r="E477" s="92"/>
      <c r="F477" s="94"/>
    </row>
    <row r="478" spans="1:6" x14ac:dyDescent="0.25">
      <c r="A478" s="86"/>
      <c r="B478" s="86"/>
      <c r="C478" s="88"/>
      <c r="D478" s="91"/>
      <c r="E478" s="92"/>
      <c r="F478" s="94"/>
    </row>
    <row r="479" spans="1:6" x14ac:dyDescent="0.25">
      <c r="A479" s="86"/>
      <c r="B479" s="86"/>
      <c r="C479" s="88"/>
      <c r="D479" s="91"/>
      <c r="E479" s="92"/>
      <c r="F479" s="94"/>
    </row>
    <row r="480" spans="1:6" x14ac:dyDescent="0.25">
      <c r="A480" s="86"/>
      <c r="B480" s="86"/>
      <c r="C480" s="88"/>
      <c r="D480" s="91"/>
      <c r="E480" s="92"/>
      <c r="F480" s="94"/>
    </row>
    <row r="481" spans="1:6" x14ac:dyDescent="0.25">
      <c r="A481" s="86"/>
      <c r="B481" s="86"/>
      <c r="C481" s="88"/>
      <c r="D481" s="91"/>
      <c r="E481" s="92"/>
      <c r="F481" s="94"/>
    </row>
    <row r="482" spans="1:6" x14ac:dyDescent="0.25">
      <c r="A482" s="86"/>
      <c r="B482" s="86"/>
      <c r="C482" s="88"/>
      <c r="D482" s="91"/>
      <c r="E482" s="92"/>
      <c r="F482" s="94"/>
    </row>
    <row r="483" spans="1:6" x14ac:dyDescent="0.25">
      <c r="A483" s="86"/>
      <c r="B483" s="86"/>
      <c r="C483" s="88"/>
      <c r="D483" s="91"/>
      <c r="E483" s="92"/>
      <c r="F483" s="94"/>
    </row>
    <row r="484" spans="1:6" x14ac:dyDescent="0.25">
      <c r="A484" s="86"/>
      <c r="B484" s="86"/>
      <c r="C484" s="88"/>
      <c r="D484" s="91"/>
      <c r="E484" s="92"/>
      <c r="F484" s="94"/>
    </row>
    <row r="485" spans="1:6" x14ac:dyDescent="0.25">
      <c r="A485" s="86"/>
      <c r="B485" s="86"/>
      <c r="C485" s="88"/>
      <c r="D485" s="91"/>
      <c r="E485" s="92"/>
      <c r="F485" s="94"/>
    </row>
    <row r="486" spans="1:6" x14ac:dyDescent="0.25">
      <c r="A486" s="86"/>
      <c r="B486" s="86"/>
      <c r="C486" s="88"/>
      <c r="D486" s="91"/>
      <c r="E486" s="92"/>
      <c r="F486" s="94"/>
    </row>
    <row r="487" spans="1:6" x14ac:dyDescent="0.25">
      <c r="A487" s="86"/>
      <c r="B487" s="86"/>
      <c r="C487" s="88"/>
      <c r="D487" s="91"/>
      <c r="E487" s="92"/>
      <c r="F487" s="94"/>
    </row>
    <row r="488" spans="1:6" x14ac:dyDescent="0.25">
      <c r="A488" s="86"/>
      <c r="B488" s="86"/>
      <c r="C488" s="88"/>
      <c r="D488" s="91"/>
      <c r="E488" s="92"/>
      <c r="F488" s="94"/>
    </row>
    <row r="489" spans="1:6" x14ac:dyDescent="0.25">
      <c r="A489" s="86"/>
      <c r="B489" s="86"/>
      <c r="C489" s="88"/>
      <c r="D489" s="91"/>
      <c r="E489" s="92"/>
      <c r="F489" s="94"/>
    </row>
    <row r="490" spans="1:6" x14ac:dyDescent="0.25">
      <c r="A490" s="86"/>
      <c r="B490" s="86"/>
      <c r="C490" s="88"/>
      <c r="D490" s="91"/>
      <c r="E490" s="92"/>
      <c r="F490" s="94"/>
    </row>
    <row r="491" spans="1:6" x14ac:dyDescent="0.25">
      <c r="A491" s="86"/>
      <c r="B491" s="86"/>
      <c r="C491" s="88"/>
      <c r="D491" s="91"/>
      <c r="E491" s="92"/>
      <c r="F491" s="94"/>
    </row>
    <row r="492" spans="1:6" x14ac:dyDescent="0.25">
      <c r="A492" s="86"/>
      <c r="B492" s="86"/>
      <c r="C492" s="88"/>
      <c r="D492" s="91"/>
      <c r="E492" s="92"/>
      <c r="F492" s="94"/>
    </row>
    <row r="493" spans="1:6" x14ac:dyDescent="0.25">
      <c r="A493" s="86"/>
      <c r="B493" s="86"/>
      <c r="C493" s="88"/>
      <c r="D493" s="91"/>
      <c r="E493" s="92"/>
      <c r="F493" s="94"/>
    </row>
    <row r="494" spans="1:6" x14ac:dyDescent="0.25">
      <c r="A494" s="86"/>
      <c r="B494" s="86"/>
      <c r="C494" s="88"/>
      <c r="D494" s="91"/>
      <c r="E494" s="92"/>
      <c r="F494" s="94"/>
    </row>
    <row r="495" spans="1:6" x14ac:dyDescent="0.25">
      <c r="A495" s="86"/>
      <c r="B495" s="86"/>
      <c r="C495" s="88"/>
      <c r="D495" s="91"/>
      <c r="E495" s="92"/>
      <c r="F495" s="94"/>
    </row>
    <row r="496" spans="1:6" x14ac:dyDescent="0.25">
      <c r="A496" s="86"/>
      <c r="B496" s="86"/>
      <c r="C496" s="88"/>
      <c r="D496" s="91"/>
      <c r="E496" s="92"/>
      <c r="F496" s="94"/>
    </row>
    <row r="497" spans="1:6" x14ac:dyDescent="0.25">
      <c r="A497" s="86"/>
      <c r="B497" s="86"/>
      <c r="C497" s="88"/>
      <c r="D497" s="91"/>
      <c r="E497" s="92"/>
      <c r="F497" s="94"/>
    </row>
    <row r="498" spans="1:6" x14ac:dyDescent="0.25">
      <c r="A498" s="86"/>
      <c r="B498" s="86"/>
      <c r="C498" s="88"/>
      <c r="D498" s="91"/>
      <c r="E498" s="92"/>
      <c r="F498" s="94"/>
    </row>
    <row r="499" spans="1:6" x14ac:dyDescent="0.25">
      <c r="A499" s="86"/>
      <c r="B499" s="86"/>
      <c r="C499" s="88"/>
      <c r="D499" s="91"/>
      <c r="E499" s="92"/>
      <c r="F499" s="94"/>
    </row>
    <row r="500" spans="1:6" x14ac:dyDescent="0.25">
      <c r="A500" s="86"/>
      <c r="B500" s="86"/>
      <c r="C500" s="88"/>
      <c r="D500" s="91"/>
      <c r="E500" s="92"/>
      <c r="F500" s="94"/>
    </row>
    <row r="501" spans="1:6" x14ac:dyDescent="0.25">
      <c r="A501" s="86"/>
      <c r="B501" s="86"/>
      <c r="C501" s="88"/>
      <c r="D501" s="91"/>
      <c r="E501" s="92"/>
      <c r="F501" s="94"/>
    </row>
    <row r="502" spans="1:6" x14ac:dyDescent="0.25">
      <c r="A502" s="86"/>
      <c r="B502" s="86"/>
      <c r="C502" s="88"/>
      <c r="D502" s="91"/>
      <c r="E502" s="92"/>
      <c r="F502" s="94"/>
    </row>
    <row r="503" spans="1:6" x14ac:dyDescent="0.25">
      <c r="A503" s="86"/>
      <c r="B503" s="86"/>
      <c r="C503" s="88"/>
      <c r="D503" s="91"/>
      <c r="E503" s="92"/>
      <c r="F503" s="94"/>
    </row>
    <row r="504" spans="1:6" x14ac:dyDescent="0.25">
      <c r="A504" s="86"/>
      <c r="B504" s="86"/>
      <c r="C504" s="88"/>
      <c r="D504" s="91"/>
      <c r="E504" s="92"/>
      <c r="F504" s="94"/>
    </row>
    <row r="505" spans="1:6" x14ac:dyDescent="0.25">
      <c r="A505" s="86"/>
      <c r="B505" s="86"/>
      <c r="C505" s="88"/>
      <c r="D505" s="91"/>
      <c r="E505" s="92"/>
      <c r="F505" s="94"/>
    </row>
    <row r="506" spans="1:6" x14ac:dyDescent="0.25">
      <c r="A506" s="86"/>
      <c r="B506" s="86"/>
      <c r="C506" s="88"/>
      <c r="D506" s="91"/>
      <c r="E506" s="92"/>
      <c r="F506" s="94"/>
    </row>
    <row r="507" spans="1:6" x14ac:dyDescent="0.25">
      <c r="A507" s="86"/>
      <c r="B507" s="86"/>
      <c r="C507" s="88"/>
      <c r="D507" s="91"/>
      <c r="E507" s="92"/>
      <c r="F507" s="94"/>
    </row>
    <row r="508" spans="1:6" x14ac:dyDescent="0.25">
      <c r="A508" s="86"/>
      <c r="B508" s="86"/>
      <c r="C508" s="88"/>
      <c r="D508" s="91"/>
      <c r="E508" s="92"/>
      <c r="F508" s="94"/>
    </row>
    <row r="509" spans="1:6" x14ac:dyDescent="0.25">
      <c r="A509" s="86"/>
      <c r="B509" s="86"/>
      <c r="C509" s="88"/>
      <c r="D509" s="91"/>
      <c r="E509" s="92"/>
      <c r="F509" s="94"/>
    </row>
    <row r="510" spans="1:6" x14ac:dyDescent="0.25">
      <c r="A510" s="86"/>
      <c r="B510" s="86"/>
      <c r="C510" s="88"/>
      <c r="D510" s="91"/>
      <c r="E510" s="92"/>
      <c r="F510" s="94"/>
    </row>
    <row r="511" spans="1:6" x14ac:dyDescent="0.25">
      <c r="A511" s="86"/>
      <c r="B511" s="86"/>
      <c r="C511" s="88"/>
      <c r="D511" s="91"/>
      <c r="E511" s="92"/>
      <c r="F511" s="94"/>
    </row>
    <row r="512" spans="1:6" x14ac:dyDescent="0.25">
      <c r="A512" s="86"/>
      <c r="B512" s="86"/>
      <c r="C512" s="88"/>
      <c r="D512" s="91"/>
      <c r="E512" s="92"/>
      <c r="F512" s="94"/>
    </row>
    <row r="513" spans="1:6" x14ac:dyDescent="0.25">
      <c r="A513" s="86"/>
      <c r="B513" s="86"/>
      <c r="C513" s="88"/>
      <c r="D513" s="91"/>
      <c r="E513" s="92"/>
      <c r="F513" s="94"/>
    </row>
    <row r="514" spans="1:6" x14ac:dyDescent="0.25">
      <c r="A514" s="86"/>
      <c r="B514" s="86"/>
      <c r="C514" s="88"/>
      <c r="D514" s="91"/>
      <c r="E514" s="92"/>
      <c r="F514" s="94"/>
    </row>
    <row r="515" spans="1:6" x14ac:dyDescent="0.25">
      <c r="A515" s="86"/>
      <c r="B515" s="86"/>
      <c r="C515" s="88"/>
      <c r="D515" s="91"/>
      <c r="E515" s="92"/>
      <c r="F515" s="94"/>
    </row>
    <row r="516" spans="1:6" x14ac:dyDescent="0.25">
      <c r="A516" s="86"/>
      <c r="B516" s="86"/>
      <c r="C516" s="88"/>
      <c r="D516" s="91"/>
      <c r="E516" s="92"/>
      <c r="F516" s="94"/>
    </row>
    <row r="517" spans="1:6" x14ac:dyDescent="0.25">
      <c r="A517" s="86"/>
      <c r="B517" s="86"/>
      <c r="C517" s="88"/>
      <c r="D517" s="91"/>
      <c r="E517" s="92"/>
      <c r="F517" s="94"/>
    </row>
    <row r="518" spans="1:6" x14ac:dyDescent="0.25">
      <c r="A518" s="85"/>
      <c r="B518" s="85"/>
      <c r="C518" s="87"/>
      <c r="D518" s="89"/>
      <c r="E518" s="90"/>
      <c r="F518" s="93"/>
    </row>
    <row r="519" spans="1:6" x14ac:dyDescent="0.25">
      <c r="A519" s="85"/>
      <c r="B519" s="85"/>
      <c r="C519" s="87"/>
      <c r="D519" s="89"/>
      <c r="E519" s="90"/>
      <c r="F519" s="93"/>
    </row>
    <row r="520" spans="1:6" x14ac:dyDescent="0.25">
      <c r="A520" s="85"/>
      <c r="B520" s="85"/>
      <c r="C520" s="87"/>
      <c r="D520" s="89"/>
      <c r="E520" s="90"/>
      <c r="F520" s="93"/>
    </row>
    <row r="521" spans="1:6" x14ac:dyDescent="0.25">
      <c r="A521" s="85"/>
      <c r="B521" s="85"/>
      <c r="C521" s="87"/>
      <c r="D521" s="89"/>
      <c r="E521" s="90"/>
      <c r="F521" s="93"/>
    </row>
    <row r="522" spans="1:6" x14ac:dyDescent="0.25">
      <c r="A522" s="85"/>
      <c r="B522" s="85"/>
      <c r="C522" s="87"/>
      <c r="D522" s="89"/>
      <c r="E522" s="90"/>
      <c r="F522" s="93"/>
    </row>
    <row r="523" spans="1:6" x14ac:dyDescent="0.25">
      <c r="A523" s="85"/>
      <c r="B523" s="85"/>
      <c r="C523" s="87"/>
      <c r="D523" s="89"/>
      <c r="E523" s="90"/>
      <c r="F523" s="93"/>
    </row>
    <row r="524" spans="1:6" x14ac:dyDescent="0.25">
      <c r="A524" s="85"/>
      <c r="B524" s="85"/>
      <c r="C524" s="87"/>
      <c r="D524" s="89"/>
      <c r="E524" s="90"/>
      <c r="F524" s="93"/>
    </row>
    <row r="525" spans="1:6" x14ac:dyDescent="0.25">
      <c r="A525" s="85"/>
      <c r="B525" s="85"/>
      <c r="C525" s="87"/>
      <c r="D525" s="89"/>
      <c r="E525" s="90"/>
      <c r="F525" s="93"/>
    </row>
    <row r="526" spans="1:6" x14ac:dyDescent="0.25">
      <c r="A526" s="85"/>
      <c r="B526" s="85"/>
      <c r="C526" s="87"/>
      <c r="D526" s="89"/>
      <c r="E526" s="90"/>
      <c r="F526" s="93"/>
    </row>
    <row r="527" spans="1:6" x14ac:dyDescent="0.25">
      <c r="A527" s="85"/>
      <c r="B527" s="85"/>
      <c r="C527" s="87"/>
      <c r="D527" s="89"/>
      <c r="E527" s="90"/>
      <c r="F527" s="93"/>
    </row>
    <row r="528" spans="1:6" x14ac:dyDescent="0.25">
      <c r="A528" s="86"/>
      <c r="B528" s="86"/>
      <c r="C528" s="88"/>
      <c r="D528" s="91"/>
      <c r="E528" s="92"/>
      <c r="F528" s="94"/>
    </row>
    <row r="529" spans="1:6" x14ac:dyDescent="0.25">
      <c r="A529" s="86"/>
      <c r="B529" s="86"/>
      <c r="C529" s="88"/>
      <c r="D529" s="91"/>
      <c r="E529" s="92"/>
      <c r="F529" s="94"/>
    </row>
    <row r="530" spans="1:6" x14ac:dyDescent="0.25">
      <c r="A530" s="86"/>
      <c r="B530" s="86"/>
      <c r="C530" s="88"/>
      <c r="D530" s="91"/>
      <c r="E530" s="92"/>
      <c r="F530" s="94"/>
    </row>
    <row r="531" spans="1:6" x14ac:dyDescent="0.25">
      <c r="A531" s="86"/>
      <c r="B531" s="86"/>
      <c r="C531" s="88"/>
      <c r="D531" s="91"/>
      <c r="E531" s="92"/>
      <c r="F531" s="94"/>
    </row>
    <row r="532" spans="1:6" x14ac:dyDescent="0.25">
      <c r="A532" s="86"/>
      <c r="B532" s="86"/>
      <c r="C532" s="88"/>
      <c r="D532" s="91"/>
      <c r="E532" s="92"/>
      <c r="F532" s="94"/>
    </row>
    <row r="533" spans="1:6" x14ac:dyDescent="0.25">
      <c r="A533" s="86"/>
      <c r="B533" s="86"/>
      <c r="C533" s="88"/>
      <c r="D533" s="91"/>
      <c r="E533" s="92"/>
      <c r="F533" s="94"/>
    </row>
    <row r="534" spans="1:6" x14ac:dyDescent="0.25">
      <c r="A534" s="86"/>
      <c r="B534" s="86"/>
      <c r="C534" s="88"/>
      <c r="D534" s="91"/>
      <c r="E534" s="92"/>
      <c r="F534" s="94"/>
    </row>
    <row r="535" spans="1:6" x14ac:dyDescent="0.25">
      <c r="A535" s="86"/>
      <c r="B535" s="86"/>
      <c r="C535" s="88"/>
      <c r="D535" s="91"/>
      <c r="E535" s="92"/>
      <c r="F535" s="94"/>
    </row>
    <row r="536" spans="1:6" x14ac:dyDescent="0.25">
      <c r="A536" s="86"/>
      <c r="B536" s="86"/>
      <c r="C536" s="88"/>
      <c r="D536" s="91"/>
      <c r="E536" s="92"/>
      <c r="F536" s="94"/>
    </row>
    <row r="537" spans="1:6" x14ac:dyDescent="0.25">
      <c r="A537" s="86"/>
      <c r="B537" s="86"/>
      <c r="C537" s="88"/>
      <c r="D537" s="91"/>
      <c r="E537" s="92"/>
      <c r="F537" s="94"/>
    </row>
    <row r="538" spans="1:6" x14ac:dyDescent="0.25">
      <c r="A538" s="86"/>
      <c r="B538" s="86"/>
      <c r="C538" s="88"/>
      <c r="D538" s="91"/>
      <c r="E538" s="92"/>
      <c r="F538" s="94"/>
    </row>
    <row r="539" spans="1:6" x14ac:dyDescent="0.25">
      <c r="A539" s="86"/>
      <c r="B539" s="86"/>
      <c r="C539" s="88"/>
      <c r="D539" s="91"/>
      <c r="E539" s="92"/>
      <c r="F539" s="94"/>
    </row>
    <row r="540" spans="1:6" x14ac:dyDescent="0.25">
      <c r="A540" s="86"/>
      <c r="B540" s="86"/>
      <c r="C540" s="88"/>
      <c r="D540" s="91"/>
      <c r="E540" s="92"/>
      <c r="F540" s="94"/>
    </row>
    <row r="541" spans="1:6" x14ac:dyDescent="0.25">
      <c r="A541" s="86"/>
      <c r="B541" s="86"/>
      <c r="C541" s="88"/>
      <c r="D541" s="91"/>
      <c r="E541" s="92"/>
      <c r="F541" s="94"/>
    </row>
    <row r="542" spans="1:6" x14ac:dyDescent="0.25">
      <c r="A542" s="86"/>
      <c r="B542" s="86"/>
      <c r="C542" s="88"/>
      <c r="D542" s="91"/>
      <c r="E542" s="92"/>
      <c r="F542" s="94"/>
    </row>
    <row r="543" spans="1:6" x14ac:dyDescent="0.25">
      <c r="A543" s="86"/>
      <c r="B543" s="86"/>
      <c r="C543" s="88"/>
      <c r="D543" s="91"/>
      <c r="E543" s="92"/>
      <c r="F543" s="94"/>
    </row>
    <row r="544" spans="1:6" x14ac:dyDescent="0.25">
      <c r="A544" s="86"/>
      <c r="B544" s="86"/>
      <c r="C544" s="88"/>
      <c r="D544" s="91"/>
      <c r="E544" s="92"/>
      <c r="F544" s="94"/>
    </row>
    <row r="545" spans="1:6" x14ac:dyDescent="0.25">
      <c r="A545" s="86"/>
      <c r="B545" s="86"/>
      <c r="C545" s="88"/>
      <c r="D545" s="91"/>
      <c r="E545" s="92"/>
      <c r="F545" s="94"/>
    </row>
    <row r="546" spans="1:6" x14ac:dyDescent="0.25">
      <c r="A546" s="86"/>
      <c r="B546" s="86"/>
      <c r="C546" s="88"/>
      <c r="D546" s="91"/>
      <c r="E546" s="92"/>
      <c r="F546" s="94"/>
    </row>
    <row r="547" spans="1:6" x14ac:dyDescent="0.25">
      <c r="A547" s="86"/>
      <c r="B547" s="86"/>
      <c r="C547" s="88"/>
      <c r="D547" s="91"/>
      <c r="E547" s="92"/>
      <c r="F547" s="94"/>
    </row>
    <row r="548" spans="1:6" x14ac:dyDescent="0.25">
      <c r="A548" s="86"/>
      <c r="B548" s="86"/>
      <c r="C548" s="88"/>
      <c r="D548" s="91"/>
      <c r="E548" s="92"/>
      <c r="F548" s="94"/>
    </row>
    <row r="549" spans="1:6" x14ac:dyDescent="0.25">
      <c r="A549" s="86"/>
      <c r="B549" s="86"/>
      <c r="C549" s="88"/>
      <c r="D549" s="91"/>
      <c r="E549" s="92"/>
      <c r="F549" s="94"/>
    </row>
    <row r="550" spans="1:6" x14ac:dyDescent="0.25">
      <c r="A550" s="86"/>
      <c r="B550" s="86"/>
      <c r="C550" s="88"/>
      <c r="D550" s="91"/>
      <c r="E550" s="92"/>
      <c r="F550" s="94"/>
    </row>
    <row r="551" spans="1:6" x14ac:dyDescent="0.25">
      <c r="A551" s="86"/>
      <c r="B551" s="86"/>
      <c r="C551" s="88"/>
      <c r="D551" s="91"/>
      <c r="E551" s="92"/>
      <c r="F551" s="94"/>
    </row>
    <row r="552" spans="1:6" x14ac:dyDescent="0.25">
      <c r="A552" s="86"/>
      <c r="B552" s="86"/>
      <c r="C552" s="88"/>
      <c r="D552" s="91"/>
      <c r="E552" s="92"/>
      <c r="F552" s="94"/>
    </row>
    <row r="553" spans="1:6" x14ac:dyDescent="0.25">
      <c r="A553" s="86"/>
      <c r="B553" s="86"/>
      <c r="C553" s="88"/>
      <c r="D553" s="91"/>
      <c r="E553" s="92"/>
      <c r="F553" s="94"/>
    </row>
    <row r="554" spans="1:6" x14ac:dyDescent="0.25">
      <c r="A554" s="86"/>
      <c r="B554" s="86"/>
      <c r="C554" s="88"/>
      <c r="D554" s="91"/>
      <c r="E554" s="92"/>
      <c r="F554" s="94"/>
    </row>
    <row r="555" spans="1:6" x14ac:dyDescent="0.25">
      <c r="A555" s="86"/>
      <c r="B555" s="86"/>
      <c r="C555" s="88"/>
      <c r="D555" s="91"/>
      <c r="E555" s="92"/>
      <c r="F555" s="94"/>
    </row>
    <row r="556" spans="1:6" x14ac:dyDescent="0.25">
      <c r="A556" s="86"/>
      <c r="B556" s="86"/>
      <c r="C556" s="88"/>
      <c r="D556" s="91"/>
      <c r="E556" s="92"/>
      <c r="F556" s="94"/>
    </row>
    <row r="557" spans="1:6" x14ac:dyDescent="0.25">
      <c r="A557" s="86"/>
      <c r="B557" s="86"/>
      <c r="C557" s="88"/>
      <c r="D557" s="91"/>
      <c r="E557" s="92"/>
      <c r="F557" s="94"/>
    </row>
    <row r="558" spans="1:6" x14ac:dyDescent="0.25">
      <c r="A558" s="86"/>
      <c r="B558" s="86"/>
      <c r="C558" s="88"/>
      <c r="D558" s="91"/>
      <c r="E558" s="92"/>
      <c r="F558" s="94"/>
    </row>
    <row r="559" spans="1:6" x14ac:dyDescent="0.25">
      <c r="A559" s="86"/>
      <c r="B559" s="86"/>
      <c r="C559" s="88"/>
      <c r="D559" s="91"/>
      <c r="E559" s="92"/>
      <c r="F559" s="94"/>
    </row>
    <row r="560" spans="1:6" x14ac:dyDescent="0.25">
      <c r="A560" s="86"/>
      <c r="B560" s="86"/>
      <c r="C560" s="88"/>
      <c r="D560" s="91"/>
      <c r="E560" s="92"/>
      <c r="F560" s="94"/>
    </row>
    <row r="561" spans="1:6" x14ac:dyDescent="0.25">
      <c r="A561" s="86"/>
      <c r="B561" s="86"/>
      <c r="C561" s="88"/>
      <c r="D561" s="91"/>
      <c r="E561" s="92"/>
      <c r="F561" s="94"/>
    </row>
    <row r="562" spans="1:6" x14ac:dyDescent="0.25">
      <c r="A562" s="86"/>
      <c r="B562" s="86"/>
      <c r="C562" s="88"/>
      <c r="D562" s="91"/>
      <c r="E562" s="92"/>
      <c r="F562" s="94"/>
    </row>
    <row r="563" spans="1:6" x14ac:dyDescent="0.25">
      <c r="A563" s="86"/>
      <c r="B563" s="86"/>
      <c r="C563" s="88"/>
      <c r="D563" s="91"/>
      <c r="E563" s="92"/>
      <c r="F563" s="94"/>
    </row>
    <row r="564" spans="1:6" x14ac:dyDescent="0.25">
      <c r="A564" s="86"/>
      <c r="B564" s="86"/>
      <c r="C564" s="88"/>
      <c r="D564" s="91"/>
      <c r="E564" s="92"/>
      <c r="F564" s="94"/>
    </row>
    <row r="565" spans="1:6" x14ac:dyDescent="0.25">
      <c r="A565" s="86"/>
      <c r="B565" s="86"/>
      <c r="C565" s="88"/>
      <c r="D565" s="91"/>
      <c r="E565" s="92"/>
      <c r="F565" s="94"/>
    </row>
    <row r="566" spans="1:6" x14ac:dyDescent="0.25">
      <c r="A566" s="86"/>
      <c r="B566" s="86"/>
      <c r="C566" s="88"/>
      <c r="D566" s="91"/>
      <c r="E566" s="92"/>
      <c r="F566" s="94"/>
    </row>
    <row r="567" spans="1:6" x14ac:dyDescent="0.25">
      <c r="A567" s="86"/>
      <c r="B567" s="86"/>
      <c r="C567" s="88"/>
      <c r="D567" s="91"/>
      <c r="E567" s="92"/>
      <c r="F567" s="94"/>
    </row>
    <row r="568" spans="1:6" x14ac:dyDescent="0.25">
      <c r="A568" s="86"/>
      <c r="B568" s="86"/>
      <c r="C568" s="88"/>
      <c r="D568" s="91"/>
      <c r="E568" s="92"/>
      <c r="F568" s="94"/>
    </row>
    <row r="569" spans="1:6" x14ac:dyDescent="0.25">
      <c r="A569" s="86"/>
      <c r="B569" s="86"/>
      <c r="C569" s="88"/>
      <c r="D569" s="91"/>
      <c r="E569" s="92"/>
      <c r="F569" s="94"/>
    </row>
    <row r="570" spans="1:6" x14ac:dyDescent="0.25">
      <c r="A570" s="86"/>
      <c r="B570" s="86"/>
      <c r="C570" s="88"/>
      <c r="D570" s="91"/>
      <c r="E570" s="92"/>
      <c r="F570" s="94"/>
    </row>
    <row r="571" spans="1:6" x14ac:dyDescent="0.25">
      <c r="A571" s="86"/>
      <c r="B571" s="86"/>
      <c r="C571" s="88"/>
      <c r="D571" s="91"/>
      <c r="E571" s="92"/>
      <c r="F571" s="94"/>
    </row>
    <row r="572" spans="1:6" x14ac:dyDescent="0.25">
      <c r="A572" s="86"/>
      <c r="B572" s="86"/>
      <c r="C572" s="88"/>
      <c r="D572" s="91"/>
      <c r="E572" s="92"/>
      <c r="F572" s="94"/>
    </row>
    <row r="573" spans="1:6" x14ac:dyDescent="0.25">
      <c r="A573" s="86"/>
      <c r="B573" s="86"/>
      <c r="C573" s="88"/>
      <c r="D573" s="91"/>
      <c r="E573" s="92"/>
      <c r="F573" s="94"/>
    </row>
    <row r="574" spans="1:6" x14ac:dyDescent="0.25">
      <c r="A574" s="86"/>
      <c r="B574" s="86"/>
      <c r="C574" s="88"/>
      <c r="D574" s="91"/>
      <c r="E574" s="92"/>
      <c r="F574" s="94"/>
    </row>
    <row r="575" spans="1:6" x14ac:dyDescent="0.25">
      <c r="A575" s="86"/>
      <c r="B575" s="86"/>
      <c r="C575" s="88"/>
      <c r="D575" s="91"/>
      <c r="E575" s="92"/>
      <c r="F575" s="94"/>
    </row>
    <row r="576" spans="1:6" x14ac:dyDescent="0.25">
      <c r="A576" s="86"/>
      <c r="B576" s="86"/>
      <c r="C576" s="88"/>
      <c r="D576" s="91"/>
      <c r="E576" s="92"/>
      <c r="F576" s="94"/>
    </row>
    <row r="577" spans="1:6" x14ac:dyDescent="0.25">
      <c r="A577" s="86"/>
      <c r="B577" s="86"/>
      <c r="C577" s="88"/>
      <c r="D577" s="91"/>
      <c r="E577" s="92"/>
      <c r="F577" s="94"/>
    </row>
    <row r="578" spans="1:6" x14ac:dyDescent="0.25">
      <c r="A578" s="86"/>
      <c r="B578" s="86"/>
      <c r="C578" s="88"/>
      <c r="D578" s="91"/>
      <c r="E578" s="92"/>
      <c r="F578" s="94"/>
    </row>
    <row r="579" spans="1:6" x14ac:dyDescent="0.25">
      <c r="A579" s="86"/>
      <c r="B579" s="86"/>
      <c r="C579" s="88"/>
      <c r="D579" s="91"/>
      <c r="E579" s="92"/>
      <c r="F579" s="94"/>
    </row>
    <row r="580" spans="1:6" x14ac:dyDescent="0.25">
      <c r="A580" s="86"/>
      <c r="B580" s="86"/>
      <c r="C580" s="88"/>
      <c r="D580" s="91"/>
      <c r="E580" s="92"/>
      <c r="F580" s="94"/>
    </row>
    <row r="581" spans="1:6" x14ac:dyDescent="0.25">
      <c r="A581" s="86"/>
      <c r="B581" s="86"/>
      <c r="C581" s="88"/>
      <c r="D581" s="91"/>
      <c r="E581" s="92"/>
      <c r="F581" s="94"/>
    </row>
    <row r="582" spans="1:6" x14ac:dyDescent="0.25">
      <c r="A582" s="86"/>
      <c r="B582" s="86"/>
      <c r="C582" s="88"/>
      <c r="D582" s="91"/>
      <c r="E582" s="92"/>
      <c r="F582" s="94"/>
    </row>
    <row r="583" spans="1:6" x14ac:dyDescent="0.25">
      <c r="A583" s="86"/>
      <c r="B583" s="86"/>
      <c r="C583" s="88"/>
      <c r="D583" s="91"/>
      <c r="E583" s="92"/>
      <c r="F583" s="94"/>
    </row>
    <row r="584" spans="1:6" x14ac:dyDescent="0.25">
      <c r="A584" s="86"/>
      <c r="B584" s="86"/>
      <c r="C584" s="88"/>
      <c r="D584" s="91"/>
      <c r="E584" s="92"/>
      <c r="F584" s="94"/>
    </row>
    <row r="585" spans="1:6" x14ac:dyDescent="0.25">
      <c r="A585" s="86"/>
      <c r="B585" s="86"/>
      <c r="C585" s="88"/>
      <c r="D585" s="91"/>
      <c r="E585" s="92"/>
      <c r="F585" s="94"/>
    </row>
    <row r="586" spans="1:6" x14ac:dyDescent="0.25">
      <c r="A586" s="86"/>
      <c r="B586" s="86"/>
      <c r="C586" s="88"/>
      <c r="D586" s="91"/>
      <c r="E586" s="92"/>
      <c r="F586" s="94"/>
    </row>
    <row r="587" spans="1:6" x14ac:dyDescent="0.25">
      <c r="A587" s="86"/>
      <c r="B587" s="86"/>
      <c r="C587" s="88"/>
      <c r="D587" s="91"/>
      <c r="E587" s="92"/>
      <c r="F587" s="94"/>
    </row>
    <row r="588" spans="1:6" x14ac:dyDescent="0.25">
      <c r="A588" s="86"/>
      <c r="B588" s="86"/>
      <c r="C588" s="88"/>
      <c r="D588" s="91"/>
      <c r="E588" s="92"/>
      <c r="F588" s="94"/>
    </row>
    <row r="589" spans="1:6" x14ac:dyDescent="0.25">
      <c r="A589" s="86"/>
      <c r="B589" s="86"/>
      <c r="C589" s="88"/>
      <c r="D589" s="91"/>
      <c r="E589" s="92"/>
      <c r="F589" s="94"/>
    </row>
    <row r="590" spans="1:6" x14ac:dyDescent="0.25">
      <c r="A590" s="86"/>
      <c r="B590" s="86"/>
      <c r="C590" s="88"/>
      <c r="D590" s="91"/>
      <c r="E590" s="92"/>
      <c r="F590" s="94"/>
    </row>
    <row r="591" spans="1:6" x14ac:dyDescent="0.25">
      <c r="A591" s="86"/>
      <c r="B591" s="86"/>
      <c r="C591" s="88"/>
      <c r="D591" s="91"/>
      <c r="E591" s="92"/>
      <c r="F591" s="94"/>
    </row>
    <row r="592" spans="1:6" x14ac:dyDescent="0.25">
      <c r="A592" s="86"/>
      <c r="B592" s="86"/>
      <c r="C592" s="88"/>
      <c r="D592" s="91"/>
      <c r="E592" s="92"/>
      <c r="F592" s="94"/>
    </row>
    <row r="593" spans="1:6" x14ac:dyDescent="0.25">
      <c r="A593" s="86"/>
      <c r="B593" s="86"/>
      <c r="C593" s="88"/>
      <c r="D593" s="91"/>
      <c r="E593" s="92"/>
      <c r="F593" s="94"/>
    </row>
    <row r="594" spans="1:6" x14ac:dyDescent="0.25">
      <c r="A594" s="86"/>
      <c r="B594" s="86"/>
      <c r="C594" s="88"/>
      <c r="D594" s="91"/>
      <c r="E594" s="92"/>
      <c r="F594" s="94"/>
    </row>
    <row r="595" spans="1:6" x14ac:dyDescent="0.25">
      <c r="A595" s="86"/>
      <c r="B595" s="86"/>
      <c r="C595" s="88"/>
      <c r="D595" s="91"/>
      <c r="E595" s="92"/>
      <c r="F595" s="94"/>
    </row>
    <row r="596" spans="1:6" x14ac:dyDescent="0.25">
      <c r="A596" s="86"/>
      <c r="B596" s="86"/>
      <c r="C596" s="88"/>
      <c r="D596" s="91"/>
      <c r="E596" s="92"/>
      <c r="F596" s="94"/>
    </row>
    <row r="597" spans="1:6" x14ac:dyDescent="0.25">
      <c r="A597" s="86"/>
      <c r="B597" s="86"/>
      <c r="C597" s="88"/>
      <c r="D597" s="91"/>
      <c r="E597" s="92"/>
      <c r="F597" s="94"/>
    </row>
    <row r="598" spans="1:6" x14ac:dyDescent="0.25">
      <c r="A598" s="86"/>
      <c r="B598" s="86"/>
      <c r="C598" s="88"/>
      <c r="D598" s="91"/>
      <c r="E598" s="92"/>
      <c r="F598" s="94"/>
    </row>
    <row r="599" spans="1:6" x14ac:dyDescent="0.25">
      <c r="A599" s="86"/>
      <c r="B599" s="86"/>
      <c r="C599" s="88"/>
      <c r="D599" s="91"/>
      <c r="E599" s="92"/>
      <c r="F599" s="94"/>
    </row>
    <row r="600" spans="1:6" x14ac:dyDescent="0.25">
      <c r="A600" s="86"/>
      <c r="B600" s="86"/>
      <c r="C600" s="88"/>
      <c r="D600" s="91"/>
      <c r="E600" s="92"/>
      <c r="F600" s="94"/>
    </row>
    <row r="601" spans="1:6" x14ac:dyDescent="0.25">
      <c r="A601" s="86"/>
      <c r="B601" s="86"/>
      <c r="C601" s="88"/>
      <c r="D601" s="91"/>
      <c r="E601" s="92"/>
      <c r="F601" s="94"/>
    </row>
    <row r="602" spans="1:6" x14ac:dyDescent="0.25">
      <c r="A602" s="86"/>
      <c r="B602" s="86"/>
      <c r="C602" s="88"/>
      <c r="D602" s="91"/>
      <c r="E602" s="92"/>
      <c r="F602" s="94"/>
    </row>
    <row r="603" spans="1:6" x14ac:dyDescent="0.25">
      <c r="A603" s="86"/>
      <c r="B603" s="86"/>
      <c r="C603" s="88"/>
      <c r="D603" s="91"/>
      <c r="E603" s="92"/>
      <c r="F603" s="94"/>
    </row>
    <row r="604" spans="1:6" x14ac:dyDescent="0.25">
      <c r="A604" s="86"/>
      <c r="B604" s="86"/>
      <c r="C604" s="88"/>
      <c r="D604" s="91"/>
      <c r="E604" s="92"/>
      <c r="F604" s="94"/>
    </row>
    <row r="605" spans="1:6" x14ac:dyDescent="0.25">
      <c r="A605" s="86"/>
      <c r="B605" s="86"/>
      <c r="C605" s="88"/>
      <c r="D605" s="91"/>
      <c r="E605" s="92"/>
      <c r="F605" s="94"/>
    </row>
    <row r="606" spans="1:6" x14ac:dyDescent="0.25">
      <c r="A606" s="86"/>
      <c r="B606" s="86"/>
      <c r="C606" s="88"/>
      <c r="D606" s="91"/>
      <c r="E606" s="92"/>
      <c r="F606" s="94"/>
    </row>
    <row r="607" spans="1:6" x14ac:dyDescent="0.25">
      <c r="A607" s="86"/>
      <c r="B607" s="86"/>
      <c r="C607" s="88"/>
      <c r="D607" s="91"/>
      <c r="E607" s="92"/>
      <c r="F607" s="94"/>
    </row>
    <row r="608" spans="1:6" x14ac:dyDescent="0.25">
      <c r="A608" s="86"/>
      <c r="B608" s="86"/>
      <c r="C608" s="88"/>
      <c r="D608" s="91"/>
      <c r="E608" s="92"/>
      <c r="F608" s="94"/>
    </row>
    <row r="609" spans="1:6" x14ac:dyDescent="0.25">
      <c r="A609" s="86"/>
      <c r="B609" s="86"/>
      <c r="C609" s="88"/>
      <c r="D609" s="91"/>
      <c r="E609" s="92"/>
      <c r="F609" s="94"/>
    </row>
    <row r="610" spans="1:6" x14ac:dyDescent="0.25">
      <c r="A610" s="86"/>
      <c r="B610" s="86"/>
      <c r="C610" s="88"/>
      <c r="D610" s="91"/>
      <c r="E610" s="92"/>
      <c r="F610" s="94"/>
    </row>
    <row r="611" spans="1:6" x14ac:dyDescent="0.25">
      <c r="A611" s="86"/>
      <c r="B611" s="86"/>
      <c r="C611" s="88"/>
      <c r="D611" s="91"/>
      <c r="E611" s="92"/>
      <c r="F611" s="94"/>
    </row>
    <row r="612" spans="1:6" x14ac:dyDescent="0.25">
      <c r="A612" s="86"/>
      <c r="B612" s="86"/>
      <c r="C612" s="88"/>
      <c r="D612" s="91"/>
      <c r="E612" s="92"/>
      <c r="F612" s="94"/>
    </row>
    <row r="613" spans="1:6" x14ac:dyDescent="0.25">
      <c r="A613" s="86"/>
      <c r="B613" s="86"/>
      <c r="C613" s="88"/>
      <c r="D613" s="91"/>
      <c r="E613" s="92"/>
      <c r="F613" s="94"/>
    </row>
    <row r="614" spans="1:6" x14ac:dyDescent="0.25">
      <c r="A614" s="86"/>
      <c r="B614" s="86"/>
      <c r="C614" s="88"/>
      <c r="D614" s="91"/>
      <c r="E614" s="92"/>
      <c r="F614" s="94"/>
    </row>
    <row r="615" spans="1:6" x14ac:dyDescent="0.25">
      <c r="A615" s="86"/>
      <c r="B615" s="86"/>
      <c r="C615" s="88"/>
      <c r="D615" s="91"/>
      <c r="E615" s="92"/>
      <c r="F615" s="94"/>
    </row>
    <row r="616" spans="1:6" x14ac:dyDescent="0.25">
      <c r="A616" s="86"/>
      <c r="B616" s="86"/>
      <c r="C616" s="88"/>
      <c r="D616" s="91"/>
      <c r="E616" s="92"/>
      <c r="F616" s="94"/>
    </row>
    <row r="617" spans="1:6" x14ac:dyDescent="0.25">
      <c r="A617" s="86"/>
      <c r="B617" s="86"/>
      <c r="C617" s="88"/>
      <c r="D617" s="91"/>
      <c r="E617" s="92"/>
      <c r="F617" s="94"/>
    </row>
    <row r="618" spans="1:6" x14ac:dyDescent="0.25">
      <c r="A618" s="86"/>
      <c r="B618" s="86"/>
      <c r="C618" s="88"/>
      <c r="D618" s="91"/>
      <c r="E618" s="92"/>
      <c r="F618" s="94"/>
    </row>
    <row r="619" spans="1:6" x14ac:dyDescent="0.25">
      <c r="A619" s="86"/>
      <c r="B619" s="86"/>
      <c r="C619" s="88"/>
      <c r="D619" s="91"/>
      <c r="E619" s="92"/>
      <c r="F619" s="94"/>
    </row>
    <row r="620" spans="1:6" x14ac:dyDescent="0.25">
      <c r="A620" s="86"/>
      <c r="B620" s="86"/>
      <c r="C620" s="88"/>
      <c r="D620" s="91"/>
      <c r="E620" s="92"/>
      <c r="F620" s="94"/>
    </row>
    <row r="621" spans="1:6" x14ac:dyDescent="0.25">
      <c r="A621" s="86"/>
      <c r="B621" s="86"/>
      <c r="C621" s="88"/>
      <c r="D621" s="91"/>
      <c r="E621" s="92"/>
      <c r="F621" s="94"/>
    </row>
    <row r="622" spans="1:6" x14ac:dyDescent="0.25">
      <c r="A622" s="86"/>
      <c r="B622" s="86"/>
      <c r="C622" s="88"/>
      <c r="D622" s="91"/>
      <c r="E622" s="92"/>
      <c r="F622" s="94"/>
    </row>
    <row r="623" spans="1:6" x14ac:dyDescent="0.25">
      <c r="A623" s="86"/>
      <c r="B623" s="86"/>
      <c r="C623" s="88"/>
      <c r="D623" s="91"/>
      <c r="E623" s="92"/>
      <c r="F623" s="94"/>
    </row>
    <row r="624" spans="1:6" x14ac:dyDescent="0.25">
      <c r="A624" s="86"/>
      <c r="B624" s="86"/>
      <c r="C624" s="88"/>
      <c r="D624" s="91"/>
      <c r="E624" s="92"/>
      <c r="F624" s="94"/>
    </row>
    <row r="625" spans="1:6" x14ac:dyDescent="0.25">
      <c r="A625" s="86"/>
      <c r="B625" s="86"/>
      <c r="C625" s="88"/>
      <c r="D625" s="91"/>
      <c r="E625" s="92"/>
      <c r="F625" s="94"/>
    </row>
    <row r="626" spans="1:6" x14ac:dyDescent="0.25">
      <c r="A626" s="86"/>
      <c r="B626" s="86"/>
      <c r="C626" s="88"/>
      <c r="D626" s="91"/>
      <c r="E626" s="92"/>
      <c r="F626" s="94"/>
    </row>
    <row r="627" spans="1:6" x14ac:dyDescent="0.25">
      <c r="A627" s="86"/>
      <c r="B627" s="86"/>
      <c r="C627" s="88"/>
      <c r="D627" s="91"/>
      <c r="E627" s="92"/>
      <c r="F627" s="94"/>
    </row>
    <row r="628" spans="1:6" x14ac:dyDescent="0.25">
      <c r="A628" s="86"/>
      <c r="B628" s="86"/>
      <c r="C628" s="88"/>
      <c r="D628" s="91"/>
      <c r="E628" s="92"/>
      <c r="F628" s="94"/>
    </row>
    <row r="629" spans="1:6" x14ac:dyDescent="0.25">
      <c r="A629" s="86"/>
      <c r="B629" s="86"/>
      <c r="C629" s="88"/>
      <c r="D629" s="91"/>
      <c r="E629" s="92"/>
      <c r="F629" s="94"/>
    </row>
    <row r="630" spans="1:6" x14ac:dyDescent="0.25">
      <c r="A630" s="86"/>
      <c r="B630" s="86"/>
      <c r="C630" s="88"/>
      <c r="D630" s="91"/>
      <c r="E630" s="92"/>
      <c r="F630" s="94"/>
    </row>
    <row r="631" spans="1:6" x14ac:dyDescent="0.25">
      <c r="A631" s="86"/>
      <c r="B631" s="86"/>
      <c r="C631" s="88"/>
      <c r="D631" s="91"/>
      <c r="E631" s="92"/>
      <c r="F631" s="94"/>
    </row>
    <row r="632" spans="1:6" x14ac:dyDescent="0.25">
      <c r="A632" s="86"/>
      <c r="B632" s="86"/>
      <c r="C632" s="88"/>
      <c r="D632" s="91"/>
      <c r="E632" s="92"/>
      <c r="F632" s="94"/>
    </row>
    <row r="633" spans="1:6" x14ac:dyDescent="0.25">
      <c r="A633" s="86"/>
      <c r="B633" s="86"/>
      <c r="C633" s="88"/>
      <c r="D633" s="91"/>
      <c r="E633" s="92"/>
      <c r="F633" s="94"/>
    </row>
    <row r="634" spans="1:6" x14ac:dyDescent="0.25">
      <c r="A634" s="86"/>
      <c r="B634" s="86"/>
      <c r="C634" s="88"/>
      <c r="D634" s="91"/>
      <c r="E634" s="92"/>
      <c r="F634" s="94"/>
    </row>
    <row r="635" spans="1:6" x14ac:dyDescent="0.25">
      <c r="A635" s="86"/>
      <c r="B635" s="86"/>
      <c r="C635" s="88"/>
      <c r="D635" s="91"/>
      <c r="E635" s="92"/>
      <c r="F635" s="94"/>
    </row>
    <row r="636" spans="1:6" x14ac:dyDescent="0.25">
      <c r="A636" s="86"/>
      <c r="B636" s="86"/>
      <c r="C636" s="88"/>
      <c r="D636" s="91"/>
      <c r="E636" s="92"/>
      <c r="F636" s="94"/>
    </row>
    <row r="637" spans="1:6" x14ac:dyDescent="0.25">
      <c r="A637" s="86"/>
      <c r="B637" s="86"/>
      <c r="C637" s="88"/>
      <c r="D637" s="91"/>
      <c r="E637" s="92"/>
      <c r="F637" s="94"/>
    </row>
    <row r="638" spans="1:6" x14ac:dyDescent="0.25">
      <c r="A638" s="86"/>
      <c r="B638" s="86"/>
      <c r="C638" s="88"/>
      <c r="D638" s="91"/>
      <c r="E638" s="92"/>
      <c r="F638" s="94"/>
    </row>
    <row r="639" spans="1:6" x14ac:dyDescent="0.25">
      <c r="A639" s="86"/>
      <c r="B639" s="86"/>
      <c r="C639" s="88"/>
      <c r="D639" s="91"/>
      <c r="E639" s="92"/>
      <c r="F639" s="94"/>
    </row>
    <row r="640" spans="1:6" x14ac:dyDescent="0.25">
      <c r="A640" s="86"/>
      <c r="B640" s="86"/>
      <c r="C640" s="88"/>
      <c r="D640" s="91"/>
      <c r="E640" s="92"/>
      <c r="F640" s="94"/>
    </row>
    <row r="641" spans="1:6" x14ac:dyDescent="0.25">
      <c r="A641" s="86"/>
      <c r="B641" s="86"/>
      <c r="C641" s="88"/>
      <c r="D641" s="91"/>
      <c r="E641" s="92"/>
      <c r="F641" s="94"/>
    </row>
    <row r="642" spans="1:6" x14ac:dyDescent="0.25">
      <c r="A642" s="86"/>
      <c r="B642" s="86"/>
      <c r="C642" s="88"/>
      <c r="D642" s="91"/>
      <c r="E642" s="92"/>
      <c r="F642" s="94"/>
    </row>
    <row r="643" spans="1:6" x14ac:dyDescent="0.25">
      <c r="A643" s="86"/>
      <c r="B643" s="86"/>
      <c r="C643" s="88"/>
      <c r="D643" s="91"/>
      <c r="E643" s="92"/>
      <c r="F643" s="94"/>
    </row>
    <row r="644" spans="1:6" x14ac:dyDescent="0.25">
      <c r="A644" s="86"/>
      <c r="B644" s="86"/>
      <c r="C644" s="88"/>
      <c r="D644" s="91"/>
      <c r="E644" s="92"/>
      <c r="F644" s="94"/>
    </row>
    <row r="645" spans="1:6" x14ac:dyDescent="0.25">
      <c r="A645" s="86"/>
      <c r="B645" s="86"/>
      <c r="C645" s="88"/>
      <c r="D645" s="91"/>
      <c r="E645" s="92"/>
      <c r="F645" s="94"/>
    </row>
    <row r="646" spans="1:6" x14ac:dyDescent="0.25">
      <c r="A646" s="86"/>
      <c r="B646" s="86"/>
      <c r="C646" s="88"/>
      <c r="D646" s="91"/>
      <c r="E646" s="92"/>
      <c r="F646" s="94"/>
    </row>
    <row r="647" spans="1:6" x14ac:dyDescent="0.25">
      <c r="A647" s="86"/>
      <c r="B647" s="86"/>
      <c r="C647" s="88"/>
      <c r="D647" s="91"/>
      <c r="E647" s="92"/>
      <c r="F647" s="94"/>
    </row>
    <row r="648" spans="1:6" x14ac:dyDescent="0.25">
      <c r="A648" s="86"/>
      <c r="B648" s="86"/>
      <c r="C648" s="88"/>
      <c r="D648" s="91"/>
      <c r="E648" s="92"/>
      <c r="F648" s="94"/>
    </row>
    <row r="649" spans="1:6" x14ac:dyDescent="0.25">
      <c r="A649" s="86"/>
      <c r="B649" s="86"/>
      <c r="C649" s="88"/>
      <c r="D649" s="91"/>
      <c r="E649" s="92"/>
      <c r="F649" s="94"/>
    </row>
    <row r="650" spans="1:6" x14ac:dyDescent="0.25">
      <c r="A650" s="86"/>
      <c r="B650" s="86"/>
      <c r="C650" s="88"/>
      <c r="D650" s="91"/>
      <c r="E650" s="92"/>
      <c r="F650" s="94"/>
    </row>
    <row r="651" spans="1:6" x14ac:dyDescent="0.25">
      <c r="A651" s="86"/>
      <c r="B651" s="86"/>
      <c r="C651" s="88"/>
      <c r="D651" s="91"/>
      <c r="E651" s="92"/>
      <c r="F651" s="94"/>
    </row>
    <row r="652" spans="1:6" x14ac:dyDescent="0.25">
      <c r="A652" s="86"/>
      <c r="B652" s="86"/>
      <c r="C652" s="88"/>
      <c r="D652" s="91"/>
      <c r="E652" s="92"/>
      <c r="F652" s="94"/>
    </row>
    <row r="653" spans="1:6" x14ac:dyDescent="0.25">
      <c r="A653" s="86"/>
      <c r="B653" s="86"/>
      <c r="C653" s="88"/>
      <c r="D653" s="91"/>
      <c r="E653" s="92"/>
      <c r="F653" s="94"/>
    </row>
    <row r="654" spans="1:6" x14ac:dyDescent="0.25">
      <c r="A654" s="86"/>
      <c r="B654" s="86"/>
      <c r="C654" s="88"/>
      <c r="D654" s="91"/>
      <c r="E654" s="92"/>
      <c r="F654" s="94"/>
    </row>
    <row r="655" spans="1:6" x14ac:dyDescent="0.25">
      <c r="A655" s="86"/>
      <c r="B655" s="86"/>
      <c r="C655" s="88"/>
      <c r="D655" s="91"/>
      <c r="E655" s="92"/>
      <c r="F655" s="94"/>
    </row>
    <row r="656" spans="1:6" x14ac:dyDescent="0.25">
      <c r="A656" s="86"/>
      <c r="B656" s="86"/>
      <c r="C656" s="88"/>
      <c r="D656" s="91"/>
      <c r="E656" s="92"/>
      <c r="F656" s="94"/>
    </row>
    <row r="657" spans="1:6" x14ac:dyDescent="0.25">
      <c r="A657" s="86"/>
      <c r="B657" s="86"/>
      <c r="C657" s="88"/>
      <c r="D657" s="91"/>
      <c r="E657" s="92"/>
      <c r="F657" s="94"/>
    </row>
    <row r="658" spans="1:6" x14ac:dyDescent="0.25">
      <c r="A658" s="86"/>
      <c r="B658" s="86"/>
      <c r="C658" s="88"/>
      <c r="D658" s="91"/>
      <c r="E658" s="92"/>
      <c r="F658" s="94"/>
    </row>
    <row r="659" spans="1:6" x14ac:dyDescent="0.25">
      <c r="A659" s="86"/>
      <c r="B659" s="86"/>
      <c r="C659" s="88"/>
      <c r="D659" s="91"/>
      <c r="E659" s="92"/>
      <c r="F659" s="94"/>
    </row>
    <row r="660" spans="1:6" x14ac:dyDescent="0.25">
      <c r="A660" s="86"/>
      <c r="B660" s="86"/>
      <c r="C660" s="88"/>
      <c r="D660" s="91"/>
      <c r="E660" s="92"/>
      <c r="F660" s="94"/>
    </row>
    <row r="661" spans="1:6" x14ac:dyDescent="0.25">
      <c r="A661" s="86"/>
      <c r="B661" s="86"/>
      <c r="C661" s="88"/>
      <c r="D661" s="91"/>
      <c r="E661" s="92"/>
      <c r="F661" s="94"/>
    </row>
    <row r="662" spans="1:6" x14ac:dyDescent="0.25">
      <c r="A662" s="86"/>
      <c r="B662" s="86"/>
      <c r="C662" s="88"/>
      <c r="D662" s="91"/>
      <c r="E662" s="92"/>
      <c r="F662" s="94"/>
    </row>
    <row r="663" spans="1:6" x14ac:dyDescent="0.25">
      <c r="A663" s="86"/>
      <c r="B663" s="86"/>
      <c r="C663" s="88"/>
      <c r="D663" s="91"/>
      <c r="E663" s="92"/>
      <c r="F663" s="94"/>
    </row>
    <row r="664" spans="1:6" x14ac:dyDescent="0.25">
      <c r="A664" s="86"/>
      <c r="B664" s="86"/>
      <c r="C664" s="88"/>
      <c r="D664" s="91"/>
      <c r="E664" s="92"/>
      <c r="F664" s="94"/>
    </row>
    <row r="665" spans="1:6" x14ac:dyDescent="0.25">
      <c r="A665" s="86"/>
      <c r="B665" s="86"/>
      <c r="C665" s="88"/>
      <c r="D665" s="91"/>
      <c r="E665" s="92"/>
      <c r="F665" s="94"/>
    </row>
    <row r="666" spans="1:6" x14ac:dyDescent="0.25">
      <c r="A666" s="86"/>
      <c r="B666" s="86"/>
      <c r="C666" s="88"/>
      <c r="D666" s="91"/>
      <c r="E666" s="92"/>
      <c r="F666" s="94"/>
    </row>
    <row r="667" spans="1:6" x14ac:dyDescent="0.25">
      <c r="A667" s="86"/>
      <c r="B667" s="86"/>
      <c r="C667" s="88"/>
      <c r="D667" s="91"/>
      <c r="E667" s="92"/>
      <c r="F667" s="94"/>
    </row>
    <row r="668" spans="1:6" x14ac:dyDescent="0.25">
      <c r="A668" s="86"/>
      <c r="B668" s="86"/>
      <c r="C668" s="88"/>
      <c r="D668" s="91"/>
      <c r="E668" s="92"/>
      <c r="F668" s="94"/>
    </row>
    <row r="669" spans="1:6" x14ac:dyDescent="0.25">
      <c r="A669" s="86"/>
      <c r="B669" s="86"/>
      <c r="C669" s="88"/>
      <c r="D669" s="91"/>
      <c r="E669" s="92"/>
      <c r="F669" s="94"/>
    </row>
    <row r="670" spans="1:6" x14ac:dyDescent="0.25">
      <c r="A670" s="86"/>
      <c r="B670" s="86"/>
      <c r="C670" s="88"/>
      <c r="D670" s="91"/>
      <c r="E670" s="92"/>
      <c r="F670" s="94"/>
    </row>
    <row r="671" spans="1:6" x14ac:dyDescent="0.25">
      <c r="A671" s="86"/>
      <c r="B671" s="86"/>
      <c r="C671" s="88"/>
      <c r="D671" s="91"/>
      <c r="E671" s="92"/>
      <c r="F671" s="94"/>
    </row>
    <row r="672" spans="1:6" x14ac:dyDescent="0.25">
      <c r="A672" s="86"/>
      <c r="B672" s="86"/>
      <c r="C672" s="88"/>
      <c r="D672" s="91"/>
      <c r="E672" s="92"/>
      <c r="F672" s="94"/>
    </row>
    <row r="673" spans="1:6" x14ac:dyDescent="0.25">
      <c r="A673" s="86"/>
      <c r="B673" s="86"/>
      <c r="C673" s="88"/>
      <c r="D673" s="91"/>
      <c r="E673" s="92"/>
      <c r="F673" s="94"/>
    </row>
    <row r="674" spans="1:6" x14ac:dyDescent="0.25">
      <c r="A674" s="86"/>
      <c r="B674" s="86"/>
      <c r="C674" s="88"/>
      <c r="D674" s="91"/>
      <c r="E674" s="92"/>
      <c r="F674" s="94"/>
    </row>
    <row r="675" spans="1:6" x14ac:dyDescent="0.25">
      <c r="A675" s="86"/>
      <c r="B675" s="86"/>
      <c r="C675" s="88"/>
      <c r="D675" s="91"/>
      <c r="E675" s="92"/>
      <c r="F675" s="94"/>
    </row>
    <row r="676" spans="1:6" x14ac:dyDescent="0.25">
      <c r="A676" s="86"/>
      <c r="B676" s="86"/>
      <c r="C676" s="88"/>
      <c r="D676" s="91"/>
      <c r="E676" s="92"/>
      <c r="F676" s="94"/>
    </row>
    <row r="677" spans="1:6" x14ac:dyDescent="0.25">
      <c r="A677" s="86"/>
      <c r="B677" s="86"/>
      <c r="C677" s="88"/>
      <c r="D677" s="91"/>
      <c r="E677" s="92"/>
      <c r="F677" s="94"/>
    </row>
    <row r="678" spans="1:6" x14ac:dyDescent="0.25">
      <c r="A678" s="86"/>
      <c r="B678" s="86"/>
      <c r="C678" s="88"/>
      <c r="D678" s="91"/>
      <c r="E678" s="92"/>
      <c r="F678" s="94"/>
    </row>
    <row r="679" spans="1:6" x14ac:dyDescent="0.25">
      <c r="A679" s="86"/>
      <c r="B679" s="86"/>
      <c r="C679" s="88"/>
      <c r="D679" s="91"/>
      <c r="E679" s="92"/>
      <c r="F679" s="94"/>
    </row>
    <row r="680" spans="1:6" x14ac:dyDescent="0.25">
      <c r="A680" s="86"/>
      <c r="B680" s="86"/>
      <c r="C680" s="88"/>
      <c r="D680" s="91"/>
      <c r="E680" s="92"/>
      <c r="F680" s="94"/>
    </row>
    <row r="681" spans="1:6" x14ac:dyDescent="0.25">
      <c r="A681" s="86"/>
      <c r="B681" s="86"/>
      <c r="C681" s="88"/>
      <c r="D681" s="91"/>
      <c r="E681" s="92"/>
      <c r="F681" s="94"/>
    </row>
    <row r="682" spans="1:6" x14ac:dyDescent="0.25">
      <c r="A682" s="86"/>
      <c r="B682" s="86"/>
      <c r="C682" s="88"/>
      <c r="D682" s="91"/>
      <c r="E682" s="92"/>
      <c r="F682" s="94"/>
    </row>
    <row r="683" spans="1:6" x14ac:dyDescent="0.25">
      <c r="A683" s="86"/>
      <c r="B683" s="86"/>
      <c r="C683" s="88"/>
      <c r="D683" s="91"/>
      <c r="E683" s="92"/>
      <c r="F683" s="94"/>
    </row>
    <row r="684" spans="1:6" x14ac:dyDescent="0.25">
      <c r="A684" s="86"/>
      <c r="B684" s="86"/>
      <c r="C684" s="88"/>
      <c r="D684" s="91"/>
      <c r="E684" s="92"/>
      <c r="F684" s="94"/>
    </row>
    <row r="685" spans="1:6" x14ac:dyDescent="0.25">
      <c r="A685" s="86"/>
      <c r="B685" s="86"/>
      <c r="C685" s="88"/>
      <c r="D685" s="91"/>
      <c r="E685" s="92"/>
      <c r="F685" s="94"/>
    </row>
    <row r="686" spans="1:6" x14ac:dyDescent="0.25">
      <c r="A686" s="86"/>
      <c r="B686" s="86"/>
      <c r="C686" s="88"/>
      <c r="D686" s="91"/>
      <c r="E686" s="92"/>
      <c r="F686" s="94"/>
    </row>
    <row r="687" spans="1:6" x14ac:dyDescent="0.25">
      <c r="A687" s="86"/>
      <c r="B687" s="86"/>
      <c r="C687" s="88"/>
      <c r="D687" s="91"/>
      <c r="E687" s="92"/>
      <c r="F687" s="94"/>
    </row>
    <row r="688" spans="1:6" x14ac:dyDescent="0.25">
      <c r="A688" s="86"/>
      <c r="B688" s="86"/>
      <c r="C688" s="88"/>
      <c r="D688" s="91"/>
      <c r="E688" s="92"/>
      <c r="F688" s="94"/>
    </row>
    <row r="689" spans="1:6" x14ac:dyDescent="0.25">
      <c r="A689" s="86"/>
      <c r="B689" s="86"/>
      <c r="C689" s="88"/>
      <c r="D689" s="91"/>
      <c r="E689" s="92"/>
      <c r="F689" s="94"/>
    </row>
    <row r="690" spans="1:6" x14ac:dyDescent="0.25">
      <c r="A690" s="86"/>
      <c r="B690" s="86"/>
      <c r="C690" s="88"/>
      <c r="D690" s="91"/>
      <c r="E690" s="92"/>
      <c r="F690" s="94"/>
    </row>
    <row r="691" spans="1:6" x14ac:dyDescent="0.25">
      <c r="A691" s="86"/>
      <c r="B691" s="86"/>
      <c r="C691" s="88"/>
      <c r="D691" s="91"/>
      <c r="E691" s="92"/>
      <c r="F691" s="94"/>
    </row>
    <row r="692" spans="1:6" x14ac:dyDescent="0.25">
      <c r="A692" s="86"/>
      <c r="B692" s="86"/>
      <c r="C692" s="88"/>
      <c r="D692" s="91"/>
      <c r="E692" s="92"/>
      <c r="F692" s="94"/>
    </row>
    <row r="693" spans="1:6" x14ac:dyDescent="0.25">
      <c r="A693" s="86"/>
      <c r="B693" s="86"/>
      <c r="C693" s="88"/>
      <c r="D693" s="91"/>
      <c r="E693" s="92"/>
      <c r="F693" s="94"/>
    </row>
    <row r="694" spans="1:6" x14ac:dyDescent="0.25">
      <c r="A694" s="86"/>
      <c r="B694" s="86"/>
      <c r="C694" s="88"/>
      <c r="D694" s="91"/>
      <c r="E694" s="92"/>
      <c r="F694" s="94"/>
    </row>
    <row r="695" spans="1:6" x14ac:dyDescent="0.25">
      <c r="A695" s="86"/>
      <c r="B695" s="86"/>
      <c r="C695" s="88"/>
      <c r="D695" s="91"/>
      <c r="E695" s="92"/>
      <c r="F695" s="94"/>
    </row>
    <row r="696" spans="1:6" x14ac:dyDescent="0.25">
      <c r="A696" s="86"/>
      <c r="B696" s="86"/>
      <c r="C696" s="88"/>
      <c r="D696" s="91"/>
      <c r="E696" s="92"/>
      <c r="F696" s="94"/>
    </row>
    <row r="697" spans="1:6" x14ac:dyDescent="0.25">
      <c r="A697" s="86"/>
      <c r="B697" s="86"/>
      <c r="C697" s="88"/>
      <c r="D697" s="91"/>
      <c r="E697" s="92"/>
      <c r="F697" s="94"/>
    </row>
    <row r="698" spans="1:6" x14ac:dyDescent="0.25">
      <c r="A698" s="86"/>
      <c r="B698" s="86"/>
      <c r="C698" s="88"/>
      <c r="D698" s="91"/>
      <c r="E698" s="92"/>
      <c r="F698" s="94"/>
    </row>
    <row r="699" spans="1:6" x14ac:dyDescent="0.25">
      <c r="A699" s="86"/>
      <c r="B699" s="86"/>
      <c r="C699" s="88"/>
      <c r="D699" s="91"/>
      <c r="E699" s="92"/>
      <c r="F699" s="94"/>
    </row>
    <row r="700" spans="1:6" x14ac:dyDescent="0.25">
      <c r="A700" s="86"/>
      <c r="B700" s="86"/>
      <c r="C700" s="88"/>
      <c r="D700" s="91"/>
      <c r="E700" s="92"/>
      <c r="F700" s="94"/>
    </row>
    <row r="701" spans="1:6" x14ac:dyDescent="0.25">
      <c r="A701" s="86"/>
      <c r="B701" s="86"/>
      <c r="C701" s="88"/>
      <c r="D701" s="91"/>
      <c r="E701" s="92"/>
      <c r="F701" s="94"/>
    </row>
    <row r="702" spans="1:6" x14ac:dyDescent="0.25">
      <c r="A702" s="86"/>
      <c r="B702" s="86"/>
      <c r="C702" s="88"/>
      <c r="D702" s="91"/>
      <c r="E702" s="92"/>
      <c r="F702" s="94"/>
    </row>
    <row r="703" spans="1:6" x14ac:dyDescent="0.25">
      <c r="A703" s="86"/>
      <c r="B703" s="86"/>
      <c r="C703" s="88"/>
      <c r="D703" s="91"/>
      <c r="E703" s="92"/>
      <c r="F703" s="94"/>
    </row>
    <row r="704" spans="1:6" x14ac:dyDescent="0.25">
      <c r="A704" s="86"/>
      <c r="B704" s="86"/>
      <c r="C704" s="88"/>
      <c r="D704" s="91"/>
      <c r="E704" s="92"/>
      <c r="F704" s="94"/>
    </row>
    <row r="705" spans="1:6" x14ac:dyDescent="0.25">
      <c r="A705" s="86"/>
      <c r="B705" s="86"/>
      <c r="C705" s="88"/>
      <c r="D705" s="91"/>
      <c r="E705" s="92"/>
      <c r="F705" s="94"/>
    </row>
    <row r="706" spans="1:6" x14ac:dyDescent="0.25">
      <c r="A706" s="86"/>
      <c r="B706" s="86"/>
      <c r="C706" s="88"/>
      <c r="D706" s="91"/>
      <c r="E706" s="92"/>
      <c r="F706" s="94"/>
    </row>
    <row r="707" spans="1:6" x14ac:dyDescent="0.25">
      <c r="A707" s="86"/>
      <c r="B707" s="86"/>
      <c r="C707" s="88"/>
      <c r="D707" s="91"/>
      <c r="E707" s="92"/>
      <c r="F707" s="94"/>
    </row>
    <row r="708" spans="1:6" x14ac:dyDescent="0.25">
      <c r="A708" s="86"/>
      <c r="B708" s="86"/>
      <c r="C708" s="88"/>
      <c r="D708" s="91"/>
      <c r="E708" s="92"/>
      <c r="F708" s="94"/>
    </row>
    <row r="709" spans="1:6" x14ac:dyDescent="0.25">
      <c r="A709" s="86"/>
      <c r="B709" s="86"/>
      <c r="C709" s="88"/>
      <c r="D709" s="91"/>
      <c r="E709" s="92"/>
      <c r="F709" s="94"/>
    </row>
    <row r="710" spans="1:6" x14ac:dyDescent="0.25">
      <c r="A710" s="86"/>
      <c r="B710" s="86"/>
      <c r="C710" s="88"/>
      <c r="D710" s="91"/>
      <c r="E710" s="92"/>
      <c r="F710" s="94"/>
    </row>
    <row r="711" spans="1:6" x14ac:dyDescent="0.25">
      <c r="A711" s="86"/>
      <c r="B711" s="86"/>
      <c r="C711" s="88"/>
      <c r="D711" s="91"/>
      <c r="E711" s="92"/>
      <c r="F711" s="94"/>
    </row>
    <row r="712" spans="1:6" x14ac:dyDescent="0.25">
      <c r="A712" s="86"/>
      <c r="B712" s="86"/>
      <c r="C712" s="88"/>
      <c r="D712" s="91"/>
      <c r="E712" s="92"/>
      <c r="F712" s="94"/>
    </row>
    <row r="713" spans="1:6" x14ac:dyDescent="0.25">
      <c r="A713" s="86"/>
      <c r="B713" s="86"/>
      <c r="C713" s="88"/>
      <c r="D713" s="91"/>
      <c r="E713" s="92"/>
      <c r="F713" s="94"/>
    </row>
    <row r="714" spans="1:6" x14ac:dyDescent="0.25">
      <c r="A714" s="86"/>
      <c r="B714" s="86"/>
      <c r="C714" s="88"/>
      <c r="D714" s="91"/>
      <c r="E714" s="92"/>
      <c r="F714" s="94"/>
    </row>
    <row r="715" spans="1:6" x14ac:dyDescent="0.25">
      <c r="A715" s="86"/>
      <c r="B715" s="86"/>
      <c r="C715" s="88"/>
      <c r="D715" s="91"/>
      <c r="E715" s="92"/>
      <c r="F715" s="94"/>
    </row>
    <row r="716" spans="1:6" x14ac:dyDescent="0.25">
      <c r="A716" s="86"/>
      <c r="B716" s="86"/>
      <c r="C716" s="88"/>
      <c r="D716" s="91"/>
      <c r="E716" s="92"/>
      <c r="F716" s="94"/>
    </row>
    <row r="717" spans="1:6" x14ac:dyDescent="0.25">
      <c r="A717" s="86"/>
      <c r="B717" s="86"/>
      <c r="C717" s="88"/>
      <c r="D717" s="91"/>
      <c r="E717" s="92"/>
      <c r="F717" s="94"/>
    </row>
    <row r="718" spans="1:6" x14ac:dyDescent="0.25">
      <c r="A718" s="86"/>
      <c r="B718" s="86"/>
      <c r="C718" s="88"/>
      <c r="D718" s="91"/>
      <c r="E718" s="92"/>
      <c r="F718" s="94"/>
    </row>
    <row r="719" spans="1:6" x14ac:dyDescent="0.25">
      <c r="A719" s="86"/>
      <c r="B719" s="86"/>
      <c r="C719" s="88"/>
      <c r="D719" s="91"/>
      <c r="E719" s="92"/>
      <c r="F719" s="94"/>
    </row>
    <row r="720" spans="1:6" x14ac:dyDescent="0.25">
      <c r="A720" s="86"/>
      <c r="B720" s="86"/>
      <c r="C720" s="88"/>
      <c r="D720" s="91"/>
      <c r="E720" s="92"/>
      <c r="F720" s="94"/>
    </row>
    <row r="721" spans="1:6" x14ac:dyDescent="0.25">
      <c r="A721" s="86"/>
      <c r="B721" s="86"/>
      <c r="C721" s="88"/>
      <c r="D721" s="91"/>
      <c r="E721" s="92"/>
      <c r="F721" s="94"/>
    </row>
    <row r="722" spans="1:6" x14ac:dyDescent="0.25">
      <c r="A722" s="86"/>
      <c r="B722" s="86"/>
      <c r="C722" s="88"/>
      <c r="D722" s="91"/>
      <c r="E722" s="92"/>
      <c r="F722" s="94"/>
    </row>
    <row r="723" spans="1:6" x14ac:dyDescent="0.25">
      <c r="A723" s="86"/>
      <c r="B723" s="86"/>
      <c r="C723" s="88"/>
      <c r="D723" s="91"/>
      <c r="E723" s="92"/>
      <c r="F723" s="94"/>
    </row>
    <row r="724" spans="1:6" x14ac:dyDescent="0.25">
      <c r="A724" s="86"/>
      <c r="B724" s="86"/>
      <c r="C724" s="88"/>
      <c r="D724" s="91"/>
      <c r="E724" s="92"/>
      <c r="F724" s="94"/>
    </row>
    <row r="725" spans="1:6" x14ac:dyDescent="0.25">
      <c r="A725" s="86"/>
      <c r="B725" s="86"/>
      <c r="C725" s="88"/>
      <c r="D725" s="91"/>
      <c r="E725" s="92"/>
      <c r="F725" s="94"/>
    </row>
    <row r="726" spans="1:6" x14ac:dyDescent="0.25">
      <c r="A726" s="86"/>
      <c r="B726" s="86"/>
      <c r="C726" s="88"/>
      <c r="D726" s="91"/>
      <c r="E726" s="92"/>
      <c r="F726" s="94"/>
    </row>
    <row r="727" spans="1:6" x14ac:dyDescent="0.25">
      <c r="A727" s="86"/>
      <c r="B727" s="86"/>
      <c r="C727" s="88"/>
      <c r="D727" s="91"/>
      <c r="E727" s="92"/>
      <c r="F727" s="94"/>
    </row>
    <row r="728" spans="1:6" x14ac:dyDescent="0.25">
      <c r="A728" s="86"/>
      <c r="B728" s="86"/>
      <c r="C728" s="88"/>
      <c r="D728" s="91"/>
      <c r="E728" s="92"/>
      <c r="F728" s="94"/>
    </row>
    <row r="729" spans="1:6" x14ac:dyDescent="0.25">
      <c r="A729" s="86"/>
      <c r="B729" s="86"/>
      <c r="C729" s="88"/>
      <c r="D729" s="91"/>
      <c r="E729" s="92"/>
      <c r="F729" s="94"/>
    </row>
    <row r="730" spans="1:6" x14ac:dyDescent="0.25">
      <c r="A730" s="86"/>
      <c r="B730" s="86"/>
      <c r="C730" s="88"/>
      <c r="D730" s="91"/>
      <c r="E730" s="92"/>
      <c r="F730" s="94"/>
    </row>
    <row r="731" spans="1:6" x14ac:dyDescent="0.25">
      <c r="A731" s="86"/>
      <c r="B731" s="86"/>
      <c r="C731" s="88"/>
      <c r="D731" s="91"/>
      <c r="E731" s="92"/>
      <c r="F731" s="94"/>
    </row>
    <row r="732" spans="1:6" x14ac:dyDescent="0.25">
      <c r="A732" s="86"/>
      <c r="B732" s="86"/>
      <c r="C732" s="88"/>
      <c r="D732" s="91"/>
      <c r="E732" s="92"/>
      <c r="F732" s="94"/>
    </row>
    <row r="733" spans="1:6" x14ac:dyDescent="0.25">
      <c r="A733" s="86"/>
      <c r="B733" s="86"/>
      <c r="C733" s="88"/>
      <c r="D733" s="91"/>
      <c r="E733" s="92"/>
      <c r="F733" s="94"/>
    </row>
    <row r="734" spans="1:6" x14ac:dyDescent="0.25">
      <c r="A734" s="86"/>
      <c r="B734" s="86"/>
      <c r="C734" s="88"/>
      <c r="D734" s="91"/>
      <c r="E734" s="92"/>
      <c r="F734" s="94"/>
    </row>
    <row r="735" spans="1:6" x14ac:dyDescent="0.25">
      <c r="A735" s="86"/>
      <c r="B735" s="86"/>
      <c r="C735" s="88"/>
      <c r="D735" s="91"/>
      <c r="E735" s="92"/>
      <c r="F735" s="94"/>
    </row>
    <row r="736" spans="1:6" x14ac:dyDescent="0.25">
      <c r="A736" s="86"/>
      <c r="B736" s="86"/>
      <c r="C736" s="88"/>
      <c r="D736" s="91"/>
      <c r="E736" s="92"/>
      <c r="F736" s="94"/>
    </row>
    <row r="737" spans="1:6" x14ac:dyDescent="0.25">
      <c r="A737" s="86"/>
      <c r="B737" s="86"/>
      <c r="C737" s="88"/>
      <c r="D737" s="91"/>
      <c r="E737" s="92"/>
      <c r="F737" s="94"/>
    </row>
    <row r="738" spans="1:6" x14ac:dyDescent="0.25">
      <c r="A738" s="86"/>
      <c r="B738" s="86"/>
      <c r="C738" s="88"/>
      <c r="D738" s="91"/>
      <c r="E738" s="92"/>
      <c r="F738" s="94"/>
    </row>
    <row r="739" spans="1:6" x14ac:dyDescent="0.25">
      <c r="A739" s="86"/>
      <c r="B739" s="86"/>
      <c r="C739" s="88"/>
      <c r="D739" s="91"/>
      <c r="E739" s="92"/>
      <c r="F739" s="94"/>
    </row>
    <row r="740" spans="1:6" x14ac:dyDescent="0.25">
      <c r="A740" s="86"/>
      <c r="B740" s="86"/>
      <c r="C740" s="88"/>
      <c r="D740" s="91"/>
      <c r="E740" s="92"/>
      <c r="F740" s="94"/>
    </row>
    <row r="741" spans="1:6" x14ac:dyDescent="0.25">
      <c r="A741" s="86"/>
      <c r="B741" s="86"/>
      <c r="C741" s="88"/>
      <c r="D741" s="91"/>
      <c r="E741" s="92"/>
      <c r="F741" s="94"/>
    </row>
    <row r="742" spans="1:6" x14ac:dyDescent="0.25">
      <c r="A742" s="86"/>
      <c r="B742" s="86"/>
      <c r="C742" s="88"/>
      <c r="D742" s="91"/>
      <c r="E742" s="92"/>
      <c r="F742" s="94"/>
    </row>
    <row r="743" spans="1:6" x14ac:dyDescent="0.25">
      <c r="A743" s="86"/>
      <c r="B743" s="86"/>
      <c r="C743" s="88"/>
      <c r="D743" s="91"/>
      <c r="E743" s="92"/>
      <c r="F743" s="94"/>
    </row>
    <row r="744" spans="1:6" x14ac:dyDescent="0.25">
      <c r="A744" s="86"/>
      <c r="B744" s="86"/>
      <c r="C744" s="88"/>
      <c r="D744" s="91"/>
      <c r="E744" s="92"/>
      <c r="F744" s="94"/>
    </row>
    <row r="745" spans="1:6" x14ac:dyDescent="0.25">
      <c r="A745" s="86"/>
      <c r="B745" s="86"/>
      <c r="C745" s="88"/>
      <c r="D745" s="91"/>
      <c r="E745" s="92"/>
      <c r="F745" s="94"/>
    </row>
    <row r="746" spans="1:6" x14ac:dyDescent="0.25">
      <c r="A746" s="86"/>
      <c r="B746" s="86"/>
      <c r="C746" s="88"/>
      <c r="D746" s="91"/>
      <c r="E746" s="92"/>
      <c r="F746" s="94"/>
    </row>
    <row r="747" spans="1:6" x14ac:dyDescent="0.25">
      <c r="A747" s="86"/>
      <c r="B747" s="86"/>
      <c r="C747" s="88"/>
      <c r="D747" s="91"/>
      <c r="E747" s="92"/>
      <c r="F747" s="94"/>
    </row>
    <row r="748" spans="1:6" x14ac:dyDescent="0.25">
      <c r="A748" s="86"/>
      <c r="B748" s="86"/>
      <c r="C748" s="88"/>
      <c r="D748" s="91"/>
      <c r="E748" s="92"/>
      <c r="F748" s="94"/>
    </row>
    <row r="749" spans="1:6" x14ac:dyDescent="0.25">
      <c r="A749" s="86"/>
      <c r="B749" s="86"/>
      <c r="C749" s="88"/>
      <c r="D749" s="91"/>
      <c r="E749" s="92"/>
      <c r="F749" s="94"/>
    </row>
    <row r="750" spans="1:6" x14ac:dyDescent="0.25">
      <c r="A750" s="86"/>
      <c r="B750" s="86"/>
      <c r="C750" s="88"/>
      <c r="D750" s="91"/>
      <c r="E750" s="92"/>
      <c r="F750" s="94"/>
    </row>
    <row r="751" spans="1:6" x14ac:dyDescent="0.25">
      <c r="A751" s="86"/>
      <c r="B751" s="86"/>
      <c r="C751" s="88"/>
      <c r="D751" s="91"/>
      <c r="E751" s="92"/>
      <c r="F751" s="94"/>
    </row>
    <row r="752" spans="1:6" x14ac:dyDescent="0.25">
      <c r="A752" s="86"/>
      <c r="B752" s="86"/>
      <c r="C752" s="88"/>
      <c r="D752" s="91"/>
      <c r="E752" s="92"/>
      <c r="F752" s="94"/>
    </row>
    <row r="753" spans="1:6" x14ac:dyDescent="0.25">
      <c r="A753" s="86"/>
      <c r="B753" s="86"/>
      <c r="C753" s="88"/>
      <c r="D753" s="91"/>
      <c r="E753" s="92"/>
      <c r="F753" s="94"/>
    </row>
    <row r="754" spans="1:6" x14ac:dyDescent="0.25">
      <c r="A754" s="86"/>
      <c r="B754" s="86"/>
      <c r="C754" s="88"/>
      <c r="D754" s="91"/>
      <c r="E754" s="92"/>
      <c r="F754" s="94"/>
    </row>
    <row r="755" spans="1:6" x14ac:dyDescent="0.25">
      <c r="A755" s="86"/>
      <c r="B755" s="86"/>
      <c r="C755" s="88"/>
      <c r="D755" s="91"/>
      <c r="E755" s="92"/>
      <c r="F755" s="94"/>
    </row>
    <row r="756" spans="1:6" x14ac:dyDescent="0.25">
      <c r="A756" s="86"/>
      <c r="B756" s="86"/>
      <c r="C756" s="88"/>
      <c r="D756" s="91"/>
      <c r="E756" s="92"/>
      <c r="F756" s="94"/>
    </row>
    <row r="757" spans="1:6" x14ac:dyDescent="0.25">
      <c r="A757" s="86"/>
      <c r="B757" s="86"/>
      <c r="C757" s="88"/>
      <c r="D757" s="91"/>
      <c r="E757" s="92"/>
      <c r="F757" s="94"/>
    </row>
    <row r="758" spans="1:6" x14ac:dyDescent="0.25">
      <c r="A758" s="86"/>
      <c r="B758" s="86"/>
      <c r="C758" s="88"/>
      <c r="D758" s="91"/>
      <c r="E758" s="92"/>
      <c r="F758" s="94"/>
    </row>
    <row r="759" spans="1:6" x14ac:dyDescent="0.25">
      <c r="A759" s="86"/>
      <c r="B759" s="86"/>
      <c r="C759" s="88"/>
      <c r="D759" s="91"/>
      <c r="E759" s="92"/>
      <c r="F759" s="94"/>
    </row>
    <row r="760" spans="1:6" x14ac:dyDescent="0.25">
      <c r="A760" s="86"/>
      <c r="B760" s="86"/>
      <c r="C760" s="88"/>
      <c r="D760" s="91"/>
      <c r="E760" s="92"/>
      <c r="F760" s="94"/>
    </row>
    <row r="761" spans="1:6" x14ac:dyDescent="0.25">
      <c r="A761" s="86"/>
      <c r="B761" s="86"/>
      <c r="C761" s="88"/>
      <c r="D761" s="91"/>
      <c r="E761" s="92"/>
      <c r="F761" s="94"/>
    </row>
    <row r="762" spans="1:6" x14ac:dyDescent="0.25">
      <c r="A762" s="86"/>
      <c r="B762" s="86"/>
      <c r="C762" s="88"/>
      <c r="D762" s="91"/>
      <c r="E762" s="92"/>
      <c r="F762" s="94"/>
    </row>
    <row r="763" spans="1:6" x14ac:dyDescent="0.25">
      <c r="A763" s="86"/>
      <c r="B763" s="86"/>
      <c r="C763" s="88"/>
      <c r="D763" s="91"/>
      <c r="E763" s="92"/>
      <c r="F763" s="94"/>
    </row>
    <row r="764" spans="1:6" x14ac:dyDescent="0.25">
      <c r="A764" s="86"/>
      <c r="B764" s="86"/>
      <c r="C764" s="88"/>
      <c r="D764" s="91"/>
      <c r="E764" s="92"/>
      <c r="F764" s="94"/>
    </row>
    <row r="765" spans="1:6" x14ac:dyDescent="0.25">
      <c r="A765" s="86"/>
      <c r="B765" s="86"/>
      <c r="C765" s="88"/>
      <c r="D765" s="91"/>
      <c r="E765" s="92"/>
      <c r="F765" s="94"/>
    </row>
    <row r="766" spans="1:6" x14ac:dyDescent="0.25">
      <c r="A766" s="86"/>
      <c r="B766" s="86"/>
      <c r="C766" s="88"/>
      <c r="D766" s="91"/>
      <c r="E766" s="92"/>
      <c r="F766" s="94"/>
    </row>
    <row r="767" spans="1:6" x14ac:dyDescent="0.25">
      <c r="A767" s="86"/>
      <c r="B767" s="86"/>
      <c r="C767" s="88"/>
      <c r="D767" s="91"/>
      <c r="E767" s="92"/>
      <c r="F767" s="94"/>
    </row>
    <row r="768" spans="1:6" x14ac:dyDescent="0.25">
      <c r="A768" s="86"/>
      <c r="B768" s="86"/>
      <c r="C768" s="88"/>
      <c r="D768" s="91"/>
      <c r="E768" s="92"/>
      <c r="F768" s="94"/>
    </row>
    <row r="769" spans="1:6" x14ac:dyDescent="0.25">
      <c r="A769" s="86"/>
      <c r="B769" s="86"/>
      <c r="C769" s="88"/>
      <c r="D769" s="91"/>
      <c r="E769" s="92"/>
      <c r="F769" s="94"/>
    </row>
    <row r="770" spans="1:6" x14ac:dyDescent="0.25">
      <c r="A770" s="86"/>
      <c r="B770" s="86"/>
      <c r="C770" s="88"/>
      <c r="D770" s="91"/>
      <c r="E770" s="92"/>
      <c r="F770" s="94"/>
    </row>
    <row r="771" spans="1:6" x14ac:dyDescent="0.25">
      <c r="A771" s="86"/>
      <c r="B771" s="86"/>
      <c r="C771" s="88"/>
      <c r="D771" s="91"/>
      <c r="E771" s="92"/>
      <c r="F771" s="94"/>
    </row>
    <row r="772" spans="1:6" x14ac:dyDescent="0.25">
      <c r="A772" s="86"/>
      <c r="B772" s="86"/>
      <c r="C772" s="88"/>
      <c r="D772" s="91"/>
      <c r="E772" s="92"/>
      <c r="F772" s="94"/>
    </row>
    <row r="773" spans="1:6" x14ac:dyDescent="0.25">
      <c r="A773" s="86"/>
      <c r="B773" s="86"/>
      <c r="C773" s="88"/>
      <c r="D773" s="91"/>
      <c r="E773" s="92"/>
      <c r="F773" s="94"/>
    </row>
    <row r="774" spans="1:6" x14ac:dyDescent="0.25">
      <c r="A774" s="86"/>
      <c r="B774" s="86"/>
      <c r="C774" s="88"/>
      <c r="D774" s="91"/>
      <c r="E774" s="92"/>
      <c r="F774" s="94"/>
    </row>
    <row r="775" spans="1:6" x14ac:dyDescent="0.25">
      <c r="A775" s="86"/>
      <c r="B775" s="86"/>
      <c r="C775" s="88"/>
      <c r="D775" s="91"/>
      <c r="E775" s="92"/>
      <c r="F775" s="94"/>
    </row>
    <row r="776" spans="1:6" x14ac:dyDescent="0.25">
      <c r="A776" s="86"/>
      <c r="B776" s="86"/>
      <c r="C776" s="88"/>
      <c r="D776" s="91"/>
      <c r="E776" s="92"/>
      <c r="F776" s="94"/>
    </row>
    <row r="777" spans="1:6" x14ac:dyDescent="0.25">
      <c r="A777" s="86"/>
      <c r="B777" s="86"/>
      <c r="C777" s="88"/>
      <c r="D777" s="91"/>
      <c r="E777" s="92"/>
      <c r="F777" s="94"/>
    </row>
    <row r="778" spans="1:6" x14ac:dyDescent="0.25">
      <c r="A778" s="86"/>
      <c r="B778" s="86"/>
      <c r="C778" s="88"/>
      <c r="D778" s="91"/>
      <c r="E778" s="92"/>
      <c r="F778" s="94"/>
    </row>
    <row r="779" spans="1:6" x14ac:dyDescent="0.25">
      <c r="A779" s="86"/>
      <c r="B779" s="86"/>
      <c r="C779" s="88"/>
      <c r="D779" s="91"/>
      <c r="E779" s="92"/>
      <c r="F779" s="94"/>
    </row>
    <row r="780" spans="1:6" x14ac:dyDescent="0.25">
      <c r="A780" s="86"/>
      <c r="B780" s="86"/>
      <c r="C780" s="88"/>
      <c r="D780" s="91"/>
      <c r="E780" s="92"/>
      <c r="F780" s="94"/>
    </row>
    <row r="781" spans="1:6" x14ac:dyDescent="0.25">
      <c r="A781" s="86"/>
      <c r="B781" s="86"/>
      <c r="C781" s="88"/>
      <c r="D781" s="91"/>
      <c r="E781" s="92"/>
      <c r="F781" s="94"/>
    </row>
    <row r="782" spans="1:6" x14ac:dyDescent="0.25">
      <c r="A782" s="86"/>
      <c r="B782" s="86"/>
      <c r="C782" s="88"/>
      <c r="D782" s="91"/>
      <c r="E782" s="92"/>
      <c r="F782" s="94"/>
    </row>
    <row r="783" spans="1:6" x14ac:dyDescent="0.25">
      <c r="A783" s="86"/>
      <c r="B783" s="86"/>
      <c r="C783" s="88"/>
      <c r="D783" s="91"/>
      <c r="E783" s="92"/>
      <c r="F783" s="94"/>
    </row>
    <row r="784" spans="1:6" x14ac:dyDescent="0.25">
      <c r="A784" s="86"/>
      <c r="B784" s="86"/>
      <c r="C784" s="88"/>
      <c r="D784" s="91"/>
      <c r="E784" s="92"/>
      <c r="F784" s="94"/>
    </row>
    <row r="785" spans="1:6" x14ac:dyDescent="0.25">
      <c r="A785" s="86"/>
      <c r="B785" s="86"/>
      <c r="C785" s="88"/>
      <c r="D785" s="91"/>
      <c r="E785" s="92"/>
      <c r="F785" s="94"/>
    </row>
    <row r="786" spans="1:6" x14ac:dyDescent="0.25">
      <c r="A786" s="86"/>
      <c r="B786" s="86"/>
      <c r="C786" s="88"/>
      <c r="D786" s="91"/>
      <c r="E786" s="92"/>
      <c r="F786" s="94"/>
    </row>
    <row r="787" spans="1:6" x14ac:dyDescent="0.25">
      <c r="A787" s="86"/>
      <c r="B787" s="86"/>
      <c r="C787" s="88"/>
      <c r="D787" s="91"/>
      <c r="E787" s="92"/>
      <c r="F787" s="94"/>
    </row>
    <row r="788" spans="1:6" x14ac:dyDescent="0.25">
      <c r="A788" s="86"/>
      <c r="B788" s="86"/>
      <c r="C788" s="88"/>
      <c r="D788" s="91"/>
      <c r="E788" s="92"/>
      <c r="F788" s="94"/>
    </row>
    <row r="789" spans="1:6" x14ac:dyDescent="0.25">
      <c r="A789" s="86"/>
      <c r="B789" s="86"/>
      <c r="C789" s="88"/>
      <c r="D789" s="91"/>
      <c r="E789" s="92"/>
      <c r="F789" s="94"/>
    </row>
    <row r="790" spans="1:6" x14ac:dyDescent="0.25">
      <c r="A790" s="86"/>
      <c r="B790" s="86"/>
      <c r="C790" s="88"/>
      <c r="D790" s="91"/>
      <c r="E790" s="92"/>
      <c r="F790" s="94"/>
    </row>
    <row r="791" spans="1:6" x14ac:dyDescent="0.25">
      <c r="A791" s="86"/>
      <c r="B791" s="86"/>
      <c r="C791" s="88"/>
      <c r="D791" s="91"/>
      <c r="E791" s="92"/>
      <c r="F791" s="94"/>
    </row>
    <row r="792" spans="1:6" x14ac:dyDescent="0.25">
      <c r="A792" s="86"/>
      <c r="B792" s="86"/>
      <c r="C792" s="88"/>
      <c r="D792" s="91"/>
      <c r="E792" s="92"/>
      <c r="F792" s="94"/>
    </row>
    <row r="793" spans="1:6" x14ac:dyDescent="0.25">
      <c r="A793" s="86"/>
      <c r="B793" s="86"/>
      <c r="C793" s="88"/>
      <c r="D793" s="91"/>
      <c r="E793" s="92"/>
      <c r="F793" s="94"/>
    </row>
    <row r="794" spans="1:6" x14ac:dyDescent="0.25">
      <c r="A794" s="86"/>
      <c r="B794" s="86"/>
      <c r="C794" s="88"/>
      <c r="D794" s="91"/>
      <c r="E794" s="92"/>
      <c r="F794" s="94"/>
    </row>
    <row r="795" spans="1:6" x14ac:dyDescent="0.25">
      <c r="A795" s="86"/>
      <c r="B795" s="86"/>
      <c r="C795" s="88"/>
      <c r="D795" s="91"/>
      <c r="E795" s="92"/>
      <c r="F795" s="94"/>
    </row>
    <row r="796" spans="1:6" x14ac:dyDescent="0.25">
      <c r="A796" s="86"/>
      <c r="B796" s="86"/>
      <c r="C796" s="88"/>
      <c r="D796" s="91"/>
      <c r="E796" s="92"/>
      <c r="F796" s="94"/>
    </row>
    <row r="797" spans="1:6" x14ac:dyDescent="0.25">
      <c r="A797" s="86"/>
      <c r="B797" s="86"/>
      <c r="C797" s="88"/>
      <c r="D797" s="91"/>
      <c r="E797" s="92"/>
      <c r="F797" s="94"/>
    </row>
    <row r="798" spans="1:6" x14ac:dyDescent="0.25">
      <c r="A798" s="86"/>
      <c r="B798" s="86"/>
      <c r="C798" s="88"/>
      <c r="D798" s="91"/>
      <c r="E798" s="92"/>
      <c r="F798" s="94"/>
    </row>
    <row r="799" spans="1:6" x14ac:dyDescent="0.25">
      <c r="A799" s="86"/>
      <c r="B799" s="86"/>
      <c r="C799" s="88"/>
      <c r="D799" s="91"/>
      <c r="E799" s="92"/>
      <c r="F799" s="94"/>
    </row>
    <row r="800" spans="1:6" x14ac:dyDescent="0.25">
      <c r="A800" s="86"/>
      <c r="B800" s="86"/>
      <c r="C800" s="88"/>
      <c r="D800" s="91"/>
      <c r="E800" s="92"/>
      <c r="F800" s="94"/>
    </row>
    <row r="801" spans="1:6" x14ac:dyDescent="0.25">
      <c r="A801" s="86"/>
      <c r="B801" s="86"/>
      <c r="C801" s="88"/>
      <c r="D801" s="91"/>
      <c r="E801" s="92"/>
      <c r="F801" s="94"/>
    </row>
    <row r="802" spans="1:6" x14ac:dyDescent="0.25">
      <c r="A802" s="86"/>
      <c r="B802" s="86"/>
      <c r="C802" s="88"/>
      <c r="D802" s="91"/>
      <c r="E802" s="92"/>
      <c r="F802" s="94"/>
    </row>
    <row r="803" spans="1:6" x14ac:dyDescent="0.25">
      <c r="A803" s="86"/>
      <c r="B803" s="86"/>
      <c r="C803" s="88"/>
      <c r="D803" s="91"/>
      <c r="E803" s="92"/>
      <c r="F803" s="94"/>
    </row>
    <row r="804" spans="1:6" x14ac:dyDescent="0.25">
      <c r="A804" s="86"/>
      <c r="B804" s="86"/>
      <c r="C804" s="88"/>
      <c r="D804" s="91"/>
      <c r="E804" s="92"/>
      <c r="F804" s="94"/>
    </row>
    <row r="805" spans="1:6" x14ac:dyDescent="0.25">
      <c r="A805" s="86"/>
      <c r="B805" s="86"/>
      <c r="C805" s="88"/>
      <c r="D805" s="91"/>
      <c r="E805" s="92"/>
      <c r="F805" s="94"/>
    </row>
    <row r="806" spans="1:6" x14ac:dyDescent="0.25">
      <c r="A806" s="86"/>
      <c r="B806" s="86"/>
      <c r="C806" s="88"/>
      <c r="D806" s="91"/>
      <c r="E806" s="92"/>
      <c r="F806" s="94"/>
    </row>
    <row r="807" spans="1:6" x14ac:dyDescent="0.25">
      <c r="A807" s="86"/>
      <c r="B807" s="86"/>
      <c r="C807" s="88"/>
      <c r="D807" s="91"/>
      <c r="E807" s="92"/>
      <c r="F807" s="94"/>
    </row>
    <row r="808" spans="1:6" x14ac:dyDescent="0.25">
      <c r="A808" s="86"/>
      <c r="B808" s="86"/>
      <c r="C808" s="88"/>
      <c r="D808" s="91"/>
      <c r="E808" s="92"/>
      <c r="F808" s="94"/>
    </row>
    <row r="809" spans="1:6" x14ac:dyDescent="0.25">
      <c r="A809" s="86"/>
      <c r="B809" s="86"/>
      <c r="C809" s="88"/>
      <c r="D809" s="91"/>
      <c r="E809" s="92"/>
      <c r="F809" s="94"/>
    </row>
    <row r="810" spans="1:6" x14ac:dyDescent="0.25">
      <c r="A810" s="86"/>
      <c r="B810" s="86"/>
      <c r="C810" s="88"/>
      <c r="D810" s="91"/>
      <c r="E810" s="92"/>
      <c r="F810" s="94"/>
    </row>
    <row r="811" spans="1:6" x14ac:dyDescent="0.25">
      <c r="A811" s="86"/>
      <c r="B811" s="86"/>
      <c r="C811" s="88"/>
      <c r="D811" s="91"/>
      <c r="E811" s="92"/>
      <c r="F811" s="94"/>
    </row>
    <row r="812" spans="1:6" x14ac:dyDescent="0.25">
      <c r="A812" s="86"/>
      <c r="B812" s="86"/>
      <c r="C812" s="88"/>
      <c r="D812" s="91"/>
      <c r="E812" s="92"/>
      <c r="F812" s="94"/>
    </row>
    <row r="813" spans="1:6" x14ac:dyDescent="0.25">
      <c r="A813" s="86"/>
      <c r="B813" s="86"/>
      <c r="C813" s="88"/>
      <c r="D813" s="91"/>
      <c r="E813" s="92"/>
      <c r="F813" s="94"/>
    </row>
    <row r="814" spans="1:6" x14ac:dyDescent="0.25">
      <c r="A814" s="86"/>
      <c r="B814" s="86"/>
      <c r="C814" s="88"/>
      <c r="D814" s="91"/>
      <c r="E814" s="92"/>
      <c r="F814" s="94"/>
    </row>
    <row r="815" spans="1:6" x14ac:dyDescent="0.25">
      <c r="A815" s="86"/>
      <c r="B815" s="86"/>
      <c r="C815" s="88"/>
      <c r="D815" s="91"/>
      <c r="E815" s="92"/>
      <c r="F815" s="94"/>
    </row>
    <row r="816" spans="1:6" x14ac:dyDescent="0.25">
      <c r="A816" s="86"/>
      <c r="B816" s="86"/>
      <c r="C816" s="88"/>
      <c r="D816" s="91"/>
      <c r="E816" s="92"/>
      <c r="F816" s="94"/>
    </row>
    <row r="817" spans="1:6" x14ac:dyDescent="0.25">
      <c r="A817" s="86"/>
      <c r="B817" s="86"/>
      <c r="C817" s="88"/>
      <c r="D817" s="91"/>
      <c r="E817" s="92"/>
      <c r="F817" s="94"/>
    </row>
    <row r="818" spans="1:6" x14ac:dyDescent="0.25">
      <c r="A818" s="86"/>
      <c r="B818" s="86"/>
      <c r="C818" s="88"/>
      <c r="D818" s="91"/>
      <c r="E818" s="92"/>
      <c r="F818" s="94"/>
    </row>
    <row r="819" spans="1:6" x14ac:dyDescent="0.25">
      <c r="A819" s="86"/>
      <c r="B819" s="86"/>
      <c r="C819" s="88"/>
      <c r="D819" s="91"/>
      <c r="E819" s="92"/>
      <c r="F819" s="94"/>
    </row>
    <row r="820" spans="1:6" x14ac:dyDescent="0.25">
      <c r="A820" s="86"/>
      <c r="B820" s="86"/>
      <c r="C820" s="88"/>
      <c r="D820" s="91"/>
      <c r="E820" s="92"/>
      <c r="F820" s="94"/>
    </row>
    <row r="821" spans="1:6" x14ac:dyDescent="0.25">
      <c r="A821" s="86"/>
      <c r="B821" s="86"/>
      <c r="C821" s="88"/>
      <c r="D821" s="91"/>
      <c r="E821" s="92"/>
      <c r="F821" s="94"/>
    </row>
    <row r="822" spans="1:6" x14ac:dyDescent="0.25">
      <c r="A822" s="86"/>
      <c r="B822" s="86"/>
      <c r="C822" s="88"/>
      <c r="D822" s="91"/>
      <c r="E822" s="92"/>
      <c r="F822" s="94"/>
    </row>
    <row r="823" spans="1:6" x14ac:dyDescent="0.25">
      <c r="A823" s="86"/>
      <c r="B823" s="86"/>
      <c r="C823" s="88"/>
      <c r="D823" s="91"/>
      <c r="E823" s="92"/>
      <c r="F823" s="94"/>
    </row>
    <row r="824" spans="1:6" x14ac:dyDescent="0.25">
      <c r="A824" s="86"/>
      <c r="B824" s="86"/>
      <c r="C824" s="88"/>
      <c r="D824" s="91"/>
      <c r="E824" s="92"/>
      <c r="F824" s="94"/>
    </row>
    <row r="825" spans="1:6" x14ac:dyDescent="0.25">
      <c r="A825" s="86"/>
      <c r="B825" s="86"/>
      <c r="C825" s="88"/>
      <c r="D825" s="91"/>
      <c r="E825" s="92"/>
      <c r="F825" s="94"/>
    </row>
    <row r="826" spans="1:6" x14ac:dyDescent="0.25">
      <c r="A826" s="86"/>
      <c r="B826" s="86"/>
      <c r="C826" s="88"/>
      <c r="D826" s="91"/>
      <c r="E826" s="92"/>
      <c r="F826" s="94"/>
    </row>
    <row r="827" spans="1:6" x14ac:dyDescent="0.25">
      <c r="A827" s="86"/>
      <c r="B827" s="86"/>
      <c r="C827" s="88"/>
      <c r="D827" s="91"/>
      <c r="E827" s="92"/>
      <c r="F827" s="94"/>
    </row>
    <row r="828" spans="1:6" x14ac:dyDescent="0.25">
      <c r="A828" s="86"/>
      <c r="B828" s="86"/>
      <c r="C828" s="88"/>
      <c r="D828" s="91"/>
      <c r="E828" s="92"/>
      <c r="F828" s="94"/>
    </row>
    <row r="829" spans="1:6" x14ac:dyDescent="0.25">
      <c r="A829" s="86"/>
      <c r="B829" s="86"/>
      <c r="C829" s="88"/>
      <c r="D829" s="91"/>
      <c r="E829" s="92"/>
      <c r="F829" s="94"/>
    </row>
    <row r="830" spans="1:6" x14ac:dyDescent="0.25">
      <c r="A830" s="86"/>
      <c r="B830" s="86"/>
      <c r="C830" s="88"/>
      <c r="D830" s="91"/>
      <c r="E830" s="92"/>
      <c r="F830" s="94"/>
    </row>
    <row r="831" spans="1:6" x14ac:dyDescent="0.25">
      <c r="A831" s="86"/>
      <c r="B831" s="86"/>
      <c r="C831" s="88"/>
      <c r="D831" s="91"/>
      <c r="E831" s="92"/>
      <c r="F831" s="94"/>
    </row>
    <row r="832" spans="1:6" x14ac:dyDescent="0.25">
      <c r="A832" s="86"/>
      <c r="B832" s="86"/>
      <c r="C832" s="88"/>
      <c r="D832" s="91"/>
      <c r="E832" s="92"/>
      <c r="F832" s="94"/>
    </row>
    <row r="833" spans="1:6" x14ac:dyDescent="0.25">
      <c r="A833" s="86"/>
      <c r="B833" s="86"/>
      <c r="C833" s="88"/>
      <c r="D833" s="91"/>
      <c r="E833" s="92"/>
      <c r="F833" s="94"/>
    </row>
    <row r="834" spans="1:6" x14ac:dyDescent="0.25">
      <c r="A834" s="86"/>
      <c r="B834" s="86"/>
      <c r="C834" s="88"/>
      <c r="D834" s="91"/>
      <c r="E834" s="92"/>
      <c r="F834" s="94"/>
    </row>
    <row r="835" spans="1:6" x14ac:dyDescent="0.25">
      <c r="A835" s="86"/>
      <c r="B835" s="86"/>
      <c r="C835" s="88"/>
      <c r="D835" s="91"/>
      <c r="E835" s="92"/>
      <c r="F835" s="94"/>
    </row>
    <row r="836" spans="1:6" x14ac:dyDescent="0.25">
      <c r="A836" s="86"/>
      <c r="B836" s="86"/>
      <c r="C836" s="88"/>
      <c r="D836" s="91"/>
      <c r="E836" s="92"/>
      <c r="F836" s="94"/>
    </row>
    <row r="837" spans="1:6" x14ac:dyDescent="0.25">
      <c r="A837" s="86"/>
      <c r="B837" s="86"/>
      <c r="C837" s="88"/>
      <c r="D837" s="91"/>
      <c r="E837" s="92"/>
      <c r="F837" s="94"/>
    </row>
    <row r="838" spans="1:6" x14ac:dyDescent="0.25">
      <c r="A838" s="86"/>
      <c r="B838" s="86"/>
      <c r="C838" s="88"/>
      <c r="D838" s="91"/>
      <c r="E838" s="92"/>
      <c r="F838" s="94"/>
    </row>
    <row r="839" spans="1:6" x14ac:dyDescent="0.25">
      <c r="A839" s="86"/>
      <c r="B839" s="86"/>
      <c r="C839" s="88"/>
      <c r="D839" s="91"/>
      <c r="E839" s="92"/>
      <c r="F839" s="94"/>
    </row>
    <row r="840" spans="1:6" x14ac:dyDescent="0.25">
      <c r="A840" s="86"/>
      <c r="B840" s="86"/>
      <c r="C840" s="88"/>
      <c r="D840" s="91"/>
      <c r="E840" s="92"/>
      <c r="F840" s="94"/>
    </row>
    <row r="841" spans="1:6" x14ac:dyDescent="0.25">
      <c r="A841" s="86"/>
      <c r="B841" s="86"/>
      <c r="C841" s="88"/>
      <c r="D841" s="91"/>
      <c r="E841" s="92"/>
      <c r="F841" s="94"/>
    </row>
    <row r="842" spans="1:6" x14ac:dyDescent="0.25">
      <c r="A842" s="86"/>
      <c r="B842" s="86"/>
      <c r="C842" s="88"/>
      <c r="D842" s="91"/>
      <c r="E842" s="92"/>
      <c r="F842" s="94"/>
    </row>
    <row r="843" spans="1:6" x14ac:dyDescent="0.25">
      <c r="A843" s="86"/>
      <c r="B843" s="86"/>
      <c r="C843" s="88"/>
      <c r="D843" s="91"/>
      <c r="E843" s="92"/>
      <c r="F843" s="94"/>
    </row>
    <row r="844" spans="1:6" x14ac:dyDescent="0.25">
      <c r="A844" s="86"/>
      <c r="B844" s="86"/>
      <c r="C844" s="88"/>
      <c r="D844" s="91"/>
      <c r="E844" s="92"/>
      <c r="F844" s="94"/>
    </row>
    <row r="845" spans="1:6" x14ac:dyDescent="0.25">
      <c r="A845" s="86"/>
      <c r="B845" s="86"/>
      <c r="C845" s="88"/>
      <c r="D845" s="91"/>
      <c r="E845" s="92"/>
      <c r="F845" s="94"/>
    </row>
    <row r="846" spans="1:6" x14ac:dyDescent="0.25">
      <c r="A846" s="86"/>
      <c r="B846" s="86"/>
      <c r="C846" s="88"/>
      <c r="D846" s="91"/>
      <c r="E846" s="92"/>
      <c r="F846" s="94"/>
    </row>
    <row r="847" spans="1:6" x14ac:dyDescent="0.25">
      <c r="A847" s="86"/>
      <c r="B847" s="86"/>
      <c r="C847" s="88"/>
      <c r="D847" s="91"/>
      <c r="E847" s="92"/>
      <c r="F847" s="94"/>
    </row>
    <row r="848" spans="1:6" x14ac:dyDescent="0.25">
      <c r="A848" s="86"/>
      <c r="B848" s="86"/>
      <c r="C848" s="88"/>
      <c r="D848" s="91"/>
      <c r="E848" s="92"/>
      <c r="F848" s="94"/>
    </row>
    <row r="849" spans="1:6" x14ac:dyDescent="0.25">
      <c r="A849" s="86"/>
      <c r="B849" s="86"/>
      <c r="C849" s="88"/>
      <c r="D849" s="91"/>
      <c r="E849" s="92"/>
      <c r="F849" s="94"/>
    </row>
    <row r="850" spans="1:6" x14ac:dyDescent="0.25">
      <c r="A850" s="86"/>
      <c r="B850" s="86"/>
      <c r="C850" s="88"/>
      <c r="D850" s="91"/>
      <c r="E850" s="92"/>
      <c r="F850" s="94"/>
    </row>
    <row r="851" spans="1:6" x14ac:dyDescent="0.25">
      <c r="A851" s="86"/>
      <c r="B851" s="86"/>
      <c r="C851" s="88"/>
      <c r="D851" s="91"/>
      <c r="E851" s="92"/>
      <c r="F851" s="94"/>
    </row>
    <row r="852" spans="1:6" x14ac:dyDescent="0.25">
      <c r="A852" s="86"/>
      <c r="B852" s="86"/>
      <c r="C852" s="88"/>
      <c r="D852" s="91"/>
      <c r="E852" s="92"/>
      <c r="F852" s="94"/>
    </row>
    <row r="853" spans="1:6" x14ac:dyDescent="0.25">
      <c r="A853" s="86"/>
      <c r="B853" s="86"/>
      <c r="C853" s="88"/>
      <c r="D853" s="91"/>
      <c r="E853" s="92"/>
      <c r="F853" s="94"/>
    </row>
    <row r="854" spans="1:6" x14ac:dyDescent="0.25">
      <c r="A854" s="86"/>
      <c r="B854" s="86"/>
      <c r="C854" s="88"/>
      <c r="D854" s="91"/>
      <c r="E854" s="92"/>
      <c r="F854" s="94"/>
    </row>
    <row r="855" spans="1:6" x14ac:dyDescent="0.25">
      <c r="A855" s="86"/>
      <c r="B855" s="86"/>
      <c r="C855" s="88"/>
      <c r="D855" s="91"/>
      <c r="E855" s="92"/>
      <c r="F855" s="94"/>
    </row>
    <row r="856" spans="1:6" x14ac:dyDescent="0.25">
      <c r="A856" s="86"/>
      <c r="B856" s="86"/>
      <c r="C856" s="88"/>
      <c r="D856" s="91"/>
      <c r="E856" s="92"/>
      <c r="F856" s="94"/>
    </row>
    <row r="857" spans="1:6" x14ac:dyDescent="0.25">
      <c r="A857" s="86"/>
      <c r="B857" s="86"/>
      <c r="C857" s="88"/>
      <c r="D857" s="91"/>
      <c r="E857" s="92"/>
      <c r="F857" s="94"/>
    </row>
    <row r="858" spans="1:6" x14ac:dyDescent="0.25">
      <c r="A858" s="86"/>
      <c r="B858" s="86"/>
      <c r="C858" s="88"/>
      <c r="D858" s="91"/>
      <c r="E858" s="92"/>
      <c r="F858" s="94"/>
    </row>
    <row r="859" spans="1:6" x14ac:dyDescent="0.25">
      <c r="A859" s="86"/>
      <c r="B859" s="86"/>
      <c r="C859" s="88"/>
      <c r="D859" s="91"/>
      <c r="E859" s="92"/>
      <c r="F859" s="94"/>
    </row>
    <row r="860" spans="1:6" x14ac:dyDescent="0.25">
      <c r="A860" s="86"/>
      <c r="B860" s="86"/>
      <c r="C860" s="88"/>
      <c r="D860" s="91"/>
      <c r="E860" s="92"/>
      <c r="F860" s="94"/>
    </row>
    <row r="861" spans="1:6" x14ac:dyDescent="0.25">
      <c r="A861" s="86"/>
      <c r="B861" s="86"/>
      <c r="C861" s="88"/>
      <c r="D861" s="91"/>
      <c r="E861" s="92"/>
      <c r="F861" s="94"/>
    </row>
    <row r="862" spans="1:6" x14ac:dyDescent="0.25">
      <c r="A862" s="86"/>
      <c r="B862" s="86"/>
      <c r="C862" s="88"/>
      <c r="D862" s="91"/>
      <c r="E862" s="92"/>
      <c r="F862" s="94"/>
    </row>
    <row r="863" spans="1:6" x14ac:dyDescent="0.25">
      <c r="A863" s="86"/>
      <c r="B863" s="86"/>
      <c r="C863" s="88"/>
      <c r="D863" s="91"/>
      <c r="E863" s="92"/>
      <c r="F863" s="94"/>
    </row>
    <row r="864" spans="1:6" x14ac:dyDescent="0.25">
      <c r="A864" s="86"/>
      <c r="B864" s="86"/>
      <c r="C864" s="88"/>
      <c r="D864" s="91"/>
      <c r="E864" s="92"/>
      <c r="F864" s="94"/>
    </row>
    <row r="865" spans="1:6" x14ac:dyDescent="0.25">
      <c r="A865" s="86"/>
      <c r="B865" s="86"/>
      <c r="C865" s="88"/>
      <c r="D865" s="91"/>
      <c r="E865" s="92"/>
      <c r="F865" s="94"/>
    </row>
    <row r="866" spans="1:6" x14ac:dyDescent="0.25">
      <c r="A866" s="86"/>
      <c r="B866" s="86"/>
      <c r="C866" s="88"/>
      <c r="D866" s="91"/>
      <c r="E866" s="92"/>
      <c r="F866" s="94"/>
    </row>
    <row r="867" spans="1:6" x14ac:dyDescent="0.25">
      <c r="A867" s="86"/>
      <c r="B867" s="86"/>
      <c r="C867" s="88"/>
      <c r="D867" s="91"/>
      <c r="E867" s="92"/>
      <c r="F867" s="94"/>
    </row>
    <row r="868" spans="1:6" x14ac:dyDescent="0.25">
      <c r="A868" s="86"/>
      <c r="B868" s="86"/>
      <c r="C868" s="88"/>
      <c r="D868" s="91"/>
      <c r="E868" s="92"/>
      <c r="F868" s="94"/>
    </row>
    <row r="869" spans="1:6" x14ac:dyDescent="0.25">
      <c r="A869" s="86"/>
      <c r="B869" s="86"/>
      <c r="C869" s="88"/>
      <c r="D869" s="91"/>
      <c r="E869" s="92"/>
      <c r="F869" s="94"/>
    </row>
    <row r="870" spans="1:6" x14ac:dyDescent="0.25">
      <c r="A870" s="86"/>
      <c r="B870" s="86"/>
      <c r="C870" s="88"/>
      <c r="D870" s="91"/>
      <c r="E870" s="92"/>
      <c r="F870" s="94"/>
    </row>
    <row r="871" spans="1:6" x14ac:dyDescent="0.25">
      <c r="A871" s="86"/>
      <c r="B871" s="86"/>
      <c r="C871" s="88"/>
      <c r="D871" s="91"/>
      <c r="E871" s="92"/>
      <c r="F871" s="94"/>
    </row>
    <row r="872" spans="1:6" x14ac:dyDescent="0.25">
      <c r="A872" s="86"/>
      <c r="B872" s="86"/>
      <c r="C872" s="88"/>
      <c r="D872" s="91"/>
      <c r="E872" s="92"/>
      <c r="F872" s="94"/>
    </row>
    <row r="873" spans="1:6" x14ac:dyDescent="0.25">
      <c r="A873" s="86"/>
      <c r="B873" s="86"/>
      <c r="C873" s="88"/>
      <c r="D873" s="91"/>
      <c r="E873" s="92"/>
      <c r="F873" s="94"/>
    </row>
    <row r="874" spans="1:6" x14ac:dyDescent="0.25">
      <c r="A874" s="86"/>
      <c r="B874" s="86"/>
      <c r="C874" s="88"/>
      <c r="D874" s="91"/>
      <c r="E874" s="92"/>
      <c r="F874" s="94"/>
    </row>
    <row r="875" spans="1:6" x14ac:dyDescent="0.25">
      <c r="A875" s="86"/>
      <c r="B875" s="86"/>
      <c r="C875" s="88"/>
      <c r="D875" s="91"/>
      <c r="E875" s="92"/>
      <c r="F875" s="94"/>
    </row>
    <row r="876" spans="1:6" x14ac:dyDescent="0.25">
      <c r="A876" s="86"/>
      <c r="B876" s="86"/>
      <c r="C876" s="88"/>
      <c r="D876" s="91"/>
      <c r="E876" s="92"/>
      <c r="F876" s="94"/>
    </row>
    <row r="877" spans="1:6" x14ac:dyDescent="0.25">
      <c r="A877" s="86"/>
      <c r="B877" s="86"/>
      <c r="C877" s="88"/>
      <c r="D877" s="91"/>
      <c r="E877" s="92"/>
      <c r="F877" s="94"/>
    </row>
    <row r="878" spans="1:6" x14ac:dyDescent="0.25">
      <c r="A878" s="86"/>
      <c r="B878" s="86"/>
      <c r="C878" s="88"/>
      <c r="D878" s="91"/>
      <c r="E878" s="92"/>
      <c r="F878" s="94"/>
    </row>
    <row r="879" spans="1:6" x14ac:dyDescent="0.25">
      <c r="A879" s="86"/>
      <c r="B879" s="86"/>
      <c r="C879" s="88"/>
      <c r="D879" s="91"/>
      <c r="E879" s="92"/>
      <c r="F879" s="94"/>
    </row>
    <row r="880" spans="1:6" x14ac:dyDescent="0.25">
      <c r="A880" s="86"/>
      <c r="B880" s="86"/>
      <c r="C880" s="88"/>
      <c r="D880" s="91"/>
      <c r="E880" s="92"/>
      <c r="F880" s="94"/>
    </row>
    <row r="881" spans="1:6" x14ac:dyDescent="0.25">
      <c r="A881" s="86"/>
      <c r="B881" s="86"/>
      <c r="C881" s="88"/>
      <c r="D881" s="91"/>
      <c r="E881" s="92"/>
      <c r="F881" s="94"/>
    </row>
    <row r="882" spans="1:6" x14ac:dyDescent="0.25">
      <c r="A882" s="86"/>
      <c r="B882" s="86"/>
      <c r="C882" s="88"/>
      <c r="D882" s="91"/>
      <c r="E882" s="92"/>
      <c r="F882" s="94"/>
    </row>
    <row r="883" spans="1:6" x14ac:dyDescent="0.25">
      <c r="A883" s="86"/>
      <c r="B883" s="86"/>
      <c r="C883" s="88"/>
      <c r="D883" s="91"/>
      <c r="E883" s="92"/>
      <c r="F883" s="94"/>
    </row>
    <row r="884" spans="1:6" x14ac:dyDescent="0.25">
      <c r="A884" s="86"/>
      <c r="B884" s="86"/>
      <c r="C884" s="88"/>
      <c r="D884" s="91"/>
      <c r="E884" s="92"/>
      <c r="F884" s="94"/>
    </row>
    <row r="885" spans="1:6" x14ac:dyDescent="0.25">
      <c r="A885" s="86"/>
      <c r="B885" s="86"/>
      <c r="C885" s="88"/>
      <c r="D885" s="91"/>
      <c r="E885" s="92"/>
      <c r="F885" s="94"/>
    </row>
    <row r="886" spans="1:6" x14ac:dyDescent="0.25">
      <c r="A886" s="86"/>
      <c r="B886" s="86"/>
      <c r="C886" s="88"/>
      <c r="D886" s="91"/>
      <c r="E886" s="92"/>
      <c r="F886" s="94"/>
    </row>
    <row r="887" spans="1:6" x14ac:dyDescent="0.25">
      <c r="A887" s="86"/>
      <c r="B887" s="86"/>
      <c r="C887" s="88"/>
      <c r="D887" s="91"/>
      <c r="E887" s="92"/>
      <c r="F887" s="94"/>
    </row>
    <row r="888" spans="1:6" x14ac:dyDescent="0.25">
      <c r="A888" s="86"/>
      <c r="B888" s="86"/>
      <c r="C888" s="88"/>
      <c r="D888" s="91"/>
      <c r="E888" s="92"/>
      <c r="F888" s="94"/>
    </row>
    <row r="889" spans="1:6" x14ac:dyDescent="0.25">
      <c r="A889" s="86"/>
      <c r="B889" s="86"/>
      <c r="C889" s="88"/>
      <c r="D889" s="91"/>
      <c r="E889" s="92"/>
      <c r="F889" s="94"/>
    </row>
    <row r="890" spans="1:6" x14ac:dyDescent="0.25">
      <c r="A890" s="86"/>
      <c r="B890" s="86"/>
      <c r="C890" s="88"/>
      <c r="D890" s="91"/>
      <c r="E890" s="92"/>
      <c r="F890" s="94"/>
    </row>
    <row r="891" spans="1:6" x14ac:dyDescent="0.25">
      <c r="A891" s="86"/>
      <c r="B891" s="86"/>
      <c r="C891" s="88"/>
      <c r="D891" s="91"/>
      <c r="E891" s="92"/>
      <c r="F891" s="94"/>
    </row>
    <row r="892" spans="1:6" x14ac:dyDescent="0.25">
      <c r="A892" s="86"/>
      <c r="B892" s="86"/>
      <c r="C892" s="88"/>
      <c r="D892" s="91"/>
      <c r="E892" s="92"/>
      <c r="F892" s="94"/>
    </row>
    <row r="893" spans="1:6" x14ac:dyDescent="0.25">
      <c r="A893" s="86"/>
      <c r="B893" s="86"/>
      <c r="C893" s="88"/>
      <c r="D893" s="91"/>
      <c r="E893" s="92"/>
      <c r="F893" s="94"/>
    </row>
    <row r="894" spans="1:6" x14ac:dyDescent="0.25">
      <c r="A894" s="86"/>
      <c r="B894" s="86"/>
      <c r="C894" s="88"/>
      <c r="D894" s="91"/>
      <c r="E894" s="92"/>
      <c r="F894" s="94"/>
    </row>
    <row r="895" spans="1:6" x14ac:dyDescent="0.25">
      <c r="A895" s="86"/>
      <c r="B895" s="86"/>
      <c r="C895" s="88"/>
      <c r="D895" s="91"/>
      <c r="E895" s="92"/>
      <c r="F895" s="94"/>
    </row>
    <row r="896" spans="1:6" x14ac:dyDescent="0.25">
      <c r="A896" s="86"/>
      <c r="B896" s="86"/>
      <c r="C896" s="88"/>
      <c r="D896" s="91"/>
      <c r="E896" s="92"/>
      <c r="F896" s="94"/>
    </row>
    <row r="897" spans="1:6" x14ac:dyDescent="0.25">
      <c r="A897" s="86"/>
      <c r="B897" s="86"/>
      <c r="C897" s="88"/>
      <c r="D897" s="91"/>
      <c r="E897" s="92"/>
      <c r="F897" s="94"/>
    </row>
    <row r="898" spans="1:6" x14ac:dyDescent="0.25">
      <c r="A898" s="86"/>
      <c r="B898" s="86"/>
      <c r="C898" s="88"/>
      <c r="D898" s="91"/>
      <c r="E898" s="92"/>
      <c r="F898" s="94"/>
    </row>
    <row r="899" spans="1:6" x14ac:dyDescent="0.25">
      <c r="A899" s="86"/>
      <c r="B899" s="86"/>
      <c r="C899" s="88"/>
      <c r="D899" s="91"/>
      <c r="E899" s="92"/>
      <c r="F899" s="94"/>
    </row>
    <row r="900" spans="1:6" x14ac:dyDescent="0.25">
      <c r="A900" s="86"/>
      <c r="B900" s="86"/>
      <c r="C900" s="88"/>
      <c r="D900" s="91"/>
      <c r="E900" s="92"/>
      <c r="F900" s="94"/>
    </row>
    <row r="901" spans="1:6" x14ac:dyDescent="0.25">
      <c r="A901" s="86"/>
      <c r="B901" s="86"/>
      <c r="C901" s="88"/>
      <c r="D901" s="91"/>
      <c r="E901" s="92"/>
      <c r="F901" s="94"/>
    </row>
    <row r="902" spans="1:6" x14ac:dyDescent="0.25">
      <c r="A902" s="86"/>
      <c r="B902" s="86"/>
      <c r="C902" s="88"/>
      <c r="D902" s="91"/>
      <c r="E902" s="92"/>
      <c r="F902" s="94"/>
    </row>
    <row r="903" spans="1:6" x14ac:dyDescent="0.25">
      <c r="A903" s="86"/>
      <c r="B903" s="86"/>
      <c r="C903" s="88"/>
      <c r="D903" s="91"/>
      <c r="E903" s="92"/>
      <c r="F903" s="94"/>
    </row>
    <row r="904" spans="1:6" x14ac:dyDescent="0.25">
      <c r="A904" s="86"/>
      <c r="B904" s="86"/>
      <c r="C904" s="88"/>
      <c r="D904" s="91"/>
      <c r="E904" s="92"/>
      <c r="F904" s="94"/>
    </row>
    <row r="905" spans="1:6" x14ac:dyDescent="0.25">
      <c r="A905" s="86"/>
      <c r="B905" s="86"/>
      <c r="C905" s="88"/>
      <c r="D905" s="91"/>
      <c r="E905" s="92"/>
      <c r="F905" s="94"/>
    </row>
    <row r="906" spans="1:6" x14ac:dyDescent="0.25">
      <c r="A906" s="86"/>
      <c r="B906" s="86"/>
      <c r="C906" s="88"/>
      <c r="D906" s="91"/>
      <c r="E906" s="92"/>
      <c r="F906" s="94"/>
    </row>
    <row r="907" spans="1:6" x14ac:dyDescent="0.25">
      <c r="A907" s="86"/>
      <c r="B907" s="86"/>
      <c r="C907" s="88"/>
      <c r="D907" s="91"/>
      <c r="E907" s="92"/>
      <c r="F907" s="94"/>
    </row>
    <row r="908" spans="1:6" x14ac:dyDescent="0.25">
      <c r="A908" s="86"/>
      <c r="B908" s="86"/>
      <c r="C908" s="88"/>
      <c r="D908" s="91"/>
      <c r="E908" s="92"/>
      <c r="F908" s="94"/>
    </row>
    <row r="909" spans="1:6" x14ac:dyDescent="0.25">
      <c r="A909" s="86"/>
      <c r="B909" s="86"/>
      <c r="C909" s="88"/>
      <c r="D909" s="91"/>
      <c r="E909" s="92"/>
      <c r="F909" s="94"/>
    </row>
    <row r="910" spans="1:6" x14ac:dyDescent="0.25">
      <c r="A910" s="86"/>
      <c r="B910" s="86"/>
      <c r="C910" s="88"/>
      <c r="D910" s="91"/>
      <c r="E910" s="92"/>
      <c r="F910" s="94"/>
    </row>
    <row r="911" spans="1:6" x14ac:dyDescent="0.25">
      <c r="A911" s="86"/>
      <c r="B911" s="86"/>
      <c r="C911" s="88"/>
      <c r="D911" s="91"/>
      <c r="E911" s="92"/>
      <c r="F911" s="94"/>
    </row>
    <row r="912" spans="1:6" x14ac:dyDescent="0.25">
      <c r="A912" s="86"/>
      <c r="B912" s="86"/>
      <c r="C912" s="88"/>
      <c r="D912" s="91"/>
      <c r="E912" s="92"/>
      <c r="F912" s="94"/>
    </row>
    <row r="913" spans="1:6" x14ac:dyDescent="0.25">
      <c r="A913" s="86"/>
      <c r="B913" s="86"/>
      <c r="C913" s="88"/>
      <c r="D913" s="91"/>
      <c r="E913" s="92"/>
      <c r="F913" s="94"/>
    </row>
    <row r="914" spans="1:6" x14ac:dyDescent="0.25">
      <c r="A914" s="86"/>
      <c r="B914" s="86"/>
      <c r="C914" s="88"/>
      <c r="D914" s="91"/>
      <c r="E914" s="92"/>
      <c r="F914" s="94"/>
    </row>
    <row r="915" spans="1:6" x14ac:dyDescent="0.25">
      <c r="A915" s="86"/>
      <c r="B915" s="86"/>
      <c r="C915" s="88"/>
      <c r="D915" s="91"/>
      <c r="E915" s="92"/>
      <c r="F915" s="94"/>
    </row>
    <row r="916" spans="1:6" x14ac:dyDescent="0.25">
      <c r="A916" s="86"/>
      <c r="B916" s="86"/>
      <c r="C916" s="88"/>
      <c r="D916" s="91"/>
      <c r="E916" s="92"/>
      <c r="F916" s="94"/>
    </row>
    <row r="917" spans="1:6" x14ac:dyDescent="0.25">
      <c r="A917" s="86"/>
      <c r="B917" s="86"/>
      <c r="C917" s="88"/>
      <c r="D917" s="91"/>
      <c r="E917" s="92"/>
      <c r="F917" s="94"/>
    </row>
    <row r="918" spans="1:6" x14ac:dyDescent="0.25">
      <c r="A918" s="86"/>
      <c r="B918" s="86"/>
      <c r="C918" s="88"/>
      <c r="D918" s="91"/>
      <c r="E918" s="92"/>
      <c r="F918" s="94"/>
    </row>
    <row r="919" spans="1:6" x14ac:dyDescent="0.25">
      <c r="A919" s="86"/>
      <c r="B919" s="86"/>
      <c r="C919" s="88"/>
      <c r="D919" s="91"/>
      <c r="E919" s="92"/>
      <c r="F919" s="94"/>
    </row>
    <row r="920" spans="1:6" x14ac:dyDescent="0.25">
      <c r="A920" s="86"/>
      <c r="B920" s="86"/>
      <c r="C920" s="88"/>
      <c r="D920" s="91"/>
      <c r="E920" s="92"/>
      <c r="F920" s="94"/>
    </row>
    <row r="921" spans="1:6" x14ac:dyDescent="0.25">
      <c r="A921" s="86"/>
      <c r="B921" s="86"/>
      <c r="C921" s="88"/>
      <c r="D921" s="91"/>
      <c r="E921" s="92"/>
      <c r="F921" s="94"/>
    </row>
    <row r="922" spans="1:6" x14ac:dyDescent="0.25">
      <c r="A922" s="86"/>
      <c r="B922" s="86"/>
      <c r="C922" s="88"/>
      <c r="D922" s="91"/>
      <c r="E922" s="92"/>
      <c r="F922" s="94"/>
    </row>
    <row r="923" spans="1:6" x14ac:dyDescent="0.25">
      <c r="A923" s="86"/>
      <c r="B923" s="86"/>
      <c r="C923" s="88"/>
      <c r="D923" s="91"/>
      <c r="E923" s="92"/>
      <c r="F923" s="94"/>
    </row>
    <row r="924" spans="1:6" x14ac:dyDescent="0.25">
      <c r="A924" s="86"/>
      <c r="B924" s="86"/>
      <c r="C924" s="88"/>
      <c r="D924" s="91"/>
      <c r="E924" s="92"/>
      <c r="F924" s="94"/>
    </row>
    <row r="925" spans="1:6" x14ac:dyDescent="0.25">
      <c r="A925" s="86"/>
      <c r="B925" s="86"/>
      <c r="C925" s="88"/>
      <c r="D925" s="91"/>
      <c r="E925" s="92"/>
      <c r="F925" s="94"/>
    </row>
    <row r="926" spans="1:6" x14ac:dyDescent="0.25">
      <c r="A926" s="86"/>
      <c r="B926" s="86"/>
      <c r="C926" s="88"/>
      <c r="D926" s="91"/>
      <c r="E926" s="92"/>
      <c r="F926" s="94"/>
    </row>
    <row r="927" spans="1:6" x14ac:dyDescent="0.25">
      <c r="A927" s="86"/>
      <c r="B927" s="86"/>
      <c r="C927" s="88"/>
      <c r="D927" s="91"/>
      <c r="E927" s="92"/>
      <c r="F927" s="94"/>
    </row>
    <row r="928" spans="1:6" x14ac:dyDescent="0.25">
      <c r="A928" s="86"/>
      <c r="B928" s="86"/>
      <c r="C928" s="88"/>
      <c r="D928" s="91"/>
      <c r="E928" s="92"/>
      <c r="F928" s="94"/>
    </row>
    <row r="929" spans="1:6" x14ac:dyDescent="0.25">
      <c r="A929" s="86"/>
      <c r="B929" s="86"/>
      <c r="C929" s="88"/>
      <c r="D929" s="91"/>
      <c r="E929" s="92"/>
      <c r="F929" s="94"/>
    </row>
    <row r="930" spans="1:6" x14ac:dyDescent="0.25">
      <c r="A930" s="86"/>
      <c r="B930" s="86"/>
      <c r="C930" s="88"/>
      <c r="D930" s="91"/>
      <c r="E930" s="92"/>
      <c r="F930" s="94"/>
    </row>
    <row r="931" spans="1:6" x14ac:dyDescent="0.25">
      <c r="A931" s="86"/>
      <c r="B931" s="86"/>
      <c r="C931" s="88"/>
      <c r="D931" s="91"/>
      <c r="E931" s="92"/>
      <c r="F931" s="94"/>
    </row>
    <row r="932" spans="1:6" x14ac:dyDescent="0.25">
      <c r="A932" s="86"/>
      <c r="B932" s="86"/>
      <c r="C932" s="88"/>
      <c r="D932" s="91"/>
      <c r="E932" s="92"/>
      <c r="F932" s="94"/>
    </row>
    <row r="933" spans="1:6" x14ac:dyDescent="0.25">
      <c r="A933" s="86"/>
      <c r="B933" s="86"/>
      <c r="C933" s="88"/>
      <c r="D933" s="91"/>
      <c r="E933" s="92"/>
      <c r="F933" s="94"/>
    </row>
    <row r="934" spans="1:6" x14ac:dyDescent="0.25">
      <c r="A934" s="86"/>
      <c r="B934" s="86"/>
      <c r="C934" s="88"/>
      <c r="D934" s="91"/>
      <c r="E934" s="92"/>
      <c r="F934" s="94"/>
    </row>
    <row r="935" spans="1:6" x14ac:dyDescent="0.25">
      <c r="A935" s="86"/>
      <c r="B935" s="86"/>
      <c r="C935" s="88"/>
      <c r="D935" s="91"/>
      <c r="E935" s="92"/>
      <c r="F935" s="94"/>
    </row>
    <row r="936" spans="1:6" x14ac:dyDescent="0.25">
      <c r="A936" s="86"/>
      <c r="B936" s="86"/>
      <c r="C936" s="88"/>
      <c r="D936" s="91"/>
      <c r="E936" s="92"/>
      <c r="F936" s="94"/>
    </row>
    <row r="937" spans="1:6" x14ac:dyDescent="0.25">
      <c r="A937" s="86"/>
      <c r="B937" s="86"/>
      <c r="C937" s="88"/>
      <c r="D937" s="91"/>
      <c r="E937" s="92"/>
      <c r="F937" s="94"/>
    </row>
    <row r="938" spans="1:6" x14ac:dyDescent="0.25">
      <c r="A938" s="86"/>
      <c r="B938" s="86"/>
      <c r="C938" s="88"/>
      <c r="D938" s="91"/>
      <c r="E938" s="92"/>
      <c r="F938" s="94"/>
    </row>
    <row r="939" spans="1:6" x14ac:dyDescent="0.25">
      <c r="A939" s="86"/>
      <c r="B939" s="86"/>
      <c r="C939" s="88"/>
      <c r="D939" s="91"/>
      <c r="E939" s="92"/>
      <c r="F939" s="94"/>
    </row>
    <row r="940" spans="1:6" x14ac:dyDescent="0.25">
      <c r="A940" s="86"/>
      <c r="B940" s="86"/>
      <c r="C940" s="88"/>
      <c r="D940" s="91"/>
      <c r="E940" s="92"/>
      <c r="F940" s="94"/>
    </row>
    <row r="941" spans="1:6" x14ac:dyDescent="0.25">
      <c r="A941" s="86"/>
      <c r="B941" s="86"/>
      <c r="C941" s="88"/>
      <c r="D941" s="91"/>
      <c r="E941" s="92"/>
      <c r="F941" s="94"/>
    </row>
    <row r="942" spans="1:6" x14ac:dyDescent="0.25">
      <c r="A942" s="86"/>
      <c r="B942" s="86"/>
      <c r="C942" s="88"/>
      <c r="D942" s="91"/>
      <c r="E942" s="92"/>
      <c r="F942" s="94"/>
    </row>
    <row r="943" spans="1:6" x14ac:dyDescent="0.25">
      <c r="A943" s="86"/>
      <c r="B943" s="86"/>
      <c r="C943" s="88"/>
      <c r="D943" s="91"/>
      <c r="E943" s="92"/>
      <c r="F943" s="94"/>
    </row>
    <row r="944" spans="1:6" x14ac:dyDescent="0.25">
      <c r="A944" s="86"/>
      <c r="B944" s="86"/>
      <c r="C944" s="88"/>
      <c r="D944" s="91"/>
      <c r="E944" s="92"/>
      <c r="F944" s="94"/>
    </row>
    <row r="945" spans="1:6" x14ac:dyDescent="0.25">
      <c r="A945" s="86"/>
      <c r="B945" s="86"/>
      <c r="C945" s="88"/>
      <c r="D945" s="91"/>
      <c r="E945" s="92"/>
      <c r="F945" s="94"/>
    </row>
    <row r="946" spans="1:6" x14ac:dyDescent="0.25">
      <c r="A946" s="86"/>
      <c r="B946" s="86"/>
      <c r="C946" s="88"/>
      <c r="D946" s="91"/>
      <c r="E946" s="92"/>
      <c r="F946" s="94"/>
    </row>
    <row r="947" spans="1:6" x14ac:dyDescent="0.25">
      <c r="A947" s="86"/>
      <c r="B947" s="86"/>
      <c r="C947" s="88"/>
      <c r="D947" s="91"/>
      <c r="E947" s="92"/>
      <c r="F947" s="94"/>
    </row>
    <row r="948" spans="1:6" x14ac:dyDescent="0.25">
      <c r="A948" s="86"/>
      <c r="B948" s="86"/>
      <c r="C948" s="88"/>
      <c r="D948" s="91"/>
      <c r="E948" s="92"/>
      <c r="F948" s="94"/>
    </row>
    <row r="949" spans="1:6" x14ac:dyDescent="0.25">
      <c r="A949" s="86"/>
      <c r="B949" s="86"/>
      <c r="C949" s="88"/>
      <c r="D949" s="91"/>
      <c r="E949" s="92"/>
      <c r="F949" s="94"/>
    </row>
    <row r="950" spans="1:6" x14ac:dyDescent="0.25">
      <c r="A950" s="86"/>
      <c r="B950" s="86"/>
      <c r="C950" s="88"/>
      <c r="D950" s="91"/>
      <c r="E950" s="92"/>
      <c r="F950" s="94"/>
    </row>
    <row r="951" spans="1:6" x14ac:dyDescent="0.25">
      <c r="A951" s="86"/>
      <c r="B951" s="86"/>
      <c r="C951" s="88"/>
      <c r="D951" s="91"/>
      <c r="E951" s="92"/>
      <c r="F951" s="94"/>
    </row>
    <row r="952" spans="1:6" x14ac:dyDescent="0.25">
      <c r="A952" s="86"/>
      <c r="B952" s="86"/>
      <c r="C952" s="88"/>
      <c r="D952" s="91"/>
      <c r="E952" s="92"/>
      <c r="F952" s="94"/>
    </row>
    <row r="953" spans="1:6" x14ac:dyDescent="0.25">
      <c r="A953" s="86"/>
      <c r="B953" s="86"/>
      <c r="C953" s="88"/>
      <c r="D953" s="91"/>
      <c r="E953" s="92"/>
      <c r="F953" s="94"/>
    </row>
    <row r="954" spans="1:6" x14ac:dyDescent="0.25">
      <c r="A954" s="86"/>
      <c r="B954" s="86"/>
      <c r="C954" s="88"/>
      <c r="D954" s="91"/>
      <c r="E954" s="92"/>
      <c r="F954" s="94"/>
    </row>
    <row r="955" spans="1:6" x14ac:dyDescent="0.25">
      <c r="A955" s="86"/>
      <c r="B955" s="86"/>
      <c r="C955" s="88"/>
      <c r="D955" s="91"/>
      <c r="E955" s="92"/>
      <c r="F955" s="94"/>
    </row>
    <row r="956" spans="1:6" x14ac:dyDescent="0.25">
      <c r="A956" s="86"/>
      <c r="B956" s="86"/>
      <c r="C956" s="88"/>
      <c r="D956" s="91"/>
      <c r="E956" s="92"/>
      <c r="F956" s="94"/>
    </row>
    <row r="957" spans="1:6" x14ac:dyDescent="0.25">
      <c r="A957" s="86"/>
      <c r="B957" s="86"/>
      <c r="C957" s="88"/>
      <c r="D957" s="91"/>
      <c r="E957" s="92"/>
      <c r="F957" s="94"/>
    </row>
    <row r="958" spans="1:6" x14ac:dyDescent="0.25">
      <c r="A958" s="86"/>
      <c r="B958" s="86"/>
      <c r="C958" s="88"/>
      <c r="D958" s="91"/>
      <c r="E958" s="92"/>
      <c r="F958" s="94"/>
    </row>
    <row r="959" spans="1:6" x14ac:dyDescent="0.25">
      <c r="A959" s="86"/>
      <c r="B959" s="86"/>
      <c r="C959" s="88"/>
      <c r="D959" s="91"/>
      <c r="E959" s="92"/>
      <c r="F959" s="94"/>
    </row>
    <row r="960" spans="1:6" x14ac:dyDescent="0.25">
      <c r="A960" s="86"/>
      <c r="B960" s="86"/>
      <c r="C960" s="88"/>
      <c r="D960" s="91"/>
      <c r="E960" s="92"/>
      <c r="F960" s="94"/>
    </row>
    <row r="961" spans="1:6" x14ac:dyDescent="0.25">
      <c r="A961" s="86"/>
      <c r="B961" s="86"/>
      <c r="C961" s="88"/>
      <c r="D961" s="91"/>
      <c r="E961" s="92"/>
      <c r="F961" s="94"/>
    </row>
    <row r="962" spans="1:6" x14ac:dyDescent="0.25">
      <c r="A962" s="86"/>
      <c r="B962" s="86"/>
      <c r="C962" s="88"/>
      <c r="D962" s="91"/>
      <c r="E962" s="92"/>
      <c r="F962" s="94"/>
    </row>
    <row r="963" spans="1:6" x14ac:dyDescent="0.25">
      <c r="A963" s="86"/>
      <c r="B963" s="86"/>
      <c r="C963" s="88"/>
      <c r="D963" s="91"/>
      <c r="E963" s="92"/>
      <c r="F963" s="94"/>
    </row>
    <row r="964" spans="1:6" x14ac:dyDescent="0.25">
      <c r="A964" s="86"/>
      <c r="B964" s="86"/>
      <c r="C964" s="88"/>
      <c r="D964" s="91"/>
      <c r="E964" s="92"/>
      <c r="F964" s="94"/>
    </row>
    <row r="965" spans="1:6" x14ac:dyDescent="0.25">
      <c r="A965" s="86"/>
      <c r="B965" s="86"/>
      <c r="C965" s="88"/>
      <c r="D965" s="91"/>
      <c r="E965" s="92"/>
      <c r="F965" s="94"/>
    </row>
    <row r="966" spans="1:6" x14ac:dyDescent="0.25">
      <c r="A966" s="86"/>
      <c r="B966" s="86"/>
      <c r="C966" s="88"/>
      <c r="D966" s="91"/>
      <c r="E966" s="92"/>
      <c r="F966" s="94"/>
    </row>
    <row r="967" spans="1:6" x14ac:dyDescent="0.25">
      <c r="A967" s="86"/>
      <c r="B967" s="86"/>
      <c r="C967" s="88"/>
      <c r="D967" s="91"/>
      <c r="E967" s="92"/>
      <c r="F967" s="94"/>
    </row>
    <row r="968" spans="1:6" x14ac:dyDescent="0.25">
      <c r="A968" s="86"/>
      <c r="B968" s="86"/>
      <c r="C968" s="88"/>
      <c r="D968" s="91"/>
      <c r="E968" s="92"/>
      <c r="F968" s="94"/>
    </row>
    <row r="969" spans="1:6" x14ac:dyDescent="0.25">
      <c r="A969" s="86"/>
      <c r="B969" s="86"/>
      <c r="C969" s="88"/>
      <c r="D969" s="91"/>
      <c r="E969" s="92"/>
      <c r="F969" s="94"/>
    </row>
    <row r="970" spans="1:6" x14ac:dyDescent="0.25">
      <c r="A970" s="86"/>
      <c r="B970" s="86"/>
      <c r="C970" s="88"/>
      <c r="D970" s="91"/>
      <c r="E970" s="92"/>
      <c r="F970" s="94"/>
    </row>
    <row r="971" spans="1:6" x14ac:dyDescent="0.25">
      <c r="A971" s="86"/>
      <c r="B971" s="86"/>
      <c r="C971" s="88"/>
      <c r="D971" s="91"/>
      <c r="E971" s="92"/>
      <c r="F971" s="94"/>
    </row>
    <row r="972" spans="1:6" x14ac:dyDescent="0.25">
      <c r="A972" s="86"/>
      <c r="B972" s="86"/>
      <c r="C972" s="88"/>
      <c r="D972" s="91"/>
      <c r="E972" s="92"/>
      <c r="F972" s="94"/>
    </row>
    <row r="973" spans="1:6" x14ac:dyDescent="0.25">
      <c r="A973" s="86"/>
      <c r="B973" s="86"/>
      <c r="C973" s="88"/>
      <c r="D973" s="91"/>
      <c r="E973" s="92"/>
      <c r="F973" s="94"/>
    </row>
    <row r="974" spans="1:6" x14ac:dyDescent="0.25">
      <c r="A974" s="86"/>
      <c r="B974" s="86"/>
      <c r="C974" s="88"/>
      <c r="D974" s="91"/>
      <c r="E974" s="92"/>
      <c r="F974" s="94"/>
    </row>
    <row r="975" spans="1:6" x14ac:dyDescent="0.25">
      <c r="A975" s="86"/>
      <c r="B975" s="86"/>
      <c r="C975" s="88"/>
      <c r="D975" s="91"/>
      <c r="E975" s="92"/>
      <c r="F975" s="94"/>
    </row>
    <row r="976" spans="1:6" x14ac:dyDescent="0.25">
      <c r="A976" s="86"/>
      <c r="B976" s="86"/>
      <c r="C976" s="88"/>
      <c r="D976" s="91"/>
      <c r="E976" s="92"/>
      <c r="F976" s="94"/>
    </row>
    <row r="977" spans="1:6" x14ac:dyDescent="0.25">
      <c r="A977" s="86"/>
      <c r="B977" s="86"/>
      <c r="C977" s="88"/>
      <c r="D977" s="91"/>
      <c r="E977" s="92"/>
      <c r="F977" s="94"/>
    </row>
    <row r="978" spans="1:6" x14ac:dyDescent="0.25">
      <c r="A978" s="86"/>
      <c r="B978" s="86"/>
      <c r="C978" s="88"/>
      <c r="D978" s="91"/>
      <c r="E978" s="92"/>
      <c r="F978" s="94"/>
    </row>
    <row r="979" spans="1:6" x14ac:dyDescent="0.25">
      <c r="A979" s="86"/>
      <c r="B979" s="86"/>
      <c r="C979" s="88"/>
      <c r="D979" s="91"/>
      <c r="E979" s="92"/>
      <c r="F979" s="94"/>
    </row>
    <row r="980" spans="1:6" x14ac:dyDescent="0.25">
      <c r="A980" s="86"/>
      <c r="B980" s="86"/>
      <c r="C980" s="88"/>
      <c r="D980" s="91"/>
      <c r="E980" s="92"/>
      <c r="F980" s="94"/>
    </row>
    <row r="981" spans="1:6" x14ac:dyDescent="0.25">
      <c r="A981" s="86"/>
      <c r="B981" s="86"/>
      <c r="C981" s="88"/>
      <c r="D981" s="91"/>
      <c r="E981" s="92"/>
      <c r="F981" s="94"/>
    </row>
    <row r="982" spans="1:6" x14ac:dyDescent="0.25">
      <c r="A982" s="86"/>
      <c r="B982" s="86"/>
      <c r="C982" s="88"/>
      <c r="D982" s="91"/>
      <c r="E982" s="92"/>
      <c r="F982" s="94"/>
    </row>
    <row r="983" spans="1:6" x14ac:dyDescent="0.25">
      <c r="A983" s="86"/>
      <c r="B983" s="86"/>
      <c r="C983" s="88"/>
      <c r="D983" s="91"/>
      <c r="E983" s="92"/>
      <c r="F983" s="94"/>
    </row>
    <row r="984" spans="1:6" x14ac:dyDescent="0.25">
      <c r="A984" s="86"/>
      <c r="B984" s="86"/>
      <c r="C984" s="88"/>
      <c r="D984" s="91"/>
      <c r="E984" s="92"/>
      <c r="F984" s="94"/>
    </row>
    <row r="985" spans="1:6" x14ac:dyDescent="0.25">
      <c r="A985" s="86"/>
      <c r="B985" s="86"/>
      <c r="C985" s="88"/>
      <c r="D985" s="91"/>
      <c r="E985" s="92"/>
      <c r="F985" s="94"/>
    </row>
    <row r="986" spans="1:6" x14ac:dyDescent="0.25">
      <c r="A986" s="86"/>
      <c r="B986" s="86"/>
      <c r="C986" s="88"/>
      <c r="D986" s="91"/>
      <c r="E986" s="92"/>
      <c r="F986" s="94"/>
    </row>
    <row r="987" spans="1:6" x14ac:dyDescent="0.25">
      <c r="A987" s="86"/>
      <c r="B987" s="86"/>
      <c r="C987" s="88"/>
      <c r="D987" s="91"/>
      <c r="E987" s="92"/>
      <c r="F987" s="94"/>
    </row>
    <row r="988" spans="1:6" x14ac:dyDescent="0.25">
      <c r="A988" s="86"/>
      <c r="B988" s="86"/>
      <c r="C988" s="88"/>
      <c r="D988" s="91"/>
      <c r="E988" s="92"/>
      <c r="F988" s="94"/>
    </row>
    <row r="989" spans="1:6" x14ac:dyDescent="0.25">
      <c r="A989" s="86"/>
      <c r="B989" s="86"/>
      <c r="C989" s="88"/>
      <c r="D989" s="91"/>
      <c r="E989" s="92"/>
      <c r="F989" s="94"/>
    </row>
    <row r="990" spans="1:6" x14ac:dyDescent="0.25">
      <c r="A990" s="86"/>
      <c r="B990" s="86"/>
      <c r="C990" s="88"/>
      <c r="D990" s="91"/>
      <c r="E990" s="92"/>
      <c r="F990" s="94"/>
    </row>
    <row r="991" spans="1:6" x14ac:dyDescent="0.25">
      <c r="A991" s="86"/>
      <c r="B991" s="86"/>
      <c r="C991" s="88"/>
      <c r="D991" s="91"/>
      <c r="E991" s="92"/>
      <c r="F991" s="94"/>
    </row>
    <row r="992" spans="1:6" x14ac:dyDescent="0.25">
      <c r="A992" s="86"/>
      <c r="B992" s="86"/>
      <c r="C992" s="88"/>
      <c r="D992" s="91"/>
      <c r="E992" s="92"/>
      <c r="F992" s="94"/>
    </row>
    <row r="993" spans="1:6" x14ac:dyDescent="0.25">
      <c r="A993" s="86"/>
      <c r="B993" s="86"/>
      <c r="C993" s="88"/>
      <c r="D993" s="91"/>
      <c r="E993" s="92"/>
      <c r="F993" s="94"/>
    </row>
    <row r="994" spans="1:6" x14ac:dyDescent="0.25">
      <c r="A994" s="86"/>
      <c r="B994" s="86"/>
      <c r="C994" s="88"/>
      <c r="D994" s="91"/>
      <c r="E994" s="92"/>
      <c r="F994" s="94"/>
    </row>
    <row r="995" spans="1:6" x14ac:dyDescent="0.25">
      <c r="A995" s="86"/>
      <c r="B995" s="86"/>
      <c r="C995" s="88"/>
      <c r="D995" s="91"/>
      <c r="E995" s="92"/>
      <c r="F995" s="94"/>
    </row>
    <row r="996" spans="1:6" x14ac:dyDescent="0.25">
      <c r="A996" s="86"/>
      <c r="B996" s="86"/>
      <c r="C996" s="88"/>
      <c r="D996" s="91"/>
      <c r="E996" s="92"/>
      <c r="F996" s="94"/>
    </row>
    <row r="997" spans="1:6" x14ac:dyDescent="0.25">
      <c r="A997" s="86"/>
      <c r="B997" s="86"/>
      <c r="C997" s="88"/>
      <c r="D997" s="91"/>
      <c r="E997" s="92"/>
      <c r="F997" s="94"/>
    </row>
    <row r="998" spans="1:6" x14ac:dyDescent="0.25">
      <c r="A998" s="86"/>
      <c r="B998" s="86"/>
      <c r="C998" s="88"/>
      <c r="D998" s="91"/>
      <c r="E998" s="92"/>
      <c r="F998" s="94"/>
    </row>
    <row r="999" spans="1:6" x14ac:dyDescent="0.25">
      <c r="A999" s="86"/>
      <c r="B999" s="86"/>
      <c r="C999" s="88"/>
      <c r="D999" s="91"/>
      <c r="E999" s="92"/>
      <c r="F999" s="94"/>
    </row>
    <row r="1000" spans="1:6" x14ac:dyDescent="0.25">
      <c r="A1000" s="86"/>
      <c r="B1000" s="86"/>
      <c r="C1000" s="88"/>
      <c r="D1000" s="91"/>
      <c r="E1000" s="92"/>
      <c r="F1000" s="94"/>
    </row>
    <row r="1001" spans="1:6" x14ac:dyDescent="0.25">
      <c r="A1001" s="86"/>
      <c r="B1001" s="86"/>
      <c r="C1001" s="88"/>
      <c r="D1001" s="91"/>
      <c r="E1001" s="92"/>
      <c r="F1001" s="94"/>
    </row>
    <row r="1002" spans="1:6" x14ac:dyDescent="0.25">
      <c r="A1002" s="86"/>
      <c r="B1002" s="86"/>
      <c r="C1002" s="88"/>
      <c r="D1002" s="91"/>
      <c r="E1002" s="92"/>
      <c r="F1002" s="94"/>
    </row>
    <row r="1003" spans="1:6" x14ac:dyDescent="0.25">
      <c r="A1003" s="86"/>
      <c r="B1003" s="86"/>
      <c r="C1003" s="88"/>
      <c r="D1003" s="91"/>
      <c r="E1003" s="92"/>
      <c r="F1003" s="94"/>
    </row>
    <row r="1004" spans="1:6" x14ac:dyDescent="0.25">
      <c r="A1004" s="86"/>
      <c r="B1004" s="86"/>
      <c r="C1004" s="88"/>
      <c r="D1004" s="91"/>
      <c r="E1004" s="92"/>
      <c r="F1004" s="94"/>
    </row>
    <row r="1005" spans="1:6" x14ac:dyDescent="0.25">
      <c r="A1005" s="86"/>
      <c r="B1005" s="86"/>
      <c r="C1005" s="88"/>
      <c r="D1005" s="91"/>
      <c r="E1005" s="92"/>
      <c r="F1005" s="94"/>
    </row>
    <row r="1006" spans="1:6" x14ac:dyDescent="0.25">
      <c r="A1006" s="86"/>
      <c r="B1006" s="86"/>
      <c r="C1006" s="88"/>
      <c r="D1006" s="91"/>
      <c r="E1006" s="92"/>
      <c r="F1006" s="94"/>
    </row>
    <row r="1007" spans="1:6" x14ac:dyDescent="0.25">
      <c r="A1007" s="86"/>
      <c r="B1007" s="86"/>
      <c r="C1007" s="88"/>
      <c r="D1007" s="91"/>
      <c r="E1007" s="92"/>
      <c r="F1007" s="94"/>
    </row>
    <row r="1008" spans="1:6" x14ac:dyDescent="0.25">
      <c r="A1008" s="86"/>
      <c r="B1008" s="86"/>
      <c r="C1008" s="88"/>
      <c r="D1008" s="91"/>
      <c r="E1008" s="92"/>
      <c r="F1008" s="94"/>
    </row>
    <row r="1009" spans="1:6" x14ac:dyDescent="0.25">
      <c r="A1009" s="86"/>
      <c r="B1009" s="86"/>
      <c r="C1009" s="88"/>
      <c r="D1009" s="91"/>
      <c r="E1009" s="92"/>
      <c r="F1009" s="94"/>
    </row>
    <row r="1010" spans="1:6" x14ac:dyDescent="0.25">
      <c r="A1010" s="86"/>
      <c r="B1010" s="86"/>
      <c r="C1010" s="88"/>
      <c r="D1010" s="91"/>
      <c r="E1010" s="92"/>
      <c r="F1010" s="94"/>
    </row>
    <row r="1011" spans="1:6" x14ac:dyDescent="0.25">
      <c r="A1011" s="86"/>
      <c r="B1011" s="86"/>
      <c r="C1011" s="88"/>
      <c r="D1011" s="91"/>
      <c r="E1011" s="92"/>
      <c r="F1011" s="94"/>
    </row>
    <row r="1012" spans="1:6" x14ac:dyDescent="0.25">
      <c r="A1012" s="86"/>
      <c r="B1012" s="86"/>
      <c r="C1012" s="88"/>
      <c r="D1012" s="91"/>
      <c r="E1012" s="92"/>
      <c r="F1012" s="94"/>
    </row>
    <row r="1013" spans="1:6" x14ac:dyDescent="0.25">
      <c r="A1013" s="86"/>
      <c r="B1013" s="86"/>
      <c r="C1013" s="88"/>
      <c r="D1013" s="91"/>
      <c r="E1013" s="92"/>
      <c r="F1013" s="94"/>
    </row>
    <row r="1014" spans="1:6" x14ac:dyDescent="0.25">
      <c r="A1014" s="86"/>
      <c r="B1014" s="86"/>
      <c r="C1014" s="88"/>
      <c r="D1014" s="91"/>
      <c r="E1014" s="92"/>
      <c r="F1014" s="94"/>
    </row>
    <row r="1015" spans="1:6" x14ac:dyDescent="0.25">
      <c r="A1015" s="86"/>
      <c r="B1015" s="86"/>
      <c r="C1015" s="88"/>
      <c r="D1015" s="91"/>
      <c r="E1015" s="92"/>
      <c r="F1015" s="94"/>
    </row>
    <row r="1016" spans="1:6" x14ac:dyDescent="0.25">
      <c r="A1016" s="86"/>
      <c r="B1016" s="86"/>
      <c r="C1016" s="88"/>
      <c r="D1016" s="91"/>
      <c r="E1016" s="92"/>
      <c r="F1016" s="94"/>
    </row>
    <row r="1017" spans="1:6" x14ac:dyDescent="0.25">
      <c r="A1017" s="86"/>
      <c r="B1017" s="86"/>
      <c r="C1017" s="88"/>
      <c r="D1017" s="91"/>
      <c r="E1017" s="92"/>
      <c r="F1017" s="9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_SCom_CustSetTrim() P'!A1" display="'DigColPs_SCom_CustSetTrim() P'!A1"/>
    <hyperlink ref="A18" location="'DigColPs_SCom_CustSetTrim() R'!A1" display="'DigColPs_SCom_CustSetTrim() R'!A1"/>
    <hyperlink ref="A19" location="'DigColPs_SCom_CustSetTrim() M'!A1" display="'DigColPs_SCom_CustSetTrim() M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Y15"/>
  <sheetViews>
    <sheetView zoomScaleNormal="100" workbookViewId="0">
      <selection sqref="A1:B1"/>
    </sheetView>
  </sheetViews>
  <sheetFormatPr defaultRowHeight="15" x14ac:dyDescent="0.25"/>
  <cols>
    <col min="1" max="1" width="9.7109375" bestFit="1" customWidth="1"/>
    <col min="2" max="2" width="255.7109375" bestFit="1" customWidth="1"/>
    <col min="3" max="4" width="5" bestFit="1" customWidth="1"/>
    <col min="5" max="6" width="4.85546875" bestFit="1" customWidth="1"/>
    <col min="7" max="8" width="5" bestFit="1" customWidth="1"/>
    <col min="9" max="9" width="6.28515625" bestFit="1" customWidth="1"/>
    <col min="10" max="11" width="13.5703125" bestFit="1" customWidth="1"/>
    <col min="12" max="12" width="7.42578125" bestFit="1" customWidth="1"/>
    <col min="13" max="14" width="6.28515625" bestFit="1" customWidth="1"/>
    <col min="15" max="15" width="4.85546875" bestFit="1" customWidth="1"/>
    <col min="16" max="17" width="7.85546875" bestFit="1" customWidth="1"/>
    <col min="18" max="24" width="4.85546875" bestFit="1" customWidth="1"/>
    <col min="25" max="27" width="4.85546875" customWidth="1"/>
    <col min="28" max="36" width="7.85546875" bestFit="1" customWidth="1"/>
    <col min="37" max="38" width="13.5703125" bestFit="1" customWidth="1"/>
    <col min="39" max="40" width="7.85546875" bestFit="1" customWidth="1"/>
    <col min="41" max="41" width="9.5703125" bestFit="1" customWidth="1"/>
    <col min="42" max="48" width="7.85546875" bestFit="1" customWidth="1"/>
    <col min="49" max="49" width="14.5703125" bestFit="1" customWidth="1"/>
    <col min="50" max="50" width="16" bestFit="1" customWidth="1"/>
    <col min="51" max="51" width="13.42578125" bestFit="1" customWidth="1"/>
  </cols>
  <sheetData>
    <row r="1" spans="1:51" x14ac:dyDescent="0.25">
      <c r="A1" s="279" t="s">
        <v>398</v>
      </c>
      <c r="B1" s="280"/>
      <c r="C1" s="45" t="s">
        <v>160</v>
      </c>
      <c r="D1" s="58" t="s">
        <v>159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239"/>
      <c r="Z1" s="239"/>
      <c r="AA1" s="239"/>
      <c r="AB1" s="239"/>
      <c r="AC1" s="239"/>
      <c r="AD1" s="239"/>
      <c r="AE1" s="239"/>
      <c r="AF1" s="239"/>
      <c r="AG1" s="239"/>
      <c r="AH1" s="239"/>
      <c r="AI1" s="239"/>
      <c r="AJ1" s="239"/>
      <c r="AK1" s="239"/>
      <c r="AL1" s="239"/>
      <c r="AM1" s="239"/>
      <c r="AN1" s="239"/>
      <c r="AO1" s="239"/>
      <c r="AP1" s="239"/>
      <c r="AQ1" s="239"/>
      <c r="AR1" s="239"/>
      <c r="AS1" s="239"/>
      <c r="AT1" s="239"/>
      <c r="AU1" s="239"/>
      <c r="AV1" s="239"/>
      <c r="AW1" s="43"/>
      <c r="AX1" s="43"/>
      <c r="AY1" s="44"/>
    </row>
    <row r="2" spans="1:51" ht="60" customHeight="1" x14ac:dyDescent="0.25">
      <c r="A2" s="281" t="s">
        <v>99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48" t="s">
        <v>150</v>
      </c>
      <c r="O2" s="48" t="s">
        <v>150</v>
      </c>
      <c r="P2" s="64" t="s">
        <v>239</v>
      </c>
      <c r="Q2" s="60" t="s">
        <v>170</v>
      </c>
      <c r="R2" s="27" t="s">
        <v>151</v>
      </c>
      <c r="S2" s="27" t="s">
        <v>151</v>
      </c>
      <c r="T2" s="27" t="s">
        <v>151</v>
      </c>
      <c r="U2" s="27" t="s">
        <v>151</v>
      </c>
      <c r="V2" s="27" t="s">
        <v>151</v>
      </c>
      <c r="W2" s="27" t="s">
        <v>151</v>
      </c>
      <c r="X2" s="27" t="s">
        <v>151</v>
      </c>
      <c r="Y2" s="27" t="s">
        <v>151</v>
      </c>
      <c r="Z2" s="27" t="s">
        <v>151</v>
      </c>
      <c r="AA2" s="27" t="s">
        <v>151</v>
      </c>
      <c r="AB2" s="27" t="s">
        <v>152</v>
      </c>
      <c r="AC2" s="27" t="s">
        <v>152</v>
      </c>
      <c r="AD2" s="27" t="s">
        <v>152</v>
      </c>
      <c r="AE2" s="27" t="s">
        <v>152</v>
      </c>
      <c r="AF2" s="27" t="s">
        <v>152</v>
      </c>
      <c r="AG2" s="28" t="s">
        <v>171</v>
      </c>
      <c r="AH2" s="28" t="s">
        <v>153</v>
      </c>
      <c r="AI2" s="28" t="s">
        <v>153</v>
      </c>
      <c r="AJ2" s="28" t="s">
        <v>153</v>
      </c>
      <c r="AK2" s="28" t="s">
        <v>153</v>
      </c>
      <c r="AL2" s="28" t="s">
        <v>153</v>
      </c>
      <c r="AM2" s="28" t="s">
        <v>153</v>
      </c>
      <c r="AN2" s="28" t="s">
        <v>153</v>
      </c>
      <c r="AO2" s="28" t="s">
        <v>153</v>
      </c>
      <c r="AP2" s="28" t="s">
        <v>153</v>
      </c>
      <c r="AQ2" s="28" t="s">
        <v>153</v>
      </c>
      <c r="AR2" s="28" t="s">
        <v>154</v>
      </c>
      <c r="AS2" s="28" t="s">
        <v>154</v>
      </c>
      <c r="AT2" s="28" t="s">
        <v>154</v>
      </c>
      <c r="AU2" s="28" t="s">
        <v>154</v>
      </c>
      <c r="AV2" s="28" t="s">
        <v>154</v>
      </c>
      <c r="AW2" s="29" t="s">
        <v>21</v>
      </c>
      <c r="AX2" s="29" t="s">
        <v>156</v>
      </c>
      <c r="AY2" s="30" t="s">
        <v>158</v>
      </c>
    </row>
    <row r="3" spans="1:51" ht="170.25" x14ac:dyDescent="0.25">
      <c r="A3" s="31" t="s">
        <v>148</v>
      </c>
      <c r="B3" s="32" t="s">
        <v>149</v>
      </c>
      <c r="C3" s="33" t="s">
        <v>286</v>
      </c>
      <c r="D3" s="33" t="s">
        <v>285</v>
      </c>
      <c r="E3" s="33" t="s">
        <v>567</v>
      </c>
      <c r="F3" s="33" t="s">
        <v>566</v>
      </c>
      <c r="G3" s="33" t="s">
        <v>258</v>
      </c>
      <c r="H3" s="33" t="s">
        <v>259</v>
      </c>
      <c r="I3" s="33" t="s">
        <v>274</v>
      </c>
      <c r="J3" s="33" t="s">
        <v>287</v>
      </c>
      <c r="K3" s="33" t="s">
        <v>288</v>
      </c>
      <c r="L3" s="33" t="s">
        <v>289</v>
      </c>
      <c r="M3" s="33" t="s">
        <v>422</v>
      </c>
      <c r="N3" s="33" t="s">
        <v>382</v>
      </c>
      <c r="O3" s="33" t="s">
        <v>424</v>
      </c>
      <c r="P3" s="33" t="s">
        <v>425</v>
      </c>
      <c r="Q3" s="34" t="s">
        <v>398</v>
      </c>
      <c r="R3" s="34" t="s">
        <v>258</v>
      </c>
      <c r="S3" s="34" t="s">
        <v>259</v>
      </c>
      <c r="T3" s="34" t="s">
        <v>274</v>
      </c>
      <c r="U3" s="34" t="s">
        <v>287</v>
      </c>
      <c r="V3" s="34" t="s">
        <v>288</v>
      </c>
      <c r="W3" s="34" t="s">
        <v>289</v>
      </c>
      <c r="X3" s="34" t="s">
        <v>424</v>
      </c>
      <c r="Y3" s="34" t="s">
        <v>342</v>
      </c>
      <c r="Z3" s="34" t="s">
        <v>343</v>
      </c>
      <c r="AA3" s="34" t="s">
        <v>344</v>
      </c>
      <c r="AB3" s="34" t="s">
        <v>272</v>
      </c>
      <c r="AC3" s="34" t="s">
        <v>273</v>
      </c>
      <c r="AD3" s="34" t="s">
        <v>56</v>
      </c>
      <c r="AE3" s="34" t="s">
        <v>55</v>
      </c>
      <c r="AF3" s="34" t="s">
        <v>425</v>
      </c>
      <c r="AG3" s="35" t="s">
        <v>398</v>
      </c>
      <c r="AH3" s="35" t="s">
        <v>258</v>
      </c>
      <c r="AI3" s="35" t="s">
        <v>259</v>
      </c>
      <c r="AJ3" s="35" t="s">
        <v>274</v>
      </c>
      <c r="AK3" s="35" t="s">
        <v>287</v>
      </c>
      <c r="AL3" s="35" t="s">
        <v>288</v>
      </c>
      <c r="AM3" s="35" t="s">
        <v>289</v>
      </c>
      <c r="AN3" s="35" t="s">
        <v>424</v>
      </c>
      <c r="AO3" s="35" t="s">
        <v>342</v>
      </c>
      <c r="AP3" s="35" t="s">
        <v>343</v>
      </c>
      <c r="AQ3" s="35" t="s">
        <v>344</v>
      </c>
      <c r="AR3" s="35" t="s">
        <v>272</v>
      </c>
      <c r="AS3" s="35" t="s">
        <v>273</v>
      </c>
      <c r="AT3" s="35" t="s">
        <v>56</v>
      </c>
      <c r="AU3" s="35" t="s">
        <v>55</v>
      </c>
      <c r="AV3" s="35" t="s">
        <v>425</v>
      </c>
      <c r="AW3" s="29" t="s">
        <v>155</v>
      </c>
      <c r="AX3" s="29" t="s">
        <v>157</v>
      </c>
      <c r="AY3" s="30"/>
    </row>
    <row r="4" spans="1:51" ht="20.100000000000001" customHeight="1" x14ac:dyDescent="0.25">
      <c r="A4" s="36">
        <v>1</v>
      </c>
      <c r="B4" s="46" t="s">
        <v>462</v>
      </c>
      <c r="C4" s="63">
        <v>360</v>
      </c>
      <c r="D4" s="63">
        <v>360</v>
      </c>
      <c r="E4" s="63">
        <v>1</v>
      </c>
      <c r="F4" s="63">
        <v>1</v>
      </c>
      <c r="G4" s="63">
        <v>360</v>
      </c>
      <c r="H4" s="63">
        <v>360</v>
      </c>
      <c r="I4" s="63">
        <v>4488</v>
      </c>
      <c r="J4" s="63">
        <v>4294967295</v>
      </c>
      <c r="K4" s="63">
        <v>4294967295</v>
      </c>
      <c r="L4" s="63">
        <v>65535</v>
      </c>
      <c r="M4" s="63">
        <v>1800</v>
      </c>
      <c r="N4" s="63">
        <v>4488</v>
      </c>
      <c r="O4" s="63">
        <v>6</v>
      </c>
      <c r="P4" s="63">
        <v>511</v>
      </c>
      <c r="Q4" s="46" t="s">
        <v>159</v>
      </c>
      <c r="R4" s="37" t="s">
        <v>159</v>
      </c>
      <c r="S4" s="37" t="s">
        <v>159</v>
      </c>
      <c r="T4" s="37" t="s">
        <v>159</v>
      </c>
      <c r="U4" s="37" t="s">
        <v>159</v>
      </c>
      <c r="V4" s="37" t="s">
        <v>159</v>
      </c>
      <c r="W4" s="37" t="s">
        <v>159</v>
      </c>
      <c r="X4" s="37" t="s">
        <v>159</v>
      </c>
      <c r="Y4" s="37" t="s">
        <v>159</v>
      </c>
      <c r="Z4" s="37" t="s">
        <v>159</v>
      </c>
      <c r="AA4" s="37" t="s">
        <v>159</v>
      </c>
      <c r="AB4" s="37" t="s">
        <v>159</v>
      </c>
      <c r="AC4" s="37" t="s">
        <v>159</v>
      </c>
      <c r="AD4" s="37" t="s">
        <v>159</v>
      </c>
      <c r="AE4" s="37" t="s">
        <v>159</v>
      </c>
      <c r="AF4" s="37" t="s">
        <v>159</v>
      </c>
      <c r="AG4" s="46">
        <v>34</v>
      </c>
      <c r="AH4" s="46">
        <v>360</v>
      </c>
      <c r="AI4" s="46">
        <v>360</v>
      </c>
      <c r="AJ4" s="46">
        <v>4488</v>
      </c>
      <c r="AK4" s="46">
        <v>4294967295</v>
      </c>
      <c r="AL4" s="46">
        <v>4294967295</v>
      </c>
      <c r="AM4" s="46">
        <v>65535</v>
      </c>
      <c r="AN4" s="46">
        <v>6</v>
      </c>
      <c r="AO4" s="69" t="s">
        <v>923</v>
      </c>
      <c r="AP4" s="69" t="s">
        <v>924</v>
      </c>
      <c r="AQ4" s="69" t="s">
        <v>925</v>
      </c>
      <c r="AR4" s="46">
        <v>1</v>
      </c>
      <c r="AS4" s="46">
        <v>1</v>
      </c>
      <c r="AT4" s="46">
        <v>0</v>
      </c>
      <c r="AU4" s="46">
        <v>1</v>
      </c>
      <c r="AV4" s="46">
        <v>1</v>
      </c>
      <c r="AW4" s="50" t="s">
        <v>159</v>
      </c>
      <c r="AX4" s="37"/>
      <c r="AY4" s="38"/>
    </row>
    <row r="5" spans="1:51" ht="20.100000000000001" customHeight="1" thickBot="1" x14ac:dyDescent="0.3">
      <c r="A5" s="39">
        <v>2</v>
      </c>
      <c r="B5" s="47" t="s">
        <v>463</v>
      </c>
      <c r="C5" s="65">
        <v>12</v>
      </c>
      <c r="D5" s="47">
        <v>44</v>
      </c>
      <c r="E5" s="47">
        <v>0</v>
      </c>
      <c r="F5" s="47">
        <v>0</v>
      </c>
      <c r="G5" s="47">
        <v>24</v>
      </c>
      <c r="H5" s="47">
        <v>12</v>
      </c>
      <c r="I5" s="47">
        <v>2146</v>
      </c>
      <c r="J5" s="47">
        <v>1999</v>
      </c>
      <c r="K5" s="47">
        <v>4672</v>
      </c>
      <c r="L5" s="47">
        <v>725</v>
      </c>
      <c r="M5" s="47">
        <v>1800</v>
      </c>
      <c r="N5" s="47">
        <v>2</v>
      </c>
      <c r="O5" s="47">
        <v>4</v>
      </c>
      <c r="P5" s="47">
        <v>1</v>
      </c>
      <c r="Q5" s="47" t="s">
        <v>159</v>
      </c>
      <c r="R5" s="40" t="s">
        <v>159</v>
      </c>
      <c r="S5" s="40" t="s">
        <v>159</v>
      </c>
      <c r="T5" s="40" t="s">
        <v>159</v>
      </c>
      <c r="U5" s="40" t="s">
        <v>159</v>
      </c>
      <c r="V5" s="40" t="s">
        <v>159</v>
      </c>
      <c r="W5" s="40" t="s">
        <v>159</v>
      </c>
      <c r="X5" s="40" t="s">
        <v>159</v>
      </c>
      <c r="Y5" s="40" t="s">
        <v>159</v>
      </c>
      <c r="Z5" s="40" t="s">
        <v>159</v>
      </c>
      <c r="AA5" s="40" t="s">
        <v>159</v>
      </c>
      <c r="AB5" s="40" t="s">
        <v>159</v>
      </c>
      <c r="AC5" s="40" t="s">
        <v>159</v>
      </c>
      <c r="AD5" s="40" t="s">
        <v>159</v>
      </c>
      <c r="AE5" s="40" t="s">
        <v>159</v>
      </c>
      <c r="AF5" s="40" t="s">
        <v>159</v>
      </c>
      <c r="AG5" s="47">
        <v>0</v>
      </c>
      <c r="AH5" s="47">
        <v>-180</v>
      </c>
      <c r="AI5" s="47">
        <v>-180</v>
      </c>
      <c r="AJ5" s="47">
        <v>1</v>
      </c>
      <c r="AK5" s="47">
        <v>1020002303</v>
      </c>
      <c r="AL5" s="47">
        <v>1020002303</v>
      </c>
      <c r="AM5" s="47">
        <v>65534</v>
      </c>
      <c r="AN5" s="47">
        <v>6</v>
      </c>
      <c r="AO5" s="68" t="s">
        <v>923</v>
      </c>
      <c r="AP5" s="68" t="s">
        <v>925</v>
      </c>
      <c r="AQ5" s="68" t="s">
        <v>925</v>
      </c>
      <c r="AR5" s="47">
        <v>1</v>
      </c>
      <c r="AS5" s="47">
        <v>1</v>
      </c>
      <c r="AT5" s="47">
        <v>1</v>
      </c>
      <c r="AU5" s="47">
        <v>1</v>
      </c>
      <c r="AV5" s="47">
        <v>1</v>
      </c>
      <c r="AW5" s="51" t="s">
        <v>159</v>
      </c>
      <c r="AX5" s="40"/>
      <c r="AY5" s="41"/>
    </row>
    <row r="6" spans="1:5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</row>
    <row r="7" spans="1:5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</row>
    <row r="8" spans="1:5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</row>
    <row r="9" spans="1:5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</row>
    <row r="10" spans="1:5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</row>
    <row r="11" spans="1:5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</row>
    <row r="12" spans="1:5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</row>
    <row r="13" spans="1:5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</row>
    <row r="14" spans="1:5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</row>
    <row r="15" spans="1:5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</row>
  </sheetData>
  <sheetProtection sheet="1" objects="1" scenarios="1"/>
  <mergeCells count="2">
    <mergeCell ref="A1:B1"/>
    <mergeCell ref="A2:B2"/>
  </mergeCells>
  <hyperlinks>
    <hyperlink ref="A1" location="'DigColPs_SCom_CustSetTrim'!A1" display="'DigColPs_SCom_CustSetTrim'!A1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Y3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7" bestFit="1" customWidth="1"/>
    <col min="3" max="4" width="6" bestFit="1" customWidth="1"/>
    <col min="5" max="6" width="3.28515625" bestFit="1" customWidth="1"/>
    <col min="7" max="7" width="7" bestFit="1" customWidth="1"/>
    <col min="8" max="8" width="6" bestFit="1" customWidth="1"/>
    <col min="9" max="9" width="5" bestFit="1" customWidth="1"/>
    <col min="10" max="11" width="11" bestFit="1" customWidth="1"/>
    <col min="12" max="13" width="6" bestFit="1" customWidth="1"/>
    <col min="14" max="14" width="5" bestFit="1" customWidth="1"/>
    <col min="15" max="15" width="3.28515625" customWidth="1"/>
    <col min="16" max="17" width="7.28515625" bestFit="1" customWidth="1"/>
    <col min="18" max="24" width="4.140625" bestFit="1" customWidth="1"/>
    <col min="25" max="27" width="4.140625" customWidth="1"/>
    <col min="28" max="36" width="7.28515625" bestFit="1" customWidth="1"/>
    <col min="37" max="38" width="11" bestFit="1" customWidth="1"/>
    <col min="39" max="40" width="7.28515625" bestFit="1" customWidth="1"/>
    <col min="41" max="41" width="8" bestFit="1" customWidth="1"/>
    <col min="42" max="48" width="7.2851562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279" t="s">
        <v>398</v>
      </c>
      <c r="B1" s="280"/>
      <c r="C1" s="45" t="s">
        <v>160</v>
      </c>
      <c r="D1" s="58" t="s">
        <v>159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239"/>
      <c r="Z1" s="239"/>
      <c r="AA1" s="239"/>
      <c r="AB1" s="239"/>
      <c r="AC1" s="239"/>
      <c r="AD1" s="239"/>
      <c r="AE1" s="239"/>
      <c r="AF1" s="239"/>
      <c r="AG1" s="239"/>
      <c r="AH1" s="239"/>
      <c r="AI1" s="239"/>
      <c r="AJ1" s="239"/>
      <c r="AK1" s="239"/>
      <c r="AL1" s="239"/>
      <c r="AM1" s="239"/>
      <c r="AN1" s="239"/>
      <c r="AO1" s="239"/>
      <c r="AP1" s="239"/>
      <c r="AQ1" s="239"/>
      <c r="AR1" s="239"/>
      <c r="AS1" s="239"/>
      <c r="AT1" s="239"/>
      <c r="AU1" s="239"/>
      <c r="AV1" s="239"/>
      <c r="AW1" s="43"/>
      <c r="AX1" s="43"/>
      <c r="AY1" s="44"/>
    </row>
    <row r="2" spans="1:51" ht="60" customHeight="1" x14ac:dyDescent="0.25">
      <c r="A2" s="281" t="s">
        <v>718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48" t="s">
        <v>150</v>
      </c>
      <c r="O2" s="48" t="s">
        <v>150</v>
      </c>
      <c r="P2" s="64" t="s">
        <v>239</v>
      </c>
      <c r="Q2" s="60" t="s">
        <v>170</v>
      </c>
      <c r="R2" s="27" t="s">
        <v>151</v>
      </c>
      <c r="S2" s="27" t="s">
        <v>151</v>
      </c>
      <c r="T2" s="27" t="s">
        <v>151</v>
      </c>
      <c r="U2" s="27" t="s">
        <v>151</v>
      </c>
      <c r="V2" s="27" t="s">
        <v>151</v>
      </c>
      <c r="W2" s="27" t="s">
        <v>151</v>
      </c>
      <c r="X2" s="27" t="s">
        <v>151</v>
      </c>
      <c r="Y2" s="27" t="s">
        <v>151</v>
      </c>
      <c r="Z2" s="27" t="s">
        <v>151</v>
      </c>
      <c r="AA2" s="27" t="s">
        <v>151</v>
      </c>
      <c r="AB2" s="27" t="s">
        <v>152</v>
      </c>
      <c r="AC2" s="27" t="s">
        <v>152</v>
      </c>
      <c r="AD2" s="27" t="s">
        <v>152</v>
      </c>
      <c r="AE2" s="27" t="s">
        <v>152</v>
      </c>
      <c r="AF2" s="27" t="s">
        <v>152</v>
      </c>
      <c r="AG2" s="28" t="s">
        <v>171</v>
      </c>
      <c r="AH2" s="28" t="s">
        <v>153</v>
      </c>
      <c r="AI2" s="28" t="s">
        <v>153</v>
      </c>
      <c r="AJ2" s="28" t="s">
        <v>153</v>
      </c>
      <c r="AK2" s="28" t="s">
        <v>153</v>
      </c>
      <c r="AL2" s="28" t="s">
        <v>153</v>
      </c>
      <c r="AM2" s="28" t="s">
        <v>153</v>
      </c>
      <c r="AN2" s="28" t="s">
        <v>153</v>
      </c>
      <c r="AO2" s="28" t="s">
        <v>153</v>
      </c>
      <c r="AP2" s="28" t="s">
        <v>153</v>
      </c>
      <c r="AQ2" s="28" t="s">
        <v>153</v>
      </c>
      <c r="AR2" s="28" t="s">
        <v>154</v>
      </c>
      <c r="AS2" s="28" t="s">
        <v>154</v>
      </c>
      <c r="AT2" s="28" t="s">
        <v>154</v>
      </c>
      <c r="AU2" s="28" t="s">
        <v>154</v>
      </c>
      <c r="AV2" s="28" t="s">
        <v>154</v>
      </c>
      <c r="AW2" s="29" t="s">
        <v>21</v>
      </c>
      <c r="AX2" s="29" t="s">
        <v>156</v>
      </c>
      <c r="AY2" s="30" t="s">
        <v>158</v>
      </c>
    </row>
    <row r="3" spans="1:51" ht="170.25" x14ac:dyDescent="0.25">
      <c r="A3" s="31" t="s">
        <v>148</v>
      </c>
      <c r="B3" s="32" t="s">
        <v>149</v>
      </c>
      <c r="C3" s="33" t="s">
        <v>286</v>
      </c>
      <c r="D3" s="33" t="s">
        <v>285</v>
      </c>
      <c r="E3" s="33" t="s">
        <v>567</v>
      </c>
      <c r="F3" s="33" t="s">
        <v>566</v>
      </c>
      <c r="G3" s="33" t="s">
        <v>258</v>
      </c>
      <c r="H3" s="33" t="s">
        <v>259</v>
      </c>
      <c r="I3" s="33" t="s">
        <v>274</v>
      </c>
      <c r="J3" s="33" t="s">
        <v>287</v>
      </c>
      <c r="K3" s="33" t="s">
        <v>288</v>
      </c>
      <c r="L3" s="33" t="s">
        <v>289</v>
      </c>
      <c r="M3" s="33" t="s">
        <v>422</v>
      </c>
      <c r="N3" s="33" t="s">
        <v>382</v>
      </c>
      <c r="O3" s="33" t="s">
        <v>424</v>
      </c>
      <c r="P3" s="33" t="s">
        <v>425</v>
      </c>
      <c r="Q3" s="34" t="s">
        <v>398</v>
      </c>
      <c r="R3" s="34" t="s">
        <v>258</v>
      </c>
      <c r="S3" s="34" t="s">
        <v>259</v>
      </c>
      <c r="T3" s="34" t="s">
        <v>274</v>
      </c>
      <c r="U3" s="34" t="s">
        <v>287</v>
      </c>
      <c r="V3" s="34" t="s">
        <v>288</v>
      </c>
      <c r="W3" s="34" t="s">
        <v>289</v>
      </c>
      <c r="X3" s="34" t="s">
        <v>424</v>
      </c>
      <c r="Y3" s="34" t="s">
        <v>342</v>
      </c>
      <c r="Z3" s="34" t="s">
        <v>343</v>
      </c>
      <c r="AA3" s="34" t="s">
        <v>344</v>
      </c>
      <c r="AB3" s="34" t="s">
        <v>272</v>
      </c>
      <c r="AC3" s="34" t="s">
        <v>273</v>
      </c>
      <c r="AD3" s="34" t="s">
        <v>56</v>
      </c>
      <c r="AE3" s="34" t="s">
        <v>55</v>
      </c>
      <c r="AF3" s="34" t="s">
        <v>425</v>
      </c>
      <c r="AG3" s="35" t="s">
        <v>398</v>
      </c>
      <c r="AH3" s="35" t="s">
        <v>258</v>
      </c>
      <c r="AI3" s="35" t="s">
        <v>259</v>
      </c>
      <c r="AJ3" s="35" t="s">
        <v>274</v>
      </c>
      <c r="AK3" s="35" t="s">
        <v>287</v>
      </c>
      <c r="AL3" s="35" t="s">
        <v>288</v>
      </c>
      <c r="AM3" s="35" t="s">
        <v>289</v>
      </c>
      <c r="AN3" s="35" t="s">
        <v>424</v>
      </c>
      <c r="AO3" s="35" t="s">
        <v>342</v>
      </c>
      <c r="AP3" s="35" t="s">
        <v>343</v>
      </c>
      <c r="AQ3" s="35" t="s">
        <v>344</v>
      </c>
      <c r="AR3" s="35" t="s">
        <v>272</v>
      </c>
      <c r="AS3" s="35" t="s">
        <v>273</v>
      </c>
      <c r="AT3" s="35" t="s">
        <v>56</v>
      </c>
      <c r="AU3" s="35" t="s">
        <v>55</v>
      </c>
      <c r="AV3" s="35" t="s">
        <v>425</v>
      </c>
      <c r="AW3" s="29" t="s">
        <v>155</v>
      </c>
      <c r="AX3" s="29" t="s">
        <v>157</v>
      </c>
      <c r="AY3" s="30"/>
    </row>
    <row r="4" spans="1:51" x14ac:dyDescent="0.25">
      <c r="A4" s="36">
        <v>1</v>
      </c>
      <c r="B4" s="46" t="s">
        <v>161</v>
      </c>
      <c r="C4" s="56">
        <v>0</v>
      </c>
      <c r="D4" s="56">
        <v>0</v>
      </c>
      <c r="E4" s="56">
        <v>0</v>
      </c>
      <c r="F4" s="56">
        <v>0</v>
      </c>
      <c r="G4" s="56">
        <v>-180</v>
      </c>
      <c r="H4" s="56">
        <v>-180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6">
        <v>0</v>
      </c>
      <c r="O4" s="56">
        <v>0</v>
      </c>
      <c r="P4" s="56">
        <v>0</v>
      </c>
      <c r="Q4" s="56" t="s">
        <v>159</v>
      </c>
      <c r="R4" s="37" t="s">
        <v>159</v>
      </c>
      <c r="S4" s="37" t="s">
        <v>159</v>
      </c>
      <c r="T4" s="37" t="s">
        <v>159</v>
      </c>
      <c r="U4" s="37" t="s">
        <v>159</v>
      </c>
      <c r="V4" s="37" t="s">
        <v>159</v>
      </c>
      <c r="W4" s="37" t="s">
        <v>159</v>
      </c>
      <c r="X4" s="37" t="s">
        <v>159</v>
      </c>
      <c r="Y4" s="37" t="s">
        <v>159</v>
      </c>
      <c r="Z4" s="37" t="s">
        <v>159</v>
      </c>
      <c r="AA4" s="37" t="s">
        <v>159</v>
      </c>
      <c r="AB4" s="37" t="s">
        <v>159</v>
      </c>
      <c r="AC4" s="37" t="s">
        <v>159</v>
      </c>
      <c r="AD4" s="37" t="s">
        <v>159</v>
      </c>
      <c r="AE4" s="37" t="s">
        <v>159</v>
      </c>
      <c r="AF4" s="37" t="s">
        <v>159</v>
      </c>
      <c r="AG4" s="46">
        <v>0</v>
      </c>
      <c r="AH4" s="46">
        <v>-180</v>
      </c>
      <c r="AI4" s="46">
        <v>-180</v>
      </c>
      <c r="AJ4" s="46">
        <v>1</v>
      </c>
      <c r="AK4" s="46">
        <v>1020002303</v>
      </c>
      <c r="AL4" s="46">
        <v>1020002303</v>
      </c>
      <c r="AM4" s="46">
        <v>65534</v>
      </c>
      <c r="AN4" s="46">
        <v>6</v>
      </c>
      <c r="AO4" s="69" t="s">
        <v>923</v>
      </c>
      <c r="AP4" s="69" t="s">
        <v>925</v>
      </c>
      <c r="AQ4" s="69" t="s">
        <v>925</v>
      </c>
      <c r="AR4" s="46">
        <v>1</v>
      </c>
      <c r="AS4" s="46">
        <v>1</v>
      </c>
      <c r="AT4" s="46">
        <v>1</v>
      </c>
      <c r="AU4" s="46">
        <v>1</v>
      </c>
      <c r="AV4" s="46">
        <v>1</v>
      </c>
      <c r="AW4" s="50" t="s">
        <v>159</v>
      </c>
      <c r="AX4" s="37"/>
      <c r="AY4" s="38"/>
    </row>
    <row r="5" spans="1:51" x14ac:dyDescent="0.25">
      <c r="A5" s="36">
        <v>2</v>
      </c>
      <c r="B5" s="46" t="s">
        <v>162</v>
      </c>
      <c r="C5" s="56">
        <v>360</v>
      </c>
      <c r="D5" s="56">
        <v>360</v>
      </c>
      <c r="E5" s="56">
        <v>1</v>
      </c>
      <c r="F5" s="56">
        <v>1</v>
      </c>
      <c r="G5" s="56">
        <v>360</v>
      </c>
      <c r="H5" s="56">
        <v>360</v>
      </c>
      <c r="I5" s="56">
        <v>4488</v>
      </c>
      <c r="J5" s="56">
        <v>4294967295</v>
      </c>
      <c r="K5" s="56">
        <v>4294967295</v>
      </c>
      <c r="L5" s="56">
        <v>65535</v>
      </c>
      <c r="M5" s="56">
        <v>1800</v>
      </c>
      <c r="N5" s="56">
        <v>4488</v>
      </c>
      <c r="O5" s="56">
        <v>6</v>
      </c>
      <c r="P5" s="56">
        <v>511</v>
      </c>
      <c r="Q5" s="56" t="s">
        <v>159</v>
      </c>
      <c r="R5" s="37" t="s">
        <v>159</v>
      </c>
      <c r="S5" s="37" t="s">
        <v>159</v>
      </c>
      <c r="T5" s="37" t="s">
        <v>159</v>
      </c>
      <c r="U5" s="37" t="s">
        <v>159</v>
      </c>
      <c r="V5" s="37" t="s">
        <v>159</v>
      </c>
      <c r="W5" s="37" t="s">
        <v>159</v>
      </c>
      <c r="X5" s="37" t="s">
        <v>159</v>
      </c>
      <c r="Y5" s="37" t="s">
        <v>159</v>
      </c>
      <c r="Z5" s="37" t="s">
        <v>159</v>
      </c>
      <c r="AA5" s="37" t="s">
        <v>159</v>
      </c>
      <c r="AB5" s="37" t="s">
        <v>159</v>
      </c>
      <c r="AC5" s="37" t="s">
        <v>159</v>
      </c>
      <c r="AD5" s="37" t="s">
        <v>159</v>
      </c>
      <c r="AE5" s="37" t="s">
        <v>159</v>
      </c>
      <c r="AF5" s="37" t="s">
        <v>159</v>
      </c>
      <c r="AG5" s="46">
        <v>34</v>
      </c>
      <c r="AH5" s="46">
        <v>360</v>
      </c>
      <c r="AI5" s="46">
        <v>360</v>
      </c>
      <c r="AJ5" s="46">
        <v>4488</v>
      </c>
      <c r="AK5" s="46">
        <v>4294967295</v>
      </c>
      <c r="AL5" s="46">
        <v>4294967295</v>
      </c>
      <c r="AM5" s="46">
        <v>65535</v>
      </c>
      <c r="AN5" s="46">
        <v>6</v>
      </c>
      <c r="AO5" s="69" t="s">
        <v>923</v>
      </c>
      <c r="AP5" s="69" t="s">
        <v>924</v>
      </c>
      <c r="AQ5" s="69" t="s">
        <v>925</v>
      </c>
      <c r="AR5" s="46">
        <v>1</v>
      </c>
      <c r="AS5" s="46">
        <v>1</v>
      </c>
      <c r="AT5" s="46">
        <v>0</v>
      </c>
      <c r="AU5" s="46">
        <v>1</v>
      </c>
      <c r="AV5" s="46">
        <v>1</v>
      </c>
      <c r="AW5" s="50" t="s">
        <v>159</v>
      </c>
      <c r="AX5" s="37"/>
      <c r="AY5" s="38"/>
    </row>
    <row r="6" spans="1:51" x14ac:dyDescent="0.25">
      <c r="A6" s="36">
        <v>3</v>
      </c>
      <c r="B6" s="46" t="s">
        <v>725</v>
      </c>
      <c r="C6" s="56">
        <v>0</v>
      </c>
      <c r="D6" s="46">
        <v>50</v>
      </c>
      <c r="E6" s="46">
        <v>1</v>
      </c>
      <c r="F6" s="46">
        <v>0</v>
      </c>
      <c r="G6" s="46">
        <v>1</v>
      </c>
      <c r="H6" s="46">
        <v>4</v>
      </c>
      <c r="I6" s="46">
        <v>2142</v>
      </c>
      <c r="J6" s="46">
        <v>1</v>
      </c>
      <c r="K6" s="46">
        <v>2456</v>
      </c>
      <c r="L6" s="46">
        <v>525</v>
      </c>
      <c r="M6" s="46">
        <v>254.2</v>
      </c>
      <c r="N6" s="46">
        <v>965</v>
      </c>
      <c r="O6" s="46">
        <v>0</v>
      </c>
      <c r="P6" s="46">
        <v>455</v>
      </c>
      <c r="Q6" s="46" t="s">
        <v>159</v>
      </c>
      <c r="R6" s="37" t="s">
        <v>159</v>
      </c>
      <c r="S6" s="37" t="s">
        <v>159</v>
      </c>
      <c r="T6" s="37" t="s">
        <v>159</v>
      </c>
      <c r="U6" s="37" t="s">
        <v>159</v>
      </c>
      <c r="V6" s="37" t="s">
        <v>159</v>
      </c>
      <c r="W6" s="37" t="s">
        <v>159</v>
      </c>
      <c r="X6" s="37" t="s">
        <v>159</v>
      </c>
      <c r="Y6" s="37" t="s">
        <v>159</v>
      </c>
      <c r="Z6" s="37" t="s">
        <v>159</v>
      </c>
      <c r="AA6" s="37" t="s">
        <v>159</v>
      </c>
      <c r="AB6" s="37" t="s">
        <v>159</v>
      </c>
      <c r="AC6" s="37" t="s">
        <v>159</v>
      </c>
      <c r="AD6" s="37" t="s">
        <v>159</v>
      </c>
      <c r="AE6" s="37" t="s">
        <v>159</v>
      </c>
      <c r="AF6" s="37" t="s">
        <v>159</v>
      </c>
      <c r="AG6" s="46">
        <v>34</v>
      </c>
      <c r="AH6" s="46">
        <v>1</v>
      </c>
      <c r="AI6" s="46">
        <v>4</v>
      </c>
      <c r="AJ6" s="46">
        <v>2142</v>
      </c>
      <c r="AK6" s="46">
        <v>1</v>
      </c>
      <c r="AL6" s="46">
        <v>2456</v>
      </c>
      <c r="AM6" s="46">
        <v>525</v>
      </c>
      <c r="AN6" s="46">
        <v>0</v>
      </c>
      <c r="AO6" s="69" t="s">
        <v>923</v>
      </c>
      <c r="AP6" s="69" t="s">
        <v>924</v>
      </c>
      <c r="AQ6" s="69" t="s">
        <v>925</v>
      </c>
      <c r="AR6" s="46">
        <v>1</v>
      </c>
      <c r="AS6" s="46">
        <v>1</v>
      </c>
      <c r="AT6" s="46">
        <v>0</v>
      </c>
      <c r="AU6" s="46">
        <v>1</v>
      </c>
      <c r="AV6" s="46">
        <v>1</v>
      </c>
      <c r="AW6" s="50" t="s">
        <v>159</v>
      </c>
      <c r="AX6" s="37"/>
      <c r="AY6" s="38"/>
    </row>
    <row r="7" spans="1:51" x14ac:dyDescent="0.25">
      <c r="A7" s="36">
        <v>4</v>
      </c>
      <c r="B7" s="46" t="s">
        <v>726</v>
      </c>
      <c r="C7" s="56">
        <v>360</v>
      </c>
      <c r="D7" s="46">
        <v>1.2</v>
      </c>
      <c r="E7" s="46">
        <v>1</v>
      </c>
      <c r="F7" s="46">
        <v>1</v>
      </c>
      <c r="G7" s="46">
        <v>12.3</v>
      </c>
      <c r="H7" s="46">
        <v>8</v>
      </c>
      <c r="I7" s="46">
        <v>2144</v>
      </c>
      <c r="J7" s="46">
        <v>1000</v>
      </c>
      <c r="K7" s="46">
        <v>3564</v>
      </c>
      <c r="L7" s="46">
        <v>625</v>
      </c>
      <c r="M7" s="46">
        <v>11.2</v>
      </c>
      <c r="N7" s="46">
        <v>785</v>
      </c>
      <c r="O7" s="46">
        <v>1</v>
      </c>
      <c r="P7" s="46">
        <v>245</v>
      </c>
      <c r="Q7" s="46" t="s">
        <v>159</v>
      </c>
      <c r="R7" s="37" t="s">
        <v>159</v>
      </c>
      <c r="S7" s="37" t="s">
        <v>159</v>
      </c>
      <c r="T7" s="37" t="s">
        <v>159</v>
      </c>
      <c r="U7" s="37" t="s">
        <v>159</v>
      </c>
      <c r="V7" s="37" t="s">
        <v>159</v>
      </c>
      <c r="W7" s="37" t="s">
        <v>159</v>
      </c>
      <c r="X7" s="37" t="s">
        <v>159</v>
      </c>
      <c r="Y7" s="37" t="s">
        <v>159</v>
      </c>
      <c r="Z7" s="37" t="s">
        <v>159</v>
      </c>
      <c r="AA7" s="37" t="s">
        <v>159</v>
      </c>
      <c r="AB7" s="37" t="s">
        <v>159</v>
      </c>
      <c r="AC7" s="37" t="s">
        <v>159</v>
      </c>
      <c r="AD7" s="37" t="s">
        <v>159</v>
      </c>
      <c r="AE7" s="37" t="s">
        <v>159</v>
      </c>
      <c r="AF7" s="37" t="s">
        <v>159</v>
      </c>
      <c r="AG7" s="46">
        <v>34</v>
      </c>
      <c r="AH7" s="46">
        <v>12.3</v>
      </c>
      <c r="AI7" s="46">
        <v>8</v>
      </c>
      <c r="AJ7" s="46">
        <v>2144</v>
      </c>
      <c r="AK7" s="46">
        <v>1000</v>
      </c>
      <c r="AL7" s="46">
        <v>3564</v>
      </c>
      <c r="AM7" s="46">
        <v>625</v>
      </c>
      <c r="AN7" s="46">
        <v>1</v>
      </c>
      <c r="AO7" s="69" t="s">
        <v>923</v>
      </c>
      <c r="AP7" s="69" t="s">
        <v>924</v>
      </c>
      <c r="AQ7" s="69" t="s">
        <v>925</v>
      </c>
      <c r="AR7" s="46">
        <v>1</v>
      </c>
      <c r="AS7" s="46">
        <v>1</v>
      </c>
      <c r="AT7" s="46">
        <v>0</v>
      </c>
      <c r="AU7" s="46">
        <v>1</v>
      </c>
      <c r="AV7" s="46">
        <v>1</v>
      </c>
      <c r="AW7" s="50" t="s">
        <v>159</v>
      </c>
      <c r="AX7" s="37"/>
      <c r="AY7" s="38"/>
    </row>
    <row r="8" spans="1:51" x14ac:dyDescent="0.25">
      <c r="A8" s="36">
        <v>5</v>
      </c>
      <c r="B8" s="46" t="s">
        <v>727</v>
      </c>
      <c r="C8" s="56">
        <v>12.5</v>
      </c>
      <c r="D8" s="46">
        <v>44</v>
      </c>
      <c r="E8" s="46">
        <v>0</v>
      </c>
      <c r="F8" s="46">
        <v>0</v>
      </c>
      <c r="G8" s="46">
        <v>24</v>
      </c>
      <c r="H8" s="46">
        <v>12.4</v>
      </c>
      <c r="I8" s="46">
        <v>2146</v>
      </c>
      <c r="J8" s="46">
        <v>1999</v>
      </c>
      <c r="K8" s="46">
        <v>4672</v>
      </c>
      <c r="L8" s="46">
        <v>725</v>
      </c>
      <c r="M8" s="46">
        <v>455</v>
      </c>
      <c r="N8" s="46">
        <v>142</v>
      </c>
      <c r="O8" s="46">
        <v>2</v>
      </c>
      <c r="P8" s="46">
        <v>511</v>
      </c>
      <c r="Q8" s="46" t="s">
        <v>159</v>
      </c>
      <c r="R8" s="37" t="s">
        <v>159</v>
      </c>
      <c r="S8" s="37" t="s">
        <v>159</v>
      </c>
      <c r="T8" s="37" t="s">
        <v>159</v>
      </c>
      <c r="U8" s="37" t="s">
        <v>159</v>
      </c>
      <c r="V8" s="37" t="s">
        <v>159</v>
      </c>
      <c r="W8" s="37" t="s">
        <v>159</v>
      </c>
      <c r="X8" s="37" t="s">
        <v>159</v>
      </c>
      <c r="Y8" s="37" t="s">
        <v>159</v>
      </c>
      <c r="Z8" s="37" t="s">
        <v>159</v>
      </c>
      <c r="AA8" s="37" t="s">
        <v>159</v>
      </c>
      <c r="AB8" s="37" t="s">
        <v>159</v>
      </c>
      <c r="AC8" s="37" t="s">
        <v>159</v>
      </c>
      <c r="AD8" s="37" t="s">
        <v>159</v>
      </c>
      <c r="AE8" s="37" t="s">
        <v>159</v>
      </c>
      <c r="AF8" s="37" t="s">
        <v>159</v>
      </c>
      <c r="AG8" s="46">
        <v>34</v>
      </c>
      <c r="AH8" s="46">
        <v>24</v>
      </c>
      <c r="AI8" s="46">
        <v>12.4</v>
      </c>
      <c r="AJ8" s="46">
        <v>2146</v>
      </c>
      <c r="AK8" s="46">
        <v>1999</v>
      </c>
      <c r="AL8" s="46">
        <v>4672</v>
      </c>
      <c r="AM8" s="46">
        <v>725</v>
      </c>
      <c r="AN8" s="46">
        <v>2</v>
      </c>
      <c r="AO8" s="69" t="s">
        <v>923</v>
      </c>
      <c r="AP8" s="69" t="s">
        <v>924</v>
      </c>
      <c r="AQ8" s="69" t="s">
        <v>925</v>
      </c>
      <c r="AR8" s="46">
        <v>1</v>
      </c>
      <c r="AS8" s="46">
        <v>1</v>
      </c>
      <c r="AT8" s="46">
        <v>0</v>
      </c>
      <c r="AU8" s="46">
        <v>1</v>
      </c>
      <c r="AV8" s="46">
        <v>1</v>
      </c>
      <c r="AW8" s="50" t="s">
        <v>159</v>
      </c>
      <c r="AX8" s="37"/>
      <c r="AY8" s="38"/>
    </row>
    <row r="9" spans="1:51" x14ac:dyDescent="0.25">
      <c r="A9" s="36">
        <v>6</v>
      </c>
      <c r="B9" s="46" t="s">
        <v>722</v>
      </c>
      <c r="C9" s="46">
        <v>1</v>
      </c>
      <c r="D9" s="56">
        <v>0</v>
      </c>
      <c r="E9" s="46">
        <v>0</v>
      </c>
      <c r="F9" s="46">
        <v>0</v>
      </c>
      <c r="G9" s="46">
        <v>36.6</v>
      </c>
      <c r="H9" s="46">
        <v>16</v>
      </c>
      <c r="I9" s="46">
        <v>2148</v>
      </c>
      <c r="J9" s="46">
        <v>2998</v>
      </c>
      <c r="K9" s="46">
        <v>5780</v>
      </c>
      <c r="L9" s="46">
        <v>825</v>
      </c>
      <c r="M9" s="46">
        <v>965.2</v>
      </c>
      <c r="N9" s="46">
        <v>1</v>
      </c>
      <c r="O9" s="46">
        <v>3</v>
      </c>
      <c r="P9" s="46">
        <v>211</v>
      </c>
      <c r="Q9" s="46" t="s">
        <v>159</v>
      </c>
      <c r="R9" s="37" t="s">
        <v>159</v>
      </c>
      <c r="S9" s="37" t="s">
        <v>159</v>
      </c>
      <c r="T9" s="37" t="s">
        <v>159</v>
      </c>
      <c r="U9" s="37" t="s">
        <v>159</v>
      </c>
      <c r="V9" s="37" t="s">
        <v>159</v>
      </c>
      <c r="W9" s="37" t="s">
        <v>159</v>
      </c>
      <c r="X9" s="37" t="s">
        <v>159</v>
      </c>
      <c r="Y9" s="37" t="s">
        <v>159</v>
      </c>
      <c r="Z9" s="37" t="s">
        <v>159</v>
      </c>
      <c r="AA9" s="37" t="s">
        <v>159</v>
      </c>
      <c r="AB9" s="37" t="s">
        <v>159</v>
      </c>
      <c r="AC9" s="37" t="s">
        <v>159</v>
      </c>
      <c r="AD9" s="37" t="s">
        <v>159</v>
      </c>
      <c r="AE9" s="37" t="s">
        <v>159</v>
      </c>
      <c r="AF9" s="37" t="s">
        <v>159</v>
      </c>
      <c r="AG9" s="46">
        <v>34</v>
      </c>
      <c r="AH9" s="46">
        <v>36.6</v>
      </c>
      <c r="AI9" s="46">
        <v>16</v>
      </c>
      <c r="AJ9" s="46">
        <v>2148</v>
      </c>
      <c r="AK9" s="46">
        <v>2998</v>
      </c>
      <c r="AL9" s="46">
        <v>5780</v>
      </c>
      <c r="AM9" s="46">
        <v>825</v>
      </c>
      <c r="AN9" s="46">
        <v>3</v>
      </c>
      <c r="AO9" s="69" t="s">
        <v>923</v>
      </c>
      <c r="AP9" s="69" t="s">
        <v>924</v>
      </c>
      <c r="AQ9" s="69" t="s">
        <v>925</v>
      </c>
      <c r="AR9" s="46">
        <v>1</v>
      </c>
      <c r="AS9" s="46">
        <v>1</v>
      </c>
      <c r="AT9" s="46">
        <v>0</v>
      </c>
      <c r="AU9" s="46">
        <v>1</v>
      </c>
      <c r="AV9" s="46">
        <v>1</v>
      </c>
      <c r="AW9" s="50" t="s">
        <v>159</v>
      </c>
      <c r="AX9" s="37"/>
      <c r="AY9" s="38"/>
    </row>
    <row r="10" spans="1:51" x14ac:dyDescent="0.25">
      <c r="A10" s="36">
        <v>7</v>
      </c>
      <c r="B10" s="46" t="s">
        <v>723</v>
      </c>
      <c r="C10" s="46">
        <v>24.8</v>
      </c>
      <c r="D10" s="56">
        <v>360</v>
      </c>
      <c r="E10" s="46">
        <v>0</v>
      </c>
      <c r="F10" s="46">
        <v>0</v>
      </c>
      <c r="G10" s="46">
        <v>48</v>
      </c>
      <c r="H10" s="46">
        <v>20</v>
      </c>
      <c r="I10" s="46">
        <v>1</v>
      </c>
      <c r="J10" s="46">
        <v>3997</v>
      </c>
      <c r="K10" s="46">
        <v>6888</v>
      </c>
      <c r="L10" s="46">
        <v>925</v>
      </c>
      <c r="M10" s="46">
        <v>751.2</v>
      </c>
      <c r="N10" s="46">
        <v>2</v>
      </c>
      <c r="O10" s="46">
        <v>4</v>
      </c>
      <c r="P10" s="46">
        <v>356</v>
      </c>
      <c r="Q10" s="46" t="s">
        <v>159</v>
      </c>
      <c r="R10" s="37" t="s">
        <v>159</v>
      </c>
      <c r="S10" s="37" t="s">
        <v>159</v>
      </c>
      <c r="T10" s="37" t="s">
        <v>159</v>
      </c>
      <c r="U10" s="37" t="s">
        <v>159</v>
      </c>
      <c r="V10" s="37" t="s">
        <v>159</v>
      </c>
      <c r="W10" s="37" t="s">
        <v>159</v>
      </c>
      <c r="X10" s="37" t="s">
        <v>159</v>
      </c>
      <c r="Y10" s="37" t="s">
        <v>159</v>
      </c>
      <c r="Z10" s="37" t="s">
        <v>159</v>
      </c>
      <c r="AA10" s="37" t="s">
        <v>159</v>
      </c>
      <c r="AB10" s="37" t="s">
        <v>159</v>
      </c>
      <c r="AC10" s="37" t="s">
        <v>159</v>
      </c>
      <c r="AD10" s="37" t="s">
        <v>159</v>
      </c>
      <c r="AE10" s="37" t="s">
        <v>159</v>
      </c>
      <c r="AF10" s="37" t="s">
        <v>159</v>
      </c>
      <c r="AG10" s="46">
        <v>34</v>
      </c>
      <c r="AH10" s="46">
        <v>48</v>
      </c>
      <c r="AI10" s="46">
        <v>20</v>
      </c>
      <c r="AJ10" s="46">
        <v>1</v>
      </c>
      <c r="AK10" s="46">
        <v>3997</v>
      </c>
      <c r="AL10" s="46">
        <v>6888</v>
      </c>
      <c r="AM10" s="46">
        <v>925</v>
      </c>
      <c r="AN10" s="46">
        <v>6</v>
      </c>
      <c r="AO10" s="69" t="s">
        <v>923</v>
      </c>
      <c r="AP10" s="69" t="s">
        <v>925</v>
      </c>
      <c r="AQ10" s="69" t="s">
        <v>925</v>
      </c>
      <c r="AR10" s="46">
        <v>1</v>
      </c>
      <c r="AS10" s="46">
        <v>1</v>
      </c>
      <c r="AT10" s="46">
        <v>0</v>
      </c>
      <c r="AU10" s="46">
        <v>1</v>
      </c>
      <c r="AV10" s="46">
        <v>1</v>
      </c>
      <c r="AW10" s="50" t="s">
        <v>159</v>
      </c>
      <c r="AX10" s="37"/>
      <c r="AY10" s="38"/>
    </row>
    <row r="11" spans="1:51" x14ac:dyDescent="0.25">
      <c r="A11" s="36">
        <v>8</v>
      </c>
      <c r="B11" s="46" t="s">
        <v>724</v>
      </c>
      <c r="C11" s="46">
        <v>44</v>
      </c>
      <c r="D11" s="56">
        <v>2.5</v>
      </c>
      <c r="E11" s="46">
        <v>1</v>
      </c>
      <c r="F11" s="46">
        <v>1</v>
      </c>
      <c r="G11" s="46">
        <v>60</v>
      </c>
      <c r="H11" s="46">
        <v>24</v>
      </c>
      <c r="I11" s="46">
        <v>2152</v>
      </c>
      <c r="J11" s="46">
        <v>4996</v>
      </c>
      <c r="K11" s="46">
        <v>7996</v>
      </c>
      <c r="L11" s="46">
        <v>1025</v>
      </c>
      <c r="M11" s="46">
        <v>25.3</v>
      </c>
      <c r="N11" s="46">
        <v>854</v>
      </c>
      <c r="O11" s="46">
        <v>5</v>
      </c>
      <c r="P11" s="46">
        <v>478</v>
      </c>
      <c r="Q11" s="46" t="s">
        <v>159</v>
      </c>
      <c r="R11" s="37" t="s">
        <v>159</v>
      </c>
      <c r="S11" s="37" t="s">
        <v>159</v>
      </c>
      <c r="T11" s="37" t="s">
        <v>159</v>
      </c>
      <c r="U11" s="37" t="s">
        <v>159</v>
      </c>
      <c r="V11" s="37" t="s">
        <v>159</v>
      </c>
      <c r="W11" s="37" t="s">
        <v>159</v>
      </c>
      <c r="X11" s="37" t="s">
        <v>159</v>
      </c>
      <c r="Y11" s="37" t="s">
        <v>159</v>
      </c>
      <c r="Z11" s="37" t="s">
        <v>159</v>
      </c>
      <c r="AA11" s="37" t="s">
        <v>159</v>
      </c>
      <c r="AB11" s="37" t="s">
        <v>159</v>
      </c>
      <c r="AC11" s="37" t="s">
        <v>159</v>
      </c>
      <c r="AD11" s="37" t="s">
        <v>159</v>
      </c>
      <c r="AE11" s="37" t="s">
        <v>159</v>
      </c>
      <c r="AF11" s="37" t="s">
        <v>159</v>
      </c>
      <c r="AG11" s="46">
        <v>34</v>
      </c>
      <c r="AH11" s="46">
        <v>60</v>
      </c>
      <c r="AI11" s="46">
        <v>24</v>
      </c>
      <c r="AJ11" s="46">
        <v>2152</v>
      </c>
      <c r="AK11" s="46">
        <v>4996</v>
      </c>
      <c r="AL11" s="46">
        <v>7996</v>
      </c>
      <c r="AM11" s="46">
        <v>1025</v>
      </c>
      <c r="AN11" s="46">
        <v>5</v>
      </c>
      <c r="AO11" s="69" t="s">
        <v>923</v>
      </c>
      <c r="AP11" s="69" t="s">
        <v>924</v>
      </c>
      <c r="AQ11" s="69" t="s">
        <v>925</v>
      </c>
      <c r="AR11" s="46">
        <v>1</v>
      </c>
      <c r="AS11" s="46">
        <v>1</v>
      </c>
      <c r="AT11" s="46">
        <v>0</v>
      </c>
      <c r="AU11" s="46">
        <v>1</v>
      </c>
      <c r="AV11" s="46">
        <v>1</v>
      </c>
      <c r="AW11" s="50" t="s">
        <v>159</v>
      </c>
      <c r="AX11" s="37"/>
      <c r="AY11" s="38"/>
    </row>
    <row r="12" spans="1:51" x14ac:dyDescent="0.25">
      <c r="A12" s="36">
        <v>9</v>
      </c>
      <c r="B12" s="46" t="s">
        <v>725</v>
      </c>
      <c r="C12" s="46">
        <v>24.8</v>
      </c>
      <c r="D12" s="63">
        <v>360</v>
      </c>
      <c r="E12" s="56">
        <v>0</v>
      </c>
      <c r="F12" s="46">
        <v>0</v>
      </c>
      <c r="G12" s="46">
        <v>48</v>
      </c>
      <c r="H12" s="46">
        <v>20</v>
      </c>
      <c r="I12" s="46">
        <v>1</v>
      </c>
      <c r="J12" s="46">
        <v>3997</v>
      </c>
      <c r="K12" s="46">
        <v>6888</v>
      </c>
      <c r="L12" s="46">
        <v>925</v>
      </c>
      <c r="M12" s="46">
        <v>751.2</v>
      </c>
      <c r="N12" s="46">
        <v>2</v>
      </c>
      <c r="O12" s="46">
        <v>4</v>
      </c>
      <c r="P12" s="46">
        <v>356</v>
      </c>
      <c r="Q12" s="46" t="s">
        <v>159</v>
      </c>
      <c r="R12" s="37" t="s">
        <v>159</v>
      </c>
      <c r="S12" s="37" t="s">
        <v>159</v>
      </c>
      <c r="T12" s="37" t="s">
        <v>159</v>
      </c>
      <c r="U12" s="37" t="s">
        <v>159</v>
      </c>
      <c r="V12" s="37" t="s">
        <v>159</v>
      </c>
      <c r="W12" s="37" t="s">
        <v>159</v>
      </c>
      <c r="X12" s="37" t="s">
        <v>159</v>
      </c>
      <c r="Y12" s="37" t="s">
        <v>159</v>
      </c>
      <c r="Z12" s="37" t="s">
        <v>159</v>
      </c>
      <c r="AA12" s="37" t="s">
        <v>159</v>
      </c>
      <c r="AB12" s="37" t="s">
        <v>159</v>
      </c>
      <c r="AC12" s="37" t="s">
        <v>159</v>
      </c>
      <c r="AD12" s="37" t="s">
        <v>159</v>
      </c>
      <c r="AE12" s="37" t="s">
        <v>159</v>
      </c>
      <c r="AF12" s="37" t="s">
        <v>159</v>
      </c>
      <c r="AG12" s="46">
        <v>34</v>
      </c>
      <c r="AH12" s="46">
        <v>48</v>
      </c>
      <c r="AI12" s="46">
        <v>20</v>
      </c>
      <c r="AJ12" s="46">
        <v>1</v>
      </c>
      <c r="AK12" s="46">
        <v>3997</v>
      </c>
      <c r="AL12" s="46">
        <v>6888</v>
      </c>
      <c r="AM12" s="46">
        <v>925</v>
      </c>
      <c r="AN12" s="46">
        <v>6</v>
      </c>
      <c r="AO12" s="69" t="s">
        <v>923</v>
      </c>
      <c r="AP12" s="69" t="s">
        <v>925</v>
      </c>
      <c r="AQ12" s="69" t="s">
        <v>925</v>
      </c>
      <c r="AR12" s="46">
        <v>1</v>
      </c>
      <c r="AS12" s="46">
        <v>1</v>
      </c>
      <c r="AT12" s="46">
        <v>0</v>
      </c>
      <c r="AU12" s="46">
        <v>1</v>
      </c>
      <c r="AV12" s="46">
        <v>1</v>
      </c>
      <c r="AW12" s="50" t="s">
        <v>159</v>
      </c>
      <c r="AX12" s="37"/>
      <c r="AY12" s="38"/>
    </row>
    <row r="13" spans="1:51" x14ac:dyDescent="0.25">
      <c r="A13" s="36">
        <v>10</v>
      </c>
      <c r="B13" s="46" t="s">
        <v>726</v>
      </c>
      <c r="C13" s="46">
        <v>84</v>
      </c>
      <c r="D13" s="46">
        <v>196.2</v>
      </c>
      <c r="E13" s="56">
        <v>1</v>
      </c>
      <c r="F13" s="46">
        <v>1</v>
      </c>
      <c r="G13" s="46">
        <v>84</v>
      </c>
      <c r="H13" s="46">
        <v>32</v>
      </c>
      <c r="I13" s="46">
        <v>2156</v>
      </c>
      <c r="J13" s="46">
        <v>6994</v>
      </c>
      <c r="K13" s="46">
        <v>10212</v>
      </c>
      <c r="L13" s="46">
        <v>1225</v>
      </c>
      <c r="M13" s="46">
        <v>9.58</v>
      </c>
      <c r="N13" s="46">
        <v>4000</v>
      </c>
      <c r="O13" s="46">
        <v>1</v>
      </c>
      <c r="P13" s="46">
        <v>14</v>
      </c>
      <c r="Q13" s="46" t="s">
        <v>159</v>
      </c>
      <c r="R13" s="37" t="s">
        <v>159</v>
      </c>
      <c r="S13" s="37" t="s">
        <v>159</v>
      </c>
      <c r="T13" s="37" t="s">
        <v>159</v>
      </c>
      <c r="U13" s="37" t="s">
        <v>159</v>
      </c>
      <c r="V13" s="37" t="s">
        <v>159</v>
      </c>
      <c r="W13" s="37" t="s">
        <v>159</v>
      </c>
      <c r="X13" s="37" t="s">
        <v>159</v>
      </c>
      <c r="Y13" s="37" t="s">
        <v>159</v>
      </c>
      <c r="Z13" s="37" t="s">
        <v>159</v>
      </c>
      <c r="AA13" s="37" t="s">
        <v>159</v>
      </c>
      <c r="AB13" s="37" t="s">
        <v>159</v>
      </c>
      <c r="AC13" s="37" t="s">
        <v>159</v>
      </c>
      <c r="AD13" s="37" t="s">
        <v>159</v>
      </c>
      <c r="AE13" s="37" t="s">
        <v>159</v>
      </c>
      <c r="AF13" s="37" t="s">
        <v>159</v>
      </c>
      <c r="AG13" s="46">
        <v>34</v>
      </c>
      <c r="AH13" s="46">
        <v>84</v>
      </c>
      <c r="AI13" s="46">
        <v>32</v>
      </c>
      <c r="AJ13" s="46">
        <v>2156</v>
      </c>
      <c r="AK13" s="46">
        <v>6994</v>
      </c>
      <c r="AL13" s="46">
        <v>10212</v>
      </c>
      <c r="AM13" s="46">
        <v>1225</v>
      </c>
      <c r="AN13" s="46">
        <v>1</v>
      </c>
      <c r="AO13" s="69" t="s">
        <v>923</v>
      </c>
      <c r="AP13" s="69" t="s">
        <v>924</v>
      </c>
      <c r="AQ13" s="69" t="s">
        <v>925</v>
      </c>
      <c r="AR13" s="46">
        <v>1</v>
      </c>
      <c r="AS13" s="46">
        <v>1</v>
      </c>
      <c r="AT13" s="46">
        <v>0</v>
      </c>
      <c r="AU13" s="46">
        <v>1</v>
      </c>
      <c r="AV13" s="46">
        <v>1</v>
      </c>
      <c r="AW13" s="50" t="s">
        <v>159</v>
      </c>
      <c r="AX13" s="37"/>
      <c r="AY13" s="38"/>
    </row>
    <row r="14" spans="1:51" x14ac:dyDescent="0.25">
      <c r="A14" s="36">
        <v>11</v>
      </c>
      <c r="B14" s="46" t="s">
        <v>722</v>
      </c>
      <c r="C14" s="46">
        <v>255</v>
      </c>
      <c r="D14" s="46">
        <v>14.23</v>
      </c>
      <c r="E14" s="46">
        <v>0</v>
      </c>
      <c r="F14" s="56">
        <v>0</v>
      </c>
      <c r="G14" s="46">
        <v>9.52</v>
      </c>
      <c r="H14" s="46">
        <v>78.540000000000006</v>
      </c>
      <c r="I14" s="46">
        <v>3200</v>
      </c>
      <c r="J14" s="46">
        <v>3021458</v>
      </c>
      <c r="K14" s="46">
        <v>10254</v>
      </c>
      <c r="L14" s="46">
        <v>344</v>
      </c>
      <c r="M14" s="46">
        <v>5</v>
      </c>
      <c r="N14" s="63">
        <v>2000</v>
      </c>
      <c r="O14" s="63">
        <v>6</v>
      </c>
      <c r="P14" s="46">
        <v>2</v>
      </c>
      <c r="Q14" s="46" t="s">
        <v>159</v>
      </c>
      <c r="R14" s="37" t="s">
        <v>159</v>
      </c>
      <c r="S14" s="37" t="s">
        <v>159</v>
      </c>
      <c r="T14" s="37" t="s">
        <v>159</v>
      </c>
      <c r="U14" s="37" t="s">
        <v>159</v>
      </c>
      <c r="V14" s="37" t="s">
        <v>159</v>
      </c>
      <c r="W14" s="37" t="s">
        <v>159</v>
      </c>
      <c r="X14" s="37" t="s">
        <v>159</v>
      </c>
      <c r="Y14" s="37" t="s">
        <v>159</v>
      </c>
      <c r="Z14" s="37" t="s">
        <v>159</v>
      </c>
      <c r="AA14" s="37" t="s">
        <v>159</v>
      </c>
      <c r="AB14" s="37" t="s">
        <v>159</v>
      </c>
      <c r="AC14" s="37" t="s">
        <v>159</v>
      </c>
      <c r="AD14" s="37" t="s">
        <v>159</v>
      </c>
      <c r="AE14" s="37" t="s">
        <v>159</v>
      </c>
      <c r="AF14" s="37" t="s">
        <v>159</v>
      </c>
      <c r="AG14" s="46">
        <v>0</v>
      </c>
      <c r="AH14" s="46">
        <v>10</v>
      </c>
      <c r="AI14" s="46">
        <v>191</v>
      </c>
      <c r="AJ14" s="46">
        <v>1</v>
      </c>
      <c r="AK14" s="46">
        <v>3202351103</v>
      </c>
      <c r="AL14" s="46">
        <v>3166765055</v>
      </c>
      <c r="AM14" s="46">
        <v>65534</v>
      </c>
      <c r="AN14" s="46">
        <v>6</v>
      </c>
      <c r="AO14" s="69" t="s">
        <v>923</v>
      </c>
      <c r="AP14" s="69" t="s">
        <v>925</v>
      </c>
      <c r="AQ14" s="69" t="s">
        <v>925</v>
      </c>
      <c r="AR14" s="46">
        <v>1</v>
      </c>
      <c r="AS14" s="46">
        <v>1</v>
      </c>
      <c r="AT14" s="46">
        <v>1</v>
      </c>
      <c r="AU14" s="46">
        <v>1</v>
      </c>
      <c r="AV14" s="46">
        <v>1</v>
      </c>
      <c r="AW14" s="50" t="s">
        <v>159</v>
      </c>
      <c r="AX14" s="37"/>
      <c r="AY14" s="38"/>
    </row>
    <row r="15" spans="1:51" x14ac:dyDescent="0.25">
      <c r="A15" s="36">
        <v>12</v>
      </c>
      <c r="B15" s="46" t="s">
        <v>723</v>
      </c>
      <c r="C15" s="46">
        <v>124.7</v>
      </c>
      <c r="D15" s="46">
        <v>36</v>
      </c>
      <c r="E15" s="46">
        <v>1</v>
      </c>
      <c r="F15" s="56">
        <v>1</v>
      </c>
      <c r="G15" s="46">
        <v>108</v>
      </c>
      <c r="H15" s="46">
        <v>40</v>
      </c>
      <c r="I15" s="46">
        <v>2160</v>
      </c>
      <c r="J15" s="46">
        <v>8992</v>
      </c>
      <c r="K15" s="46">
        <v>12428</v>
      </c>
      <c r="L15" s="46">
        <v>1425</v>
      </c>
      <c r="M15" s="46">
        <v>87.25</v>
      </c>
      <c r="N15" s="46">
        <v>2548</v>
      </c>
      <c r="O15" s="46">
        <v>3</v>
      </c>
      <c r="P15" s="46">
        <v>147</v>
      </c>
      <c r="Q15" s="46" t="s">
        <v>159</v>
      </c>
      <c r="R15" s="37" t="s">
        <v>159</v>
      </c>
      <c r="S15" s="37" t="s">
        <v>159</v>
      </c>
      <c r="T15" s="37" t="s">
        <v>159</v>
      </c>
      <c r="U15" s="37" t="s">
        <v>159</v>
      </c>
      <c r="V15" s="37" t="s">
        <v>159</v>
      </c>
      <c r="W15" s="37" t="s">
        <v>159</v>
      </c>
      <c r="X15" s="37" t="s">
        <v>159</v>
      </c>
      <c r="Y15" s="37" t="s">
        <v>159</v>
      </c>
      <c r="Z15" s="37" t="s">
        <v>159</v>
      </c>
      <c r="AA15" s="37" t="s">
        <v>159</v>
      </c>
      <c r="AB15" s="37" t="s">
        <v>159</v>
      </c>
      <c r="AC15" s="37" t="s">
        <v>159</v>
      </c>
      <c r="AD15" s="37" t="s">
        <v>159</v>
      </c>
      <c r="AE15" s="37" t="s">
        <v>159</v>
      </c>
      <c r="AF15" s="37" t="s">
        <v>159</v>
      </c>
      <c r="AG15" s="46">
        <v>34</v>
      </c>
      <c r="AH15" s="46">
        <v>108</v>
      </c>
      <c r="AI15" s="46">
        <v>40</v>
      </c>
      <c r="AJ15" s="46">
        <v>2160</v>
      </c>
      <c r="AK15" s="46">
        <v>8992</v>
      </c>
      <c r="AL15" s="46">
        <v>12428</v>
      </c>
      <c r="AM15" s="46">
        <v>1425</v>
      </c>
      <c r="AN15" s="46">
        <v>3</v>
      </c>
      <c r="AO15" s="69" t="s">
        <v>923</v>
      </c>
      <c r="AP15" s="69" t="s">
        <v>924</v>
      </c>
      <c r="AQ15" s="69" t="s">
        <v>925</v>
      </c>
      <c r="AR15" s="46">
        <v>1</v>
      </c>
      <c r="AS15" s="46">
        <v>1</v>
      </c>
      <c r="AT15" s="46">
        <v>0</v>
      </c>
      <c r="AU15" s="46">
        <v>1</v>
      </c>
      <c r="AV15" s="46">
        <v>1</v>
      </c>
      <c r="AW15" s="50" t="s">
        <v>159</v>
      </c>
      <c r="AX15" s="37"/>
      <c r="AY15" s="38"/>
    </row>
    <row r="16" spans="1:51" x14ac:dyDescent="0.25">
      <c r="A16" s="36">
        <v>13</v>
      </c>
      <c r="B16" s="46" t="s">
        <v>445</v>
      </c>
      <c r="C16" s="46">
        <v>65.25</v>
      </c>
      <c r="D16" s="46">
        <v>1</v>
      </c>
      <c r="E16" s="46">
        <v>0</v>
      </c>
      <c r="F16" s="46">
        <v>0</v>
      </c>
      <c r="G16" s="46">
        <v>32.200000000000003</v>
      </c>
      <c r="H16" s="46">
        <v>64.400000000000006</v>
      </c>
      <c r="I16" s="46">
        <v>965</v>
      </c>
      <c r="J16" s="46">
        <v>98574</v>
      </c>
      <c r="K16" s="46">
        <v>98574</v>
      </c>
      <c r="L16" s="46">
        <v>9857</v>
      </c>
      <c r="M16" s="56">
        <v>0</v>
      </c>
      <c r="N16" s="46">
        <v>1258</v>
      </c>
      <c r="O16" s="46">
        <v>4</v>
      </c>
      <c r="P16" s="46">
        <v>365</v>
      </c>
      <c r="Q16" s="37" t="s">
        <v>159</v>
      </c>
      <c r="R16" s="37" t="s">
        <v>159</v>
      </c>
      <c r="S16" s="37" t="s">
        <v>159</v>
      </c>
      <c r="T16" s="37" t="s">
        <v>159</v>
      </c>
      <c r="U16" s="37" t="s">
        <v>159</v>
      </c>
      <c r="V16" s="37" t="s">
        <v>159</v>
      </c>
      <c r="W16" s="37" t="s">
        <v>159</v>
      </c>
      <c r="X16" s="37" t="s">
        <v>159</v>
      </c>
      <c r="Y16" s="37" t="s">
        <v>159</v>
      </c>
      <c r="Z16" s="37" t="s">
        <v>159</v>
      </c>
      <c r="AA16" s="37" t="s">
        <v>159</v>
      </c>
      <c r="AB16" s="37" t="s">
        <v>159</v>
      </c>
      <c r="AC16" s="37" t="s">
        <v>159</v>
      </c>
      <c r="AD16" s="37" t="s">
        <v>159</v>
      </c>
      <c r="AE16" s="37" t="s">
        <v>159</v>
      </c>
      <c r="AF16" s="37" t="s">
        <v>159</v>
      </c>
      <c r="AG16" s="46">
        <v>0</v>
      </c>
      <c r="AH16" s="46">
        <v>0</v>
      </c>
      <c r="AI16" s="46">
        <v>180</v>
      </c>
      <c r="AJ16" s="46">
        <v>1</v>
      </c>
      <c r="AK16" s="46">
        <v>4294967295</v>
      </c>
      <c r="AL16" s="46">
        <v>3167485951</v>
      </c>
      <c r="AM16" s="46">
        <v>65534</v>
      </c>
      <c r="AN16" s="46">
        <v>6</v>
      </c>
      <c r="AO16" s="69" t="s">
        <v>923</v>
      </c>
      <c r="AP16" s="69" t="s">
        <v>925</v>
      </c>
      <c r="AQ16" s="69" t="s">
        <v>925</v>
      </c>
      <c r="AR16" s="46">
        <v>1</v>
      </c>
      <c r="AS16" s="46">
        <v>1</v>
      </c>
      <c r="AT16" s="46">
        <v>1</v>
      </c>
      <c r="AU16" s="46">
        <v>1</v>
      </c>
      <c r="AV16" s="46">
        <v>1</v>
      </c>
      <c r="AW16" s="50" t="s">
        <v>159</v>
      </c>
      <c r="AX16" s="37"/>
      <c r="AY16" s="38"/>
    </row>
    <row r="17" spans="1:51" x14ac:dyDescent="0.25">
      <c r="A17" s="36">
        <v>14</v>
      </c>
      <c r="B17" s="46" t="s">
        <v>446</v>
      </c>
      <c r="C17" s="46">
        <v>14.23</v>
      </c>
      <c r="D17" s="46">
        <v>24.8</v>
      </c>
      <c r="E17" s="46">
        <v>1</v>
      </c>
      <c r="F17" s="46">
        <v>1</v>
      </c>
      <c r="G17" s="46">
        <v>78.540000000000006</v>
      </c>
      <c r="H17" s="46">
        <v>84</v>
      </c>
      <c r="I17" s="46">
        <v>785</v>
      </c>
      <c r="J17" s="46">
        <v>154785</v>
      </c>
      <c r="K17" s="46">
        <v>352414</v>
      </c>
      <c r="L17" s="46">
        <v>1425</v>
      </c>
      <c r="M17" s="56">
        <v>1800</v>
      </c>
      <c r="N17" s="46">
        <v>4</v>
      </c>
      <c r="O17" s="46">
        <v>5</v>
      </c>
      <c r="P17" s="46">
        <v>147</v>
      </c>
      <c r="Q17" s="37" t="s">
        <v>159</v>
      </c>
      <c r="R17" s="37" t="s">
        <v>159</v>
      </c>
      <c r="S17" s="37" t="s">
        <v>159</v>
      </c>
      <c r="T17" s="37" t="s">
        <v>159</v>
      </c>
      <c r="U17" s="37" t="s">
        <v>159</v>
      </c>
      <c r="V17" s="37" t="s">
        <v>159</v>
      </c>
      <c r="W17" s="37" t="s">
        <v>159</v>
      </c>
      <c r="X17" s="37" t="s">
        <v>159</v>
      </c>
      <c r="Y17" s="37" t="s">
        <v>159</v>
      </c>
      <c r="Z17" s="37" t="s">
        <v>159</v>
      </c>
      <c r="AA17" s="37" t="s">
        <v>159</v>
      </c>
      <c r="AB17" s="37" t="s">
        <v>159</v>
      </c>
      <c r="AC17" s="37" t="s">
        <v>159</v>
      </c>
      <c r="AD17" s="37" t="s">
        <v>159</v>
      </c>
      <c r="AE17" s="37" t="s">
        <v>159</v>
      </c>
      <c r="AF17" s="37" t="s">
        <v>159</v>
      </c>
      <c r="AG17" s="46">
        <v>34</v>
      </c>
      <c r="AH17" s="46">
        <v>78.540000000000006</v>
      </c>
      <c r="AI17" s="46">
        <v>84</v>
      </c>
      <c r="AJ17" s="46">
        <v>785</v>
      </c>
      <c r="AK17" s="46">
        <v>154785</v>
      </c>
      <c r="AL17" s="46">
        <v>352414</v>
      </c>
      <c r="AM17" s="46">
        <v>1425</v>
      </c>
      <c r="AN17" s="46">
        <v>5</v>
      </c>
      <c r="AO17" s="69" t="s">
        <v>923</v>
      </c>
      <c r="AP17" s="69" t="s">
        <v>924</v>
      </c>
      <c r="AQ17" s="69" t="s">
        <v>925</v>
      </c>
      <c r="AR17" s="46">
        <v>1</v>
      </c>
      <c r="AS17" s="46">
        <v>1</v>
      </c>
      <c r="AT17" s="46">
        <v>0</v>
      </c>
      <c r="AU17" s="46">
        <v>1</v>
      </c>
      <c r="AV17" s="46">
        <v>1</v>
      </c>
      <c r="AW17" s="50" t="s">
        <v>159</v>
      </c>
      <c r="AX17" s="37"/>
      <c r="AY17" s="38"/>
    </row>
    <row r="18" spans="1:51" x14ac:dyDescent="0.25">
      <c r="A18" s="36">
        <v>15</v>
      </c>
      <c r="B18" s="46" t="s">
        <v>447</v>
      </c>
      <c r="C18" s="46">
        <v>325.10000000000002</v>
      </c>
      <c r="D18" s="46">
        <v>98.25</v>
      </c>
      <c r="E18" s="46">
        <v>1</v>
      </c>
      <c r="F18" s="46">
        <v>1</v>
      </c>
      <c r="G18" s="46">
        <v>6.2539999999999996</v>
      </c>
      <c r="H18" s="46">
        <v>360</v>
      </c>
      <c r="I18" s="46">
        <v>2548</v>
      </c>
      <c r="J18" s="46">
        <v>7859541</v>
      </c>
      <c r="K18" s="46">
        <v>789547</v>
      </c>
      <c r="L18" s="46">
        <v>911</v>
      </c>
      <c r="M18" s="56">
        <v>985.5</v>
      </c>
      <c r="N18" s="46">
        <v>3658</v>
      </c>
      <c r="O18" s="46">
        <v>1</v>
      </c>
      <c r="P18" s="63">
        <v>0</v>
      </c>
      <c r="Q18" s="37" t="s">
        <v>159</v>
      </c>
      <c r="R18" s="37" t="s">
        <v>159</v>
      </c>
      <c r="S18" s="37" t="s">
        <v>159</v>
      </c>
      <c r="T18" s="37" t="s">
        <v>159</v>
      </c>
      <c r="U18" s="37" t="s">
        <v>159</v>
      </c>
      <c r="V18" s="37" t="s">
        <v>159</v>
      </c>
      <c r="W18" s="37" t="s">
        <v>159</v>
      </c>
      <c r="X18" s="37" t="s">
        <v>159</v>
      </c>
      <c r="Y18" s="37" t="s">
        <v>159</v>
      </c>
      <c r="Z18" s="37" t="s">
        <v>159</v>
      </c>
      <c r="AA18" s="37" t="s">
        <v>159</v>
      </c>
      <c r="AB18" s="37" t="s">
        <v>159</v>
      </c>
      <c r="AC18" s="37" t="s">
        <v>159</v>
      </c>
      <c r="AD18" s="37" t="s">
        <v>159</v>
      </c>
      <c r="AE18" s="37" t="s">
        <v>159</v>
      </c>
      <c r="AF18" s="37" t="s">
        <v>159</v>
      </c>
      <c r="AG18" s="46">
        <v>34</v>
      </c>
      <c r="AH18" s="46">
        <v>6.2539999999999996</v>
      </c>
      <c r="AI18" s="46">
        <v>360</v>
      </c>
      <c r="AJ18" s="46">
        <v>2548</v>
      </c>
      <c r="AK18" s="46">
        <v>7859541</v>
      </c>
      <c r="AL18" s="46">
        <v>789547</v>
      </c>
      <c r="AM18" s="46">
        <v>911</v>
      </c>
      <c r="AN18" s="46">
        <v>1</v>
      </c>
      <c r="AO18" s="69" t="s">
        <v>923</v>
      </c>
      <c r="AP18" s="69" t="s">
        <v>924</v>
      </c>
      <c r="AQ18" s="69" t="s">
        <v>925</v>
      </c>
      <c r="AR18" s="46">
        <v>1</v>
      </c>
      <c r="AS18" s="46">
        <v>1</v>
      </c>
      <c r="AT18" s="46">
        <v>0</v>
      </c>
      <c r="AU18" s="46">
        <v>1</v>
      </c>
      <c r="AV18" s="46">
        <v>1</v>
      </c>
      <c r="AW18" s="50" t="s">
        <v>159</v>
      </c>
      <c r="AX18" s="37"/>
      <c r="AY18" s="38"/>
    </row>
    <row r="19" spans="1:51" x14ac:dyDescent="0.25">
      <c r="A19" s="36">
        <v>16</v>
      </c>
      <c r="B19" s="46" t="s">
        <v>448</v>
      </c>
      <c r="C19" s="46">
        <v>62.4</v>
      </c>
      <c r="D19" s="46">
        <v>124.7</v>
      </c>
      <c r="E19" s="46">
        <v>0</v>
      </c>
      <c r="F19" s="46">
        <v>0</v>
      </c>
      <c r="G19" s="46">
        <v>75.2</v>
      </c>
      <c r="H19" s="46">
        <v>108</v>
      </c>
      <c r="I19" s="46">
        <v>4417</v>
      </c>
      <c r="J19" s="46">
        <v>14258</v>
      </c>
      <c r="K19" s="46">
        <v>951247</v>
      </c>
      <c r="L19" s="46">
        <v>25</v>
      </c>
      <c r="M19" s="46">
        <v>95</v>
      </c>
      <c r="N19" s="56">
        <v>0</v>
      </c>
      <c r="O19" s="63">
        <v>4</v>
      </c>
      <c r="P19" s="46">
        <v>325</v>
      </c>
      <c r="Q19" s="37" t="s">
        <v>159</v>
      </c>
      <c r="R19" s="37" t="s">
        <v>159</v>
      </c>
      <c r="S19" s="37" t="s">
        <v>159</v>
      </c>
      <c r="T19" s="37" t="s">
        <v>159</v>
      </c>
      <c r="U19" s="37" t="s">
        <v>159</v>
      </c>
      <c r="V19" s="37" t="s">
        <v>159</v>
      </c>
      <c r="W19" s="37" t="s">
        <v>159</v>
      </c>
      <c r="X19" s="37" t="s">
        <v>159</v>
      </c>
      <c r="Y19" s="37" t="s">
        <v>159</v>
      </c>
      <c r="Z19" s="37" t="s">
        <v>159</v>
      </c>
      <c r="AA19" s="37" t="s">
        <v>159</v>
      </c>
      <c r="AB19" s="37" t="s">
        <v>159</v>
      </c>
      <c r="AC19" s="37" t="s">
        <v>159</v>
      </c>
      <c r="AD19" s="37" t="s">
        <v>159</v>
      </c>
      <c r="AE19" s="37" t="s">
        <v>159</v>
      </c>
      <c r="AF19" s="37" t="s">
        <v>159</v>
      </c>
      <c r="AG19" s="46">
        <v>0</v>
      </c>
      <c r="AH19" s="46">
        <v>190</v>
      </c>
      <c r="AI19" s="46">
        <v>28.999999999999801</v>
      </c>
      <c r="AJ19" s="46">
        <v>1</v>
      </c>
      <c r="AK19" s="46">
        <v>3166830591</v>
      </c>
      <c r="AL19" s="46">
        <v>3189243903</v>
      </c>
      <c r="AM19" s="46">
        <v>65534</v>
      </c>
      <c r="AN19" s="46">
        <v>6</v>
      </c>
      <c r="AO19" s="69" t="s">
        <v>923</v>
      </c>
      <c r="AP19" s="69" t="s">
        <v>925</v>
      </c>
      <c r="AQ19" s="69" t="s">
        <v>925</v>
      </c>
      <c r="AR19" s="46">
        <v>1</v>
      </c>
      <c r="AS19" s="46">
        <v>1</v>
      </c>
      <c r="AT19" s="46">
        <v>1</v>
      </c>
      <c r="AU19" s="46">
        <v>1</v>
      </c>
      <c r="AV19" s="46">
        <v>1</v>
      </c>
      <c r="AW19" s="50" t="s">
        <v>159</v>
      </c>
      <c r="AX19" s="37"/>
      <c r="AY19" s="38"/>
    </row>
    <row r="20" spans="1:51" x14ac:dyDescent="0.25">
      <c r="A20" s="36">
        <v>17</v>
      </c>
      <c r="B20" s="46" t="s">
        <v>449</v>
      </c>
      <c r="C20" s="46">
        <v>15.25</v>
      </c>
      <c r="D20" s="46">
        <v>65.25</v>
      </c>
      <c r="E20" s="46">
        <v>1</v>
      </c>
      <c r="F20" s="46">
        <v>1</v>
      </c>
      <c r="G20" s="46">
        <v>1.036</v>
      </c>
      <c r="H20" s="46">
        <v>32.200000000000003</v>
      </c>
      <c r="I20" s="46">
        <v>4000</v>
      </c>
      <c r="J20" s="46">
        <v>35789</v>
      </c>
      <c r="K20" s="46">
        <v>35789</v>
      </c>
      <c r="L20" s="46">
        <v>8</v>
      </c>
      <c r="M20" s="46">
        <v>7.2539999999999996</v>
      </c>
      <c r="N20" s="56">
        <v>4488</v>
      </c>
      <c r="O20" s="63">
        <v>5</v>
      </c>
      <c r="P20" s="46">
        <v>145</v>
      </c>
      <c r="Q20" s="37" t="s">
        <v>159</v>
      </c>
      <c r="R20" s="37" t="s">
        <v>159</v>
      </c>
      <c r="S20" s="37" t="s">
        <v>159</v>
      </c>
      <c r="T20" s="37" t="s">
        <v>159</v>
      </c>
      <c r="U20" s="37" t="s">
        <v>159</v>
      </c>
      <c r="V20" s="37" t="s">
        <v>159</v>
      </c>
      <c r="W20" s="37" t="s">
        <v>159</v>
      </c>
      <c r="X20" s="37" t="s">
        <v>159</v>
      </c>
      <c r="Y20" s="37" t="s">
        <v>159</v>
      </c>
      <c r="Z20" s="37" t="s">
        <v>159</v>
      </c>
      <c r="AA20" s="37" t="s">
        <v>159</v>
      </c>
      <c r="AB20" s="37" t="s">
        <v>159</v>
      </c>
      <c r="AC20" s="37" t="s">
        <v>159</v>
      </c>
      <c r="AD20" s="37" t="s">
        <v>159</v>
      </c>
      <c r="AE20" s="37" t="s">
        <v>159</v>
      </c>
      <c r="AF20" s="37" t="s">
        <v>159</v>
      </c>
      <c r="AG20" s="46">
        <v>34</v>
      </c>
      <c r="AH20" s="46">
        <v>1.036</v>
      </c>
      <c r="AI20" s="46">
        <v>32.200000000000003</v>
      </c>
      <c r="AJ20" s="46">
        <v>4000</v>
      </c>
      <c r="AK20" s="46">
        <v>35789</v>
      </c>
      <c r="AL20" s="46">
        <v>35789</v>
      </c>
      <c r="AM20" s="46">
        <v>8</v>
      </c>
      <c r="AN20" s="46">
        <v>5</v>
      </c>
      <c r="AO20" s="69" t="s">
        <v>923</v>
      </c>
      <c r="AP20" s="69" t="s">
        <v>924</v>
      </c>
      <c r="AQ20" s="69" t="s">
        <v>925</v>
      </c>
      <c r="AR20" s="46">
        <v>1</v>
      </c>
      <c r="AS20" s="46">
        <v>1</v>
      </c>
      <c r="AT20" s="46">
        <v>0</v>
      </c>
      <c r="AU20" s="46">
        <v>1</v>
      </c>
      <c r="AV20" s="46">
        <v>1</v>
      </c>
      <c r="AW20" s="50" t="s">
        <v>159</v>
      </c>
      <c r="AX20" s="37"/>
      <c r="AY20" s="38"/>
    </row>
    <row r="21" spans="1:51" x14ac:dyDescent="0.25">
      <c r="A21" s="36">
        <v>18</v>
      </c>
      <c r="B21" s="46" t="s">
        <v>450</v>
      </c>
      <c r="C21" s="46">
        <v>255</v>
      </c>
      <c r="D21" s="46">
        <v>14.23</v>
      </c>
      <c r="E21" s="46">
        <v>0</v>
      </c>
      <c r="F21" s="46">
        <v>0</v>
      </c>
      <c r="G21" s="46">
        <v>9.52</v>
      </c>
      <c r="H21" s="46">
        <v>78.540000000000006</v>
      </c>
      <c r="I21" s="46">
        <v>3200</v>
      </c>
      <c r="J21" s="46">
        <v>3021458</v>
      </c>
      <c r="K21" s="46">
        <v>10254</v>
      </c>
      <c r="L21" s="46">
        <v>344</v>
      </c>
      <c r="M21" s="46">
        <v>5</v>
      </c>
      <c r="N21" s="56">
        <v>2000</v>
      </c>
      <c r="O21" s="63">
        <v>6</v>
      </c>
      <c r="P21" s="46">
        <v>2</v>
      </c>
      <c r="Q21" s="37" t="s">
        <v>159</v>
      </c>
      <c r="R21" s="37" t="s">
        <v>159</v>
      </c>
      <c r="S21" s="37" t="s">
        <v>159</v>
      </c>
      <c r="T21" s="37" t="s">
        <v>159</v>
      </c>
      <c r="U21" s="37" t="s">
        <v>159</v>
      </c>
      <c r="V21" s="37" t="s">
        <v>159</v>
      </c>
      <c r="W21" s="37" t="s">
        <v>159</v>
      </c>
      <c r="X21" s="37" t="s">
        <v>159</v>
      </c>
      <c r="Y21" s="37" t="s">
        <v>159</v>
      </c>
      <c r="Z21" s="37" t="s">
        <v>159</v>
      </c>
      <c r="AA21" s="37" t="s">
        <v>159</v>
      </c>
      <c r="AB21" s="37" t="s">
        <v>159</v>
      </c>
      <c r="AC21" s="37" t="s">
        <v>159</v>
      </c>
      <c r="AD21" s="37" t="s">
        <v>159</v>
      </c>
      <c r="AE21" s="37" t="s">
        <v>159</v>
      </c>
      <c r="AF21" s="37" t="s">
        <v>159</v>
      </c>
      <c r="AG21" s="46">
        <v>0</v>
      </c>
      <c r="AH21" s="46">
        <v>10</v>
      </c>
      <c r="AI21" s="46">
        <v>191</v>
      </c>
      <c r="AJ21" s="46">
        <v>1</v>
      </c>
      <c r="AK21" s="46">
        <v>3202351103</v>
      </c>
      <c r="AL21" s="46">
        <v>3166765055</v>
      </c>
      <c r="AM21" s="46">
        <v>65534</v>
      </c>
      <c r="AN21" s="46">
        <v>6</v>
      </c>
      <c r="AO21" s="69" t="s">
        <v>923</v>
      </c>
      <c r="AP21" s="69" t="s">
        <v>925</v>
      </c>
      <c r="AQ21" s="69" t="s">
        <v>925</v>
      </c>
      <c r="AR21" s="46">
        <v>1</v>
      </c>
      <c r="AS21" s="46">
        <v>1</v>
      </c>
      <c r="AT21" s="46">
        <v>1</v>
      </c>
      <c r="AU21" s="46">
        <v>1</v>
      </c>
      <c r="AV21" s="46">
        <v>1</v>
      </c>
      <c r="AW21" s="50" t="s">
        <v>159</v>
      </c>
      <c r="AX21" s="37"/>
      <c r="AY21" s="38"/>
    </row>
    <row r="22" spans="1:51" x14ac:dyDescent="0.25">
      <c r="A22" s="36">
        <v>19</v>
      </c>
      <c r="B22" s="46" t="s">
        <v>451</v>
      </c>
      <c r="C22" s="46">
        <v>325.10000000000002</v>
      </c>
      <c r="D22" s="46">
        <v>98.25</v>
      </c>
      <c r="E22" s="46">
        <v>1</v>
      </c>
      <c r="F22" s="46">
        <v>1</v>
      </c>
      <c r="G22" s="46">
        <v>6.2539999999999996</v>
      </c>
      <c r="H22" s="46">
        <v>360</v>
      </c>
      <c r="I22" s="46">
        <v>2548</v>
      </c>
      <c r="J22" s="46">
        <v>7859541</v>
      </c>
      <c r="K22" s="46">
        <v>789547</v>
      </c>
      <c r="L22" s="46">
        <v>911</v>
      </c>
      <c r="M22" s="46">
        <v>985.5</v>
      </c>
      <c r="N22" s="46">
        <v>3658</v>
      </c>
      <c r="O22" s="46">
        <v>1</v>
      </c>
      <c r="P22" s="56">
        <v>0</v>
      </c>
      <c r="Q22" s="37" t="s">
        <v>159</v>
      </c>
      <c r="R22" s="37" t="s">
        <v>159</v>
      </c>
      <c r="S22" s="37" t="s">
        <v>159</v>
      </c>
      <c r="T22" s="37" t="s">
        <v>159</v>
      </c>
      <c r="U22" s="37" t="s">
        <v>159</v>
      </c>
      <c r="V22" s="37" t="s">
        <v>159</v>
      </c>
      <c r="W22" s="37" t="s">
        <v>159</v>
      </c>
      <c r="X22" s="37" t="s">
        <v>159</v>
      </c>
      <c r="Y22" s="37" t="s">
        <v>159</v>
      </c>
      <c r="Z22" s="37" t="s">
        <v>159</v>
      </c>
      <c r="AA22" s="37" t="s">
        <v>159</v>
      </c>
      <c r="AB22" s="37" t="s">
        <v>159</v>
      </c>
      <c r="AC22" s="37" t="s">
        <v>159</v>
      </c>
      <c r="AD22" s="37" t="s">
        <v>159</v>
      </c>
      <c r="AE22" s="37" t="s">
        <v>159</v>
      </c>
      <c r="AF22" s="37" t="s">
        <v>159</v>
      </c>
      <c r="AG22" s="46">
        <v>34</v>
      </c>
      <c r="AH22" s="46">
        <v>6.2539999999999996</v>
      </c>
      <c r="AI22" s="46">
        <v>360</v>
      </c>
      <c r="AJ22" s="46">
        <v>2548</v>
      </c>
      <c r="AK22" s="46">
        <v>7859541</v>
      </c>
      <c r="AL22" s="46">
        <v>789547</v>
      </c>
      <c r="AM22" s="46">
        <v>911</v>
      </c>
      <c r="AN22" s="46">
        <v>1</v>
      </c>
      <c r="AO22" s="69" t="s">
        <v>923</v>
      </c>
      <c r="AP22" s="69" t="s">
        <v>924</v>
      </c>
      <c r="AQ22" s="69" t="s">
        <v>925</v>
      </c>
      <c r="AR22" s="46">
        <v>1</v>
      </c>
      <c r="AS22" s="46">
        <v>1</v>
      </c>
      <c r="AT22" s="46">
        <v>0</v>
      </c>
      <c r="AU22" s="46">
        <v>1</v>
      </c>
      <c r="AV22" s="46">
        <v>1</v>
      </c>
      <c r="AW22" s="50" t="s">
        <v>159</v>
      </c>
      <c r="AX22" s="37"/>
      <c r="AY22" s="38"/>
    </row>
    <row r="23" spans="1:51" x14ac:dyDescent="0.25">
      <c r="A23" s="36">
        <v>20</v>
      </c>
      <c r="B23" s="46" t="s">
        <v>452</v>
      </c>
      <c r="C23" s="46">
        <v>147.80000000000001</v>
      </c>
      <c r="D23" s="46">
        <v>115.3</v>
      </c>
      <c r="E23" s="46">
        <v>0</v>
      </c>
      <c r="F23" s="46">
        <v>0</v>
      </c>
      <c r="G23" s="46">
        <v>0.98570000000000002</v>
      </c>
      <c r="H23" s="46">
        <v>332.5</v>
      </c>
      <c r="I23" s="46">
        <v>1258</v>
      </c>
      <c r="J23" s="46">
        <v>152</v>
      </c>
      <c r="K23" s="46">
        <v>2145</v>
      </c>
      <c r="L23" s="46">
        <v>789</v>
      </c>
      <c r="M23" s="46">
        <v>745</v>
      </c>
      <c r="N23" s="46">
        <v>4025</v>
      </c>
      <c r="O23" s="46">
        <v>2</v>
      </c>
      <c r="P23" s="56">
        <v>511</v>
      </c>
      <c r="Q23" s="37" t="s">
        <v>159</v>
      </c>
      <c r="R23" s="37" t="s">
        <v>159</v>
      </c>
      <c r="S23" s="37" t="s">
        <v>159</v>
      </c>
      <c r="T23" s="37" t="s">
        <v>159</v>
      </c>
      <c r="U23" s="37" t="s">
        <v>159</v>
      </c>
      <c r="V23" s="37" t="s">
        <v>159</v>
      </c>
      <c r="W23" s="37" t="s">
        <v>159</v>
      </c>
      <c r="X23" s="37" t="s">
        <v>159</v>
      </c>
      <c r="Y23" s="37" t="s">
        <v>159</v>
      </c>
      <c r="Z23" s="37" t="s">
        <v>159</v>
      </c>
      <c r="AA23" s="37" t="s">
        <v>159</v>
      </c>
      <c r="AB23" s="37" t="s">
        <v>159</v>
      </c>
      <c r="AC23" s="37" t="s">
        <v>159</v>
      </c>
      <c r="AD23" s="37" t="s">
        <v>159</v>
      </c>
      <c r="AE23" s="37" t="s">
        <v>159</v>
      </c>
      <c r="AF23" s="37" t="s">
        <v>159</v>
      </c>
      <c r="AG23" s="46">
        <v>34</v>
      </c>
      <c r="AH23" s="46">
        <v>0.98570000000000002</v>
      </c>
      <c r="AI23" s="46">
        <v>332.5</v>
      </c>
      <c r="AJ23" s="46">
        <v>1258</v>
      </c>
      <c r="AK23" s="46">
        <v>152</v>
      </c>
      <c r="AL23" s="46">
        <v>2145</v>
      </c>
      <c r="AM23" s="46">
        <v>789</v>
      </c>
      <c r="AN23" s="46">
        <v>2</v>
      </c>
      <c r="AO23" s="69" t="s">
        <v>923</v>
      </c>
      <c r="AP23" s="69" t="s">
        <v>924</v>
      </c>
      <c r="AQ23" s="69" t="s">
        <v>925</v>
      </c>
      <c r="AR23" s="46">
        <v>1</v>
      </c>
      <c r="AS23" s="46">
        <v>1</v>
      </c>
      <c r="AT23" s="46">
        <v>0</v>
      </c>
      <c r="AU23" s="46">
        <v>1</v>
      </c>
      <c r="AV23" s="46">
        <v>1</v>
      </c>
      <c r="AW23" s="50" t="s">
        <v>159</v>
      </c>
      <c r="AX23" s="37"/>
      <c r="AY23" s="38"/>
    </row>
    <row r="24" spans="1:51" ht="15.75" thickBot="1" x14ac:dyDescent="0.3">
      <c r="A24" s="39">
        <v>21</v>
      </c>
      <c r="B24" s="47" t="s">
        <v>453</v>
      </c>
      <c r="C24" s="47">
        <v>196.5</v>
      </c>
      <c r="D24" s="47">
        <v>58.21</v>
      </c>
      <c r="E24" s="47">
        <v>1</v>
      </c>
      <c r="F24" s="47">
        <v>1</v>
      </c>
      <c r="G24" s="47">
        <v>75.099999999999994</v>
      </c>
      <c r="H24" s="47">
        <v>124.7</v>
      </c>
      <c r="I24" s="47">
        <v>4</v>
      </c>
      <c r="J24" s="47">
        <v>148</v>
      </c>
      <c r="K24" s="47">
        <v>158</v>
      </c>
      <c r="L24" s="47">
        <v>154</v>
      </c>
      <c r="M24" s="47">
        <v>357.2</v>
      </c>
      <c r="N24" s="47">
        <v>4152</v>
      </c>
      <c r="O24" s="47">
        <v>3</v>
      </c>
      <c r="P24" s="57">
        <v>255</v>
      </c>
      <c r="Q24" s="40" t="s">
        <v>159</v>
      </c>
      <c r="R24" s="40" t="s">
        <v>159</v>
      </c>
      <c r="S24" s="40" t="s">
        <v>159</v>
      </c>
      <c r="T24" s="40" t="s">
        <v>159</v>
      </c>
      <c r="U24" s="40" t="s">
        <v>159</v>
      </c>
      <c r="V24" s="40" t="s">
        <v>159</v>
      </c>
      <c r="W24" s="40" t="s">
        <v>159</v>
      </c>
      <c r="X24" s="40" t="s">
        <v>159</v>
      </c>
      <c r="Y24" s="40" t="s">
        <v>159</v>
      </c>
      <c r="Z24" s="40" t="s">
        <v>159</v>
      </c>
      <c r="AA24" s="40" t="s">
        <v>159</v>
      </c>
      <c r="AB24" s="40" t="s">
        <v>159</v>
      </c>
      <c r="AC24" s="40" t="s">
        <v>159</v>
      </c>
      <c r="AD24" s="40" t="s">
        <v>159</v>
      </c>
      <c r="AE24" s="40" t="s">
        <v>159</v>
      </c>
      <c r="AF24" s="40" t="s">
        <v>159</v>
      </c>
      <c r="AG24" s="47">
        <v>34</v>
      </c>
      <c r="AH24" s="47">
        <v>75.099999999999994</v>
      </c>
      <c r="AI24" s="47">
        <v>124.7</v>
      </c>
      <c r="AJ24" s="47">
        <v>4</v>
      </c>
      <c r="AK24" s="47">
        <v>148</v>
      </c>
      <c r="AL24" s="47">
        <v>158</v>
      </c>
      <c r="AM24" s="47">
        <v>154</v>
      </c>
      <c r="AN24" s="47">
        <v>3</v>
      </c>
      <c r="AO24" s="68" t="s">
        <v>923</v>
      </c>
      <c r="AP24" s="68" t="s">
        <v>924</v>
      </c>
      <c r="AQ24" s="68" t="s">
        <v>925</v>
      </c>
      <c r="AR24" s="47">
        <v>1</v>
      </c>
      <c r="AS24" s="47">
        <v>1</v>
      </c>
      <c r="AT24" s="47">
        <v>0</v>
      </c>
      <c r="AU24" s="47">
        <v>1</v>
      </c>
      <c r="AV24" s="47">
        <v>1</v>
      </c>
      <c r="AW24" s="51" t="s">
        <v>159</v>
      </c>
      <c r="AX24" s="40"/>
      <c r="AY24" s="41"/>
    </row>
    <row r="25" spans="1:5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</row>
    <row r="26" spans="1:5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</row>
    <row r="27" spans="1:51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</row>
    <row r="28" spans="1:51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</row>
    <row r="29" spans="1:5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</row>
    <row r="30" spans="1:5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</row>
    <row r="31" spans="1:51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</row>
    <row r="32" spans="1:51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</row>
    <row r="33" spans="1:51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</row>
    <row r="34" spans="1:51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</row>
  </sheetData>
  <autoFilter ref="AP1:AP34"/>
  <mergeCells count="2">
    <mergeCell ref="A1:B1"/>
    <mergeCell ref="A2:B2"/>
  </mergeCells>
  <hyperlinks>
    <hyperlink ref="A1" location="'DigColPs_SCom_CustSetTrim'!A1" display="'DigColPs_SCom_CustSetTrim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Y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1.5703125" bestFit="1" customWidth="1"/>
    <col min="3" max="3" width="5" bestFit="1" customWidth="1"/>
    <col min="4" max="4" width="6" bestFit="1" customWidth="1"/>
    <col min="5" max="6" width="3.28515625" bestFit="1" customWidth="1"/>
    <col min="7" max="7" width="5" bestFit="1" customWidth="1"/>
    <col min="8" max="8" width="6" bestFit="1" customWidth="1"/>
    <col min="9" max="9" width="5" bestFit="1" customWidth="1"/>
    <col min="10" max="10" width="8" bestFit="1" customWidth="1"/>
    <col min="11" max="11" width="6" bestFit="1" customWidth="1"/>
    <col min="12" max="12" width="4" bestFit="1" customWidth="1"/>
    <col min="13" max="13" width="6" bestFit="1" customWidth="1"/>
    <col min="14" max="14" width="5" bestFit="1" customWidth="1"/>
    <col min="15" max="15" width="3.28515625" customWidth="1"/>
    <col min="16" max="17" width="7.28515625" bestFit="1" customWidth="1"/>
    <col min="18" max="24" width="4.140625" bestFit="1" customWidth="1"/>
    <col min="25" max="27" width="4.140625" customWidth="1"/>
    <col min="28" max="36" width="7.28515625" bestFit="1" customWidth="1"/>
    <col min="37" max="38" width="11" bestFit="1" customWidth="1"/>
    <col min="39" max="40" width="7.28515625" bestFit="1" customWidth="1"/>
    <col min="41" max="41" width="8" bestFit="1" customWidth="1"/>
    <col min="42" max="48" width="7.2851562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279" t="s">
        <v>398</v>
      </c>
      <c r="B1" s="280"/>
      <c r="C1" s="45" t="s">
        <v>160</v>
      </c>
      <c r="D1" s="58" t="s">
        <v>159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239"/>
      <c r="Z1" s="239"/>
      <c r="AA1" s="239"/>
      <c r="AB1" s="239"/>
      <c r="AC1" s="239"/>
      <c r="AD1" s="239"/>
      <c r="AE1" s="239"/>
      <c r="AF1" s="239"/>
      <c r="AG1" s="239"/>
      <c r="AH1" s="239"/>
      <c r="AI1" s="239"/>
      <c r="AJ1" s="239"/>
      <c r="AK1" s="239"/>
      <c r="AL1" s="239"/>
      <c r="AM1" s="239"/>
      <c r="AN1" s="239"/>
      <c r="AO1" s="239"/>
      <c r="AP1" s="239"/>
      <c r="AQ1" s="239"/>
      <c r="AR1" s="239"/>
      <c r="AS1" s="239"/>
      <c r="AT1" s="239"/>
      <c r="AU1" s="239"/>
      <c r="AV1" s="239"/>
      <c r="AW1" s="43"/>
      <c r="AX1" s="43"/>
      <c r="AY1" s="44"/>
    </row>
    <row r="2" spans="1:51" ht="60" customHeight="1" x14ac:dyDescent="0.25">
      <c r="A2" s="281" t="s">
        <v>193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48" t="s">
        <v>150</v>
      </c>
      <c r="O2" s="48" t="s">
        <v>150</v>
      </c>
      <c r="P2" s="64" t="s">
        <v>239</v>
      </c>
      <c r="Q2" s="60" t="s">
        <v>170</v>
      </c>
      <c r="R2" s="27" t="s">
        <v>151</v>
      </c>
      <c r="S2" s="27" t="s">
        <v>151</v>
      </c>
      <c r="T2" s="27" t="s">
        <v>151</v>
      </c>
      <c r="U2" s="27" t="s">
        <v>151</v>
      </c>
      <c r="V2" s="27" t="s">
        <v>151</v>
      </c>
      <c r="W2" s="27" t="s">
        <v>151</v>
      </c>
      <c r="X2" s="27" t="s">
        <v>151</v>
      </c>
      <c r="Y2" s="27" t="s">
        <v>151</v>
      </c>
      <c r="Z2" s="27" t="s">
        <v>151</v>
      </c>
      <c r="AA2" s="27" t="s">
        <v>151</v>
      </c>
      <c r="AB2" s="27" t="s">
        <v>152</v>
      </c>
      <c r="AC2" s="27" t="s">
        <v>152</v>
      </c>
      <c r="AD2" s="27" t="s">
        <v>152</v>
      </c>
      <c r="AE2" s="27" t="s">
        <v>152</v>
      </c>
      <c r="AF2" s="27" t="s">
        <v>152</v>
      </c>
      <c r="AG2" s="28" t="s">
        <v>171</v>
      </c>
      <c r="AH2" s="28" t="s">
        <v>153</v>
      </c>
      <c r="AI2" s="28" t="s">
        <v>153</v>
      </c>
      <c r="AJ2" s="28" t="s">
        <v>153</v>
      </c>
      <c r="AK2" s="28" t="s">
        <v>153</v>
      </c>
      <c r="AL2" s="28" t="s">
        <v>153</v>
      </c>
      <c r="AM2" s="28" t="s">
        <v>153</v>
      </c>
      <c r="AN2" s="28" t="s">
        <v>153</v>
      </c>
      <c r="AO2" s="28" t="s">
        <v>153</v>
      </c>
      <c r="AP2" s="28" t="s">
        <v>153</v>
      </c>
      <c r="AQ2" s="28" t="s">
        <v>153</v>
      </c>
      <c r="AR2" s="28" t="s">
        <v>154</v>
      </c>
      <c r="AS2" s="28" t="s">
        <v>154</v>
      </c>
      <c r="AT2" s="28" t="s">
        <v>154</v>
      </c>
      <c r="AU2" s="28" t="s">
        <v>154</v>
      </c>
      <c r="AV2" s="28" t="s">
        <v>154</v>
      </c>
      <c r="AW2" s="29" t="s">
        <v>21</v>
      </c>
      <c r="AX2" s="29" t="s">
        <v>156</v>
      </c>
      <c r="AY2" s="30" t="s">
        <v>158</v>
      </c>
    </row>
    <row r="3" spans="1:51" ht="170.25" x14ac:dyDescent="0.25">
      <c r="A3" s="31" t="s">
        <v>148</v>
      </c>
      <c r="B3" s="32" t="s">
        <v>149</v>
      </c>
      <c r="C3" s="33" t="s">
        <v>286</v>
      </c>
      <c r="D3" s="33" t="s">
        <v>285</v>
      </c>
      <c r="E3" s="33" t="s">
        <v>567</v>
      </c>
      <c r="F3" s="33" t="s">
        <v>566</v>
      </c>
      <c r="G3" s="33" t="s">
        <v>258</v>
      </c>
      <c r="H3" s="33" t="s">
        <v>259</v>
      </c>
      <c r="I3" s="33" t="s">
        <v>274</v>
      </c>
      <c r="J3" s="33" t="s">
        <v>287</v>
      </c>
      <c r="K3" s="33" t="s">
        <v>288</v>
      </c>
      <c r="L3" s="33" t="s">
        <v>289</v>
      </c>
      <c r="M3" s="33" t="s">
        <v>422</v>
      </c>
      <c r="N3" s="33" t="s">
        <v>382</v>
      </c>
      <c r="O3" s="33" t="s">
        <v>424</v>
      </c>
      <c r="P3" s="33" t="s">
        <v>425</v>
      </c>
      <c r="Q3" s="34" t="s">
        <v>398</v>
      </c>
      <c r="R3" s="34" t="s">
        <v>258</v>
      </c>
      <c r="S3" s="34" t="s">
        <v>259</v>
      </c>
      <c r="T3" s="34" t="s">
        <v>274</v>
      </c>
      <c r="U3" s="34" t="s">
        <v>287</v>
      </c>
      <c r="V3" s="34" t="s">
        <v>288</v>
      </c>
      <c r="W3" s="34" t="s">
        <v>289</v>
      </c>
      <c r="X3" s="34" t="s">
        <v>424</v>
      </c>
      <c r="Y3" s="34" t="s">
        <v>342</v>
      </c>
      <c r="Z3" s="34" t="s">
        <v>343</v>
      </c>
      <c r="AA3" s="34" t="s">
        <v>344</v>
      </c>
      <c r="AB3" s="34" t="s">
        <v>272</v>
      </c>
      <c r="AC3" s="34" t="s">
        <v>273</v>
      </c>
      <c r="AD3" s="34" t="s">
        <v>56</v>
      </c>
      <c r="AE3" s="34" t="s">
        <v>55</v>
      </c>
      <c r="AF3" s="34" t="s">
        <v>425</v>
      </c>
      <c r="AG3" s="35" t="s">
        <v>398</v>
      </c>
      <c r="AH3" s="35" t="s">
        <v>258</v>
      </c>
      <c r="AI3" s="35" t="s">
        <v>259</v>
      </c>
      <c r="AJ3" s="35" t="s">
        <v>274</v>
      </c>
      <c r="AK3" s="35" t="s">
        <v>287</v>
      </c>
      <c r="AL3" s="35" t="s">
        <v>288</v>
      </c>
      <c r="AM3" s="35" t="s">
        <v>289</v>
      </c>
      <c r="AN3" s="35" t="s">
        <v>424</v>
      </c>
      <c r="AO3" s="35" t="s">
        <v>342</v>
      </c>
      <c r="AP3" s="35" t="s">
        <v>343</v>
      </c>
      <c r="AQ3" s="35" t="s">
        <v>344</v>
      </c>
      <c r="AR3" s="35" t="s">
        <v>272</v>
      </c>
      <c r="AS3" s="35" t="s">
        <v>273</v>
      </c>
      <c r="AT3" s="35" t="s">
        <v>56</v>
      </c>
      <c r="AU3" s="35" t="s">
        <v>55</v>
      </c>
      <c r="AV3" s="35" t="s">
        <v>425</v>
      </c>
      <c r="AW3" s="29" t="s">
        <v>155</v>
      </c>
      <c r="AX3" s="29" t="s">
        <v>157</v>
      </c>
      <c r="AY3" s="30"/>
    </row>
    <row r="4" spans="1:51" x14ac:dyDescent="0.25">
      <c r="A4" s="36">
        <v>1</v>
      </c>
      <c r="B4" s="46" t="s">
        <v>454</v>
      </c>
      <c r="C4" s="63">
        <v>0</v>
      </c>
      <c r="D4" s="63">
        <v>50</v>
      </c>
      <c r="E4" s="63">
        <v>1</v>
      </c>
      <c r="F4" s="63">
        <v>0</v>
      </c>
      <c r="G4" s="63">
        <v>1</v>
      </c>
      <c r="H4" s="63">
        <v>4</v>
      </c>
      <c r="I4" s="63">
        <v>2142</v>
      </c>
      <c r="J4" s="63">
        <v>1</v>
      </c>
      <c r="K4" s="63">
        <v>2456</v>
      </c>
      <c r="L4" s="63">
        <v>525</v>
      </c>
      <c r="M4" s="63">
        <v>96.58</v>
      </c>
      <c r="N4" s="63">
        <v>1</v>
      </c>
      <c r="O4" s="63">
        <v>0</v>
      </c>
      <c r="P4" s="63">
        <v>511</v>
      </c>
      <c r="Q4" s="46" t="s">
        <v>159</v>
      </c>
      <c r="R4" s="37" t="s">
        <v>159</v>
      </c>
      <c r="S4" s="37" t="s">
        <v>159</v>
      </c>
      <c r="T4" s="37" t="s">
        <v>159</v>
      </c>
      <c r="U4" s="37" t="s">
        <v>159</v>
      </c>
      <c r="V4" s="37" t="s">
        <v>159</v>
      </c>
      <c r="W4" s="37" t="s">
        <v>159</v>
      </c>
      <c r="X4" s="37" t="s">
        <v>159</v>
      </c>
      <c r="Y4" s="37" t="s">
        <v>159</v>
      </c>
      <c r="Z4" s="37" t="s">
        <v>159</v>
      </c>
      <c r="AA4" s="37" t="s">
        <v>159</v>
      </c>
      <c r="AB4" s="37" t="s">
        <v>159</v>
      </c>
      <c r="AC4" s="37" t="s">
        <v>159</v>
      </c>
      <c r="AD4" s="37" t="s">
        <v>159</v>
      </c>
      <c r="AE4" s="37" t="s">
        <v>159</v>
      </c>
      <c r="AF4" s="37" t="s">
        <v>159</v>
      </c>
      <c r="AG4" s="46">
        <v>34</v>
      </c>
      <c r="AH4" s="46">
        <v>1</v>
      </c>
      <c r="AI4" s="46">
        <v>4</v>
      </c>
      <c r="AJ4" s="46">
        <v>2142</v>
      </c>
      <c r="AK4" s="46">
        <v>1</v>
      </c>
      <c r="AL4" s="46">
        <v>2456</v>
      </c>
      <c r="AM4" s="46">
        <v>525</v>
      </c>
      <c r="AN4" s="46">
        <v>0</v>
      </c>
      <c r="AO4" s="69" t="s">
        <v>923</v>
      </c>
      <c r="AP4" s="69" t="s">
        <v>924</v>
      </c>
      <c r="AQ4" s="69" t="s">
        <v>925</v>
      </c>
      <c r="AR4" s="46">
        <v>1</v>
      </c>
      <c r="AS4" s="46">
        <v>1</v>
      </c>
      <c r="AT4" s="46">
        <v>0</v>
      </c>
      <c r="AU4" s="46">
        <v>1</v>
      </c>
      <c r="AV4" s="46">
        <v>1</v>
      </c>
      <c r="AW4" s="50" t="s">
        <v>159</v>
      </c>
      <c r="AX4" s="37"/>
      <c r="AY4" s="38"/>
    </row>
    <row r="5" spans="1:51" x14ac:dyDescent="0.25">
      <c r="A5" s="36">
        <v>2</v>
      </c>
      <c r="B5" s="46" t="s">
        <v>455</v>
      </c>
      <c r="C5" s="63">
        <v>360</v>
      </c>
      <c r="D5" s="63">
        <v>1</v>
      </c>
      <c r="E5" s="63">
        <v>1</v>
      </c>
      <c r="F5" s="63">
        <v>1</v>
      </c>
      <c r="G5" s="63">
        <v>12</v>
      </c>
      <c r="H5" s="63">
        <v>8</v>
      </c>
      <c r="I5" s="63">
        <v>1</v>
      </c>
      <c r="J5" s="63">
        <v>1000</v>
      </c>
      <c r="K5" s="63">
        <v>3564</v>
      </c>
      <c r="L5" s="63">
        <v>625</v>
      </c>
      <c r="M5" s="63">
        <v>7.2539999999999996</v>
      </c>
      <c r="N5" s="63">
        <v>1</v>
      </c>
      <c r="O5" s="63">
        <v>1</v>
      </c>
      <c r="P5" s="63">
        <v>511</v>
      </c>
      <c r="Q5" s="46" t="s">
        <v>159</v>
      </c>
      <c r="R5" s="37" t="s">
        <v>159</v>
      </c>
      <c r="S5" s="37" t="s">
        <v>159</v>
      </c>
      <c r="T5" s="37" t="s">
        <v>159</v>
      </c>
      <c r="U5" s="37" t="s">
        <v>159</v>
      </c>
      <c r="V5" s="37" t="s">
        <v>159</v>
      </c>
      <c r="W5" s="37" t="s">
        <v>159</v>
      </c>
      <c r="X5" s="37" t="s">
        <v>159</v>
      </c>
      <c r="Y5" s="37" t="s">
        <v>159</v>
      </c>
      <c r="Z5" s="37" t="s">
        <v>159</v>
      </c>
      <c r="AA5" s="37" t="s">
        <v>159</v>
      </c>
      <c r="AB5" s="37" t="s">
        <v>159</v>
      </c>
      <c r="AC5" s="37" t="s">
        <v>159</v>
      </c>
      <c r="AD5" s="37" t="s">
        <v>159</v>
      </c>
      <c r="AE5" s="37" t="s">
        <v>159</v>
      </c>
      <c r="AF5" s="37" t="s">
        <v>159</v>
      </c>
      <c r="AG5" s="46">
        <v>34</v>
      </c>
      <c r="AH5" s="46">
        <v>12</v>
      </c>
      <c r="AI5" s="46">
        <v>8</v>
      </c>
      <c r="AJ5" s="46">
        <v>1</v>
      </c>
      <c r="AK5" s="46">
        <v>1000</v>
      </c>
      <c r="AL5" s="46">
        <v>3564</v>
      </c>
      <c r="AM5" s="46">
        <v>625</v>
      </c>
      <c r="AN5" s="46">
        <v>6</v>
      </c>
      <c r="AO5" s="69" t="s">
        <v>923</v>
      </c>
      <c r="AP5" s="69" t="s">
        <v>925</v>
      </c>
      <c r="AQ5" s="69" t="s">
        <v>925</v>
      </c>
      <c r="AR5" s="46">
        <v>1</v>
      </c>
      <c r="AS5" s="46">
        <v>1</v>
      </c>
      <c r="AT5" s="46">
        <v>0</v>
      </c>
      <c r="AU5" s="46">
        <v>1</v>
      </c>
      <c r="AV5" s="46">
        <v>1</v>
      </c>
      <c r="AW5" s="50" t="s">
        <v>159</v>
      </c>
      <c r="AX5" s="37"/>
      <c r="AY5" s="38"/>
    </row>
    <row r="6" spans="1:51" ht="15" customHeight="1" x14ac:dyDescent="0.25">
      <c r="A6" s="36">
        <v>3</v>
      </c>
      <c r="B6" s="69" t="s">
        <v>456</v>
      </c>
      <c r="C6" s="46">
        <v>255</v>
      </c>
      <c r="D6" s="46">
        <v>14.23</v>
      </c>
      <c r="E6" s="46">
        <v>0</v>
      </c>
      <c r="F6" s="46">
        <v>0</v>
      </c>
      <c r="G6" s="46">
        <v>9.52</v>
      </c>
      <c r="H6" s="46">
        <v>78.540000000000006</v>
      </c>
      <c r="I6" s="46">
        <v>3200</v>
      </c>
      <c r="J6" s="46">
        <v>3021458</v>
      </c>
      <c r="K6" s="46">
        <v>10254</v>
      </c>
      <c r="L6" s="46">
        <v>344</v>
      </c>
      <c r="M6" s="46">
        <v>5</v>
      </c>
      <c r="N6" s="56">
        <v>2000</v>
      </c>
      <c r="O6" s="63">
        <v>6</v>
      </c>
      <c r="P6" s="46">
        <v>2</v>
      </c>
      <c r="Q6" s="46" t="s">
        <v>159</v>
      </c>
      <c r="R6" s="37" t="s">
        <v>159</v>
      </c>
      <c r="S6" s="37" t="s">
        <v>159</v>
      </c>
      <c r="T6" s="37" t="s">
        <v>159</v>
      </c>
      <c r="U6" s="37" t="s">
        <v>159</v>
      </c>
      <c r="V6" s="37" t="s">
        <v>159</v>
      </c>
      <c r="W6" s="37" t="s">
        <v>159</v>
      </c>
      <c r="X6" s="37" t="s">
        <v>159</v>
      </c>
      <c r="Y6" s="37" t="s">
        <v>159</v>
      </c>
      <c r="Z6" s="37" t="s">
        <v>159</v>
      </c>
      <c r="AA6" s="37" t="s">
        <v>159</v>
      </c>
      <c r="AB6" s="37" t="s">
        <v>159</v>
      </c>
      <c r="AC6" s="37" t="s">
        <v>159</v>
      </c>
      <c r="AD6" s="37" t="s">
        <v>159</v>
      </c>
      <c r="AE6" s="37" t="s">
        <v>159</v>
      </c>
      <c r="AF6" s="37" t="s">
        <v>159</v>
      </c>
      <c r="AG6" s="46">
        <v>0</v>
      </c>
      <c r="AH6" s="46">
        <v>10</v>
      </c>
      <c r="AI6" s="46">
        <v>191</v>
      </c>
      <c r="AJ6" s="46">
        <v>1</v>
      </c>
      <c r="AK6" s="46">
        <v>3202351103</v>
      </c>
      <c r="AL6" s="46">
        <v>3166765055</v>
      </c>
      <c r="AM6" s="46">
        <v>65534</v>
      </c>
      <c r="AN6" s="46">
        <v>6</v>
      </c>
      <c r="AO6" s="69" t="s">
        <v>923</v>
      </c>
      <c r="AP6" s="69" t="s">
        <v>925</v>
      </c>
      <c r="AQ6" s="69" t="s">
        <v>925</v>
      </c>
      <c r="AR6" s="46">
        <v>1</v>
      </c>
      <c r="AS6" s="46">
        <v>1</v>
      </c>
      <c r="AT6" s="46">
        <v>1</v>
      </c>
      <c r="AU6" s="46">
        <v>1</v>
      </c>
      <c r="AV6" s="46">
        <v>1</v>
      </c>
      <c r="AW6" s="50" t="s">
        <v>159</v>
      </c>
      <c r="AX6" s="37"/>
      <c r="AY6" s="38"/>
    </row>
    <row r="7" spans="1:51" ht="15" customHeight="1" x14ac:dyDescent="0.25">
      <c r="A7" s="36">
        <v>4</v>
      </c>
      <c r="B7" s="69" t="s">
        <v>457</v>
      </c>
      <c r="C7" s="63">
        <v>12</v>
      </c>
      <c r="D7" s="63">
        <v>44</v>
      </c>
      <c r="E7" s="63">
        <v>0</v>
      </c>
      <c r="F7" s="63">
        <v>0</v>
      </c>
      <c r="G7" s="63">
        <v>24</v>
      </c>
      <c r="H7" s="63">
        <v>12</v>
      </c>
      <c r="I7" s="63">
        <v>2146</v>
      </c>
      <c r="J7" s="63">
        <v>1999</v>
      </c>
      <c r="K7" s="63">
        <v>4672</v>
      </c>
      <c r="L7" s="63">
        <v>725</v>
      </c>
      <c r="M7" s="63">
        <v>5</v>
      </c>
      <c r="N7" s="63">
        <v>2</v>
      </c>
      <c r="O7" s="63">
        <v>3</v>
      </c>
      <c r="P7" s="63">
        <v>1</v>
      </c>
      <c r="Q7" s="37" t="s">
        <v>159</v>
      </c>
      <c r="R7" s="37" t="s">
        <v>159</v>
      </c>
      <c r="S7" s="37" t="s">
        <v>159</v>
      </c>
      <c r="T7" s="37" t="s">
        <v>159</v>
      </c>
      <c r="U7" s="37" t="s">
        <v>159</v>
      </c>
      <c r="V7" s="37" t="s">
        <v>159</v>
      </c>
      <c r="W7" s="37" t="s">
        <v>159</v>
      </c>
      <c r="X7" s="37" t="s">
        <v>159</v>
      </c>
      <c r="Y7" s="37" t="s">
        <v>159</v>
      </c>
      <c r="Z7" s="37" t="s">
        <v>159</v>
      </c>
      <c r="AA7" s="37" t="s">
        <v>159</v>
      </c>
      <c r="AB7" s="37" t="s">
        <v>159</v>
      </c>
      <c r="AC7" s="37" t="s">
        <v>159</v>
      </c>
      <c r="AD7" s="37" t="s">
        <v>159</v>
      </c>
      <c r="AE7" s="37" t="s">
        <v>159</v>
      </c>
      <c r="AF7" s="37" t="s">
        <v>159</v>
      </c>
      <c r="AG7" s="46">
        <v>0</v>
      </c>
      <c r="AH7" s="46">
        <v>185</v>
      </c>
      <c r="AI7" s="46">
        <v>191</v>
      </c>
      <c r="AJ7" s="46">
        <v>1</v>
      </c>
      <c r="AK7" s="46">
        <v>3167158271</v>
      </c>
      <c r="AL7" s="46">
        <v>3166765055</v>
      </c>
      <c r="AM7" s="46">
        <v>65534</v>
      </c>
      <c r="AN7" s="46">
        <v>6</v>
      </c>
      <c r="AO7" s="69" t="s">
        <v>923</v>
      </c>
      <c r="AP7" s="69" t="s">
        <v>925</v>
      </c>
      <c r="AQ7" s="69" t="s">
        <v>925</v>
      </c>
      <c r="AR7" s="46">
        <v>1</v>
      </c>
      <c r="AS7" s="46">
        <v>1</v>
      </c>
      <c r="AT7" s="46">
        <v>1</v>
      </c>
      <c r="AU7" s="46">
        <v>1</v>
      </c>
      <c r="AV7" s="46">
        <v>1</v>
      </c>
      <c r="AW7" s="50" t="s">
        <v>159</v>
      </c>
      <c r="AX7" s="37"/>
      <c r="AY7" s="38"/>
    </row>
    <row r="8" spans="1:51" ht="15" customHeight="1" x14ac:dyDescent="0.25">
      <c r="A8" s="36">
        <v>5</v>
      </c>
      <c r="B8" s="69" t="s">
        <v>458</v>
      </c>
      <c r="C8" s="63">
        <v>12</v>
      </c>
      <c r="D8" s="63">
        <v>44</v>
      </c>
      <c r="E8" s="63">
        <v>0</v>
      </c>
      <c r="F8" s="63">
        <v>0</v>
      </c>
      <c r="G8" s="63">
        <v>24</v>
      </c>
      <c r="H8" s="63">
        <v>12</v>
      </c>
      <c r="I8" s="63">
        <v>2146</v>
      </c>
      <c r="J8" s="63">
        <v>1999</v>
      </c>
      <c r="K8" s="63">
        <v>4672</v>
      </c>
      <c r="L8" s="63">
        <v>725</v>
      </c>
      <c r="M8" s="63">
        <v>1800</v>
      </c>
      <c r="N8" s="63">
        <v>2</v>
      </c>
      <c r="O8" s="63">
        <v>4</v>
      </c>
      <c r="P8" s="63">
        <v>1</v>
      </c>
      <c r="Q8" s="37" t="s">
        <v>159</v>
      </c>
      <c r="R8" s="37" t="s">
        <v>159</v>
      </c>
      <c r="S8" s="37" t="s">
        <v>159</v>
      </c>
      <c r="T8" s="37" t="s">
        <v>159</v>
      </c>
      <c r="U8" s="37" t="s">
        <v>159</v>
      </c>
      <c r="V8" s="37" t="s">
        <v>159</v>
      </c>
      <c r="W8" s="37" t="s">
        <v>159</v>
      </c>
      <c r="X8" s="37" t="s">
        <v>159</v>
      </c>
      <c r="Y8" s="37" t="s">
        <v>159</v>
      </c>
      <c r="Z8" s="37" t="s">
        <v>159</v>
      </c>
      <c r="AA8" s="37" t="s">
        <v>159</v>
      </c>
      <c r="AB8" s="37" t="s">
        <v>159</v>
      </c>
      <c r="AC8" s="37" t="s">
        <v>159</v>
      </c>
      <c r="AD8" s="37" t="s">
        <v>159</v>
      </c>
      <c r="AE8" s="37" t="s">
        <v>159</v>
      </c>
      <c r="AF8" s="37" t="s">
        <v>159</v>
      </c>
      <c r="AG8" s="46">
        <v>0</v>
      </c>
      <c r="AH8" s="46">
        <v>-180</v>
      </c>
      <c r="AI8" s="46">
        <v>-180</v>
      </c>
      <c r="AJ8" s="46">
        <v>1</v>
      </c>
      <c r="AK8" s="46">
        <v>1020002303</v>
      </c>
      <c r="AL8" s="46">
        <v>1020002303</v>
      </c>
      <c r="AM8" s="46">
        <v>65534</v>
      </c>
      <c r="AN8" s="46">
        <v>6</v>
      </c>
      <c r="AO8" s="69" t="s">
        <v>923</v>
      </c>
      <c r="AP8" s="69" t="s">
        <v>925</v>
      </c>
      <c r="AQ8" s="69" t="s">
        <v>925</v>
      </c>
      <c r="AR8" s="46">
        <v>1</v>
      </c>
      <c r="AS8" s="46">
        <v>1</v>
      </c>
      <c r="AT8" s="46">
        <v>1</v>
      </c>
      <c r="AU8" s="46">
        <v>1</v>
      </c>
      <c r="AV8" s="46">
        <v>1</v>
      </c>
      <c r="AW8" s="50" t="s">
        <v>159</v>
      </c>
      <c r="AX8" s="37"/>
      <c r="AY8" s="38"/>
    </row>
    <row r="9" spans="1:51" ht="15" customHeight="1" x14ac:dyDescent="0.25">
      <c r="A9" s="36">
        <v>6</v>
      </c>
      <c r="B9" s="69" t="s">
        <v>461</v>
      </c>
      <c r="C9" s="63">
        <v>12.5</v>
      </c>
      <c r="D9" s="63">
        <v>44</v>
      </c>
      <c r="E9" s="63">
        <v>0</v>
      </c>
      <c r="F9" s="63">
        <v>0</v>
      </c>
      <c r="G9" s="63">
        <v>24</v>
      </c>
      <c r="H9" s="63">
        <v>12.4</v>
      </c>
      <c r="I9" s="63">
        <v>2146</v>
      </c>
      <c r="J9" s="63">
        <v>1999</v>
      </c>
      <c r="K9" s="63">
        <v>4672</v>
      </c>
      <c r="L9" s="63">
        <v>725</v>
      </c>
      <c r="M9" s="63">
        <v>455</v>
      </c>
      <c r="N9" s="63">
        <v>142</v>
      </c>
      <c r="O9" s="63">
        <v>2</v>
      </c>
      <c r="P9" s="63">
        <v>511</v>
      </c>
      <c r="Q9" s="37" t="s">
        <v>159</v>
      </c>
      <c r="R9" s="37" t="s">
        <v>159</v>
      </c>
      <c r="S9" s="37" t="s">
        <v>159</v>
      </c>
      <c r="T9" s="37" t="s">
        <v>159</v>
      </c>
      <c r="U9" s="37" t="s">
        <v>159</v>
      </c>
      <c r="V9" s="37" t="s">
        <v>159</v>
      </c>
      <c r="W9" s="37" t="s">
        <v>159</v>
      </c>
      <c r="X9" s="37" t="s">
        <v>159</v>
      </c>
      <c r="Y9" s="37" t="s">
        <v>159</v>
      </c>
      <c r="Z9" s="37" t="s">
        <v>159</v>
      </c>
      <c r="AA9" s="37" t="s">
        <v>159</v>
      </c>
      <c r="AB9" s="37" t="s">
        <v>159</v>
      </c>
      <c r="AC9" s="37" t="s">
        <v>159</v>
      </c>
      <c r="AD9" s="37" t="s">
        <v>159</v>
      </c>
      <c r="AE9" s="37" t="s">
        <v>159</v>
      </c>
      <c r="AF9" s="37" t="s">
        <v>159</v>
      </c>
      <c r="AG9" s="46">
        <v>34</v>
      </c>
      <c r="AH9" s="46">
        <v>24</v>
      </c>
      <c r="AI9" s="46">
        <v>12.4</v>
      </c>
      <c r="AJ9" s="46">
        <v>2146</v>
      </c>
      <c r="AK9" s="46">
        <v>1999</v>
      </c>
      <c r="AL9" s="46">
        <v>4672</v>
      </c>
      <c r="AM9" s="46">
        <v>725</v>
      </c>
      <c r="AN9" s="46">
        <v>2</v>
      </c>
      <c r="AO9" s="69" t="s">
        <v>923</v>
      </c>
      <c r="AP9" s="69" t="s">
        <v>924</v>
      </c>
      <c r="AQ9" s="69" t="s">
        <v>925</v>
      </c>
      <c r="AR9" s="46">
        <v>1</v>
      </c>
      <c r="AS9" s="46">
        <v>1</v>
      </c>
      <c r="AT9" s="46">
        <v>0</v>
      </c>
      <c r="AU9" s="46">
        <v>1</v>
      </c>
      <c r="AV9" s="46">
        <v>1</v>
      </c>
      <c r="AW9" s="50" t="s">
        <v>159</v>
      </c>
      <c r="AX9" s="37"/>
      <c r="AY9" s="38"/>
    </row>
    <row r="10" spans="1:51" ht="15" customHeight="1" x14ac:dyDescent="0.25">
      <c r="A10" s="36">
        <v>7</v>
      </c>
      <c r="B10" s="69" t="s">
        <v>460</v>
      </c>
      <c r="C10" s="56">
        <v>0</v>
      </c>
      <c r="D10" s="56">
        <v>0</v>
      </c>
      <c r="E10" s="56">
        <v>0</v>
      </c>
      <c r="F10" s="56">
        <v>0</v>
      </c>
      <c r="G10" s="56">
        <v>0</v>
      </c>
      <c r="H10" s="56">
        <v>0</v>
      </c>
      <c r="I10" s="56">
        <v>0</v>
      </c>
      <c r="J10" s="56">
        <v>0</v>
      </c>
      <c r="K10" s="56">
        <v>0</v>
      </c>
      <c r="L10" s="56">
        <v>0</v>
      </c>
      <c r="M10" s="56">
        <v>0</v>
      </c>
      <c r="N10" s="56">
        <v>0</v>
      </c>
      <c r="O10" s="56">
        <v>0</v>
      </c>
      <c r="P10" s="56">
        <v>0</v>
      </c>
      <c r="Q10" s="37" t="s">
        <v>159</v>
      </c>
      <c r="R10" s="37" t="s">
        <v>159</v>
      </c>
      <c r="S10" s="37" t="s">
        <v>159</v>
      </c>
      <c r="T10" s="37" t="s">
        <v>159</v>
      </c>
      <c r="U10" s="37" t="s">
        <v>159</v>
      </c>
      <c r="V10" s="37" t="s">
        <v>159</v>
      </c>
      <c r="W10" s="37" t="s">
        <v>159</v>
      </c>
      <c r="X10" s="37" t="s">
        <v>159</v>
      </c>
      <c r="Y10" s="37" t="s">
        <v>159</v>
      </c>
      <c r="Z10" s="37" t="s">
        <v>159</v>
      </c>
      <c r="AA10" s="37" t="s">
        <v>159</v>
      </c>
      <c r="AB10" s="37" t="s">
        <v>159</v>
      </c>
      <c r="AC10" s="37" t="s">
        <v>159</v>
      </c>
      <c r="AD10" s="37" t="s">
        <v>159</v>
      </c>
      <c r="AE10" s="37" t="s">
        <v>159</v>
      </c>
      <c r="AF10" s="37" t="s">
        <v>159</v>
      </c>
      <c r="AG10" s="46">
        <v>0</v>
      </c>
      <c r="AH10" s="46">
        <v>-180</v>
      </c>
      <c r="AI10" s="46">
        <v>-180</v>
      </c>
      <c r="AJ10" s="46">
        <v>1</v>
      </c>
      <c r="AK10" s="46">
        <v>1020002303</v>
      </c>
      <c r="AL10" s="46">
        <v>1020002303</v>
      </c>
      <c r="AM10" s="46">
        <v>65534</v>
      </c>
      <c r="AN10" s="46">
        <v>6</v>
      </c>
      <c r="AO10" s="69" t="s">
        <v>923</v>
      </c>
      <c r="AP10" s="69" t="s">
        <v>925</v>
      </c>
      <c r="AQ10" s="69" t="s">
        <v>925</v>
      </c>
      <c r="AR10" s="46">
        <v>1</v>
      </c>
      <c r="AS10" s="46">
        <v>1</v>
      </c>
      <c r="AT10" s="46">
        <v>1</v>
      </c>
      <c r="AU10" s="46">
        <v>1</v>
      </c>
      <c r="AV10" s="46">
        <v>1</v>
      </c>
      <c r="AW10" s="50" t="s">
        <v>159</v>
      </c>
      <c r="AX10" s="37"/>
      <c r="AY10" s="38"/>
    </row>
    <row r="11" spans="1:51" ht="15" customHeight="1" thickBot="1" x14ac:dyDescent="0.3">
      <c r="A11" s="39">
        <v>8</v>
      </c>
      <c r="B11" s="68" t="s">
        <v>459</v>
      </c>
      <c r="C11" s="67">
        <v>24.8</v>
      </c>
      <c r="D11" s="67">
        <v>360</v>
      </c>
      <c r="E11" s="67">
        <v>0</v>
      </c>
      <c r="F11" s="67">
        <v>0</v>
      </c>
      <c r="G11" s="67">
        <v>48</v>
      </c>
      <c r="H11" s="67">
        <v>20</v>
      </c>
      <c r="I11" s="67">
        <v>1</v>
      </c>
      <c r="J11" s="67">
        <v>3997</v>
      </c>
      <c r="K11" s="67">
        <v>6888</v>
      </c>
      <c r="L11" s="67">
        <v>925</v>
      </c>
      <c r="M11" s="67">
        <v>751.2</v>
      </c>
      <c r="N11" s="67">
        <v>2</v>
      </c>
      <c r="O11" s="67">
        <v>4</v>
      </c>
      <c r="P11" s="67">
        <v>356</v>
      </c>
      <c r="Q11" s="40" t="s">
        <v>159</v>
      </c>
      <c r="R11" s="40" t="s">
        <v>159</v>
      </c>
      <c r="S11" s="40" t="s">
        <v>159</v>
      </c>
      <c r="T11" s="40" t="s">
        <v>159</v>
      </c>
      <c r="U11" s="40" t="s">
        <v>159</v>
      </c>
      <c r="V11" s="40" t="s">
        <v>159</v>
      </c>
      <c r="W11" s="40" t="s">
        <v>159</v>
      </c>
      <c r="X11" s="40" t="s">
        <v>159</v>
      </c>
      <c r="Y11" s="40" t="s">
        <v>159</v>
      </c>
      <c r="Z11" s="40" t="s">
        <v>159</v>
      </c>
      <c r="AA11" s="40" t="s">
        <v>159</v>
      </c>
      <c r="AB11" s="40" t="s">
        <v>159</v>
      </c>
      <c r="AC11" s="40" t="s">
        <v>159</v>
      </c>
      <c r="AD11" s="40" t="s">
        <v>159</v>
      </c>
      <c r="AE11" s="40" t="s">
        <v>159</v>
      </c>
      <c r="AF11" s="40" t="s">
        <v>159</v>
      </c>
      <c r="AG11" s="47">
        <v>34</v>
      </c>
      <c r="AH11" s="47">
        <v>48</v>
      </c>
      <c r="AI11" s="47">
        <v>20</v>
      </c>
      <c r="AJ11" s="47">
        <v>1</v>
      </c>
      <c r="AK11" s="47">
        <v>3997</v>
      </c>
      <c r="AL11" s="47">
        <v>6888</v>
      </c>
      <c r="AM11" s="47">
        <v>925</v>
      </c>
      <c r="AN11" s="47">
        <v>6</v>
      </c>
      <c r="AO11" s="68" t="s">
        <v>923</v>
      </c>
      <c r="AP11" s="68" t="s">
        <v>925</v>
      </c>
      <c r="AQ11" s="68" t="s">
        <v>925</v>
      </c>
      <c r="AR11" s="47">
        <v>1</v>
      </c>
      <c r="AS11" s="47">
        <v>1</v>
      </c>
      <c r="AT11" s="47">
        <v>0</v>
      </c>
      <c r="AU11" s="47">
        <v>1</v>
      </c>
      <c r="AV11" s="47">
        <v>1</v>
      </c>
      <c r="AW11" s="51" t="s">
        <v>159</v>
      </c>
      <c r="AX11" s="40"/>
      <c r="AY11" s="41"/>
    </row>
    <row r="12" spans="1:5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</row>
    <row r="13" spans="1:5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</row>
    <row r="14" spans="1:5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</row>
    <row r="15" spans="1:5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</row>
    <row r="16" spans="1:5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</row>
    <row r="17" spans="1:5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</row>
    <row r="18" spans="1:5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</row>
    <row r="19" spans="1:5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</row>
    <row r="20" spans="1:5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</row>
    <row r="21" spans="1:5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</row>
  </sheetData>
  <sheetProtection sheet="1" objects="1" scenarios="1"/>
  <mergeCells count="2">
    <mergeCell ref="A1:B1"/>
    <mergeCell ref="A2:B2"/>
  </mergeCells>
  <hyperlinks>
    <hyperlink ref="A1" location="'DigColPs_SCom_CustSetTrim'!A1" display="'DigColPs_SCom_CustSetTrim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1"/>
      <c r="D15" s="272" t="s">
        <v>42</v>
      </c>
      <c r="E15" s="273"/>
      <c r="F15" s="121" t="s">
        <v>43</v>
      </c>
    </row>
    <row r="16" spans="1:6" x14ac:dyDescent="0.25">
      <c r="A16" s="123" t="s">
        <v>44</v>
      </c>
      <c r="B16" s="124" t="s">
        <v>45</v>
      </c>
      <c r="C16" s="125" t="s">
        <v>46</v>
      </c>
      <c r="D16" s="127" t="s">
        <v>47</v>
      </c>
      <c r="E16" s="126" t="s">
        <v>48</v>
      </c>
      <c r="F16" s="14" t="s">
        <v>44</v>
      </c>
    </row>
    <row r="17" spans="1:6" x14ac:dyDescent="0.25">
      <c r="A17" s="52" t="s">
        <v>62</v>
      </c>
      <c r="B17" s="15" t="s">
        <v>193</v>
      </c>
      <c r="C17" s="16">
        <v>4</v>
      </c>
      <c r="D17" s="17" t="s">
        <v>502</v>
      </c>
      <c r="E17" s="18" t="s">
        <v>126</v>
      </c>
      <c r="F17" s="19"/>
    </row>
    <row r="18" spans="1:6" x14ac:dyDescent="0.25">
      <c r="A18" s="52" t="s">
        <v>62</v>
      </c>
      <c r="B18" s="15" t="s">
        <v>718</v>
      </c>
      <c r="C18" s="16">
        <v>9</v>
      </c>
      <c r="D18" s="17"/>
      <c r="E18" s="18" t="s">
        <v>128</v>
      </c>
      <c r="F18" s="19"/>
    </row>
    <row r="19" spans="1:6" x14ac:dyDescent="0.25">
      <c r="A19" s="52" t="s">
        <v>62</v>
      </c>
      <c r="B19" s="15" t="s">
        <v>99</v>
      </c>
      <c r="C19" s="16">
        <v>2</v>
      </c>
      <c r="D19" s="17"/>
      <c r="E19" s="18" t="s">
        <v>137</v>
      </c>
      <c r="F19" s="19"/>
    </row>
    <row r="20" spans="1:6" x14ac:dyDescent="0.25">
      <c r="A20" s="76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86"/>
      <c r="B318" s="86"/>
      <c r="C318" s="88"/>
      <c r="D318" s="91"/>
      <c r="E318" s="92"/>
      <c r="F318" s="94"/>
    </row>
    <row r="319" spans="1:6" x14ac:dyDescent="0.25">
      <c r="A319" s="86"/>
      <c r="B319" s="86"/>
      <c r="C319" s="88"/>
      <c r="D319" s="91"/>
      <c r="E319" s="92"/>
      <c r="F319" s="94"/>
    </row>
    <row r="320" spans="1:6" x14ac:dyDescent="0.25">
      <c r="A320" s="86"/>
      <c r="B320" s="86"/>
      <c r="C320" s="88"/>
      <c r="D320" s="91"/>
      <c r="E320" s="92"/>
      <c r="F320" s="94"/>
    </row>
    <row r="321" spans="1:6" x14ac:dyDescent="0.25">
      <c r="A321" s="86"/>
      <c r="B321" s="86"/>
      <c r="C321" s="88"/>
      <c r="D321" s="91"/>
      <c r="E321" s="92"/>
      <c r="F321" s="94"/>
    </row>
    <row r="322" spans="1:6" x14ac:dyDescent="0.25">
      <c r="A322" s="86"/>
      <c r="B322" s="86"/>
      <c r="C322" s="88"/>
      <c r="D322" s="91"/>
      <c r="E322" s="92"/>
      <c r="F322" s="94"/>
    </row>
    <row r="323" spans="1:6" x14ac:dyDescent="0.25">
      <c r="A323" s="86"/>
      <c r="B323" s="86"/>
      <c r="C323" s="88"/>
      <c r="D323" s="91"/>
      <c r="E323" s="92"/>
      <c r="F323" s="94"/>
    </row>
    <row r="324" spans="1:6" x14ac:dyDescent="0.25">
      <c r="A324" s="86"/>
      <c r="B324" s="86"/>
      <c r="C324" s="88"/>
      <c r="D324" s="91"/>
      <c r="E324" s="92"/>
      <c r="F324" s="94"/>
    </row>
    <row r="325" spans="1:6" x14ac:dyDescent="0.25">
      <c r="A325" s="86"/>
      <c r="B325" s="86"/>
      <c r="C325" s="88"/>
      <c r="D325" s="91"/>
      <c r="E325" s="92"/>
      <c r="F325" s="94"/>
    </row>
    <row r="326" spans="1:6" x14ac:dyDescent="0.25">
      <c r="A326" s="86"/>
      <c r="B326" s="86"/>
      <c r="C326" s="88"/>
      <c r="D326" s="91"/>
      <c r="E326" s="92"/>
      <c r="F326" s="94"/>
    </row>
    <row r="327" spans="1:6" x14ac:dyDescent="0.25">
      <c r="A327" s="86"/>
      <c r="B327" s="86"/>
      <c r="C327" s="88"/>
      <c r="D327" s="91"/>
      <c r="E327" s="92"/>
      <c r="F327" s="94"/>
    </row>
    <row r="328" spans="1:6" x14ac:dyDescent="0.25">
      <c r="A328" s="86"/>
      <c r="B328" s="86"/>
      <c r="C328" s="88"/>
      <c r="D328" s="91"/>
      <c r="E328" s="92"/>
      <c r="F328" s="94"/>
    </row>
    <row r="329" spans="1:6" x14ac:dyDescent="0.25">
      <c r="A329" s="86"/>
      <c r="B329" s="86"/>
      <c r="C329" s="88"/>
      <c r="D329" s="91"/>
      <c r="E329" s="92"/>
      <c r="F329" s="94"/>
    </row>
    <row r="330" spans="1:6" x14ac:dyDescent="0.25">
      <c r="A330" s="86"/>
      <c r="B330" s="86"/>
      <c r="C330" s="88"/>
      <c r="D330" s="91"/>
      <c r="E330" s="92"/>
      <c r="F330" s="94"/>
    </row>
    <row r="331" spans="1:6" x14ac:dyDescent="0.25">
      <c r="A331" s="86"/>
      <c r="B331" s="86"/>
      <c r="C331" s="88"/>
      <c r="D331" s="91"/>
      <c r="E331" s="92"/>
      <c r="F331" s="94"/>
    </row>
    <row r="332" spans="1:6" x14ac:dyDescent="0.25">
      <c r="A332" s="86"/>
      <c r="B332" s="86"/>
      <c r="C332" s="88"/>
      <c r="D332" s="91"/>
      <c r="E332" s="92"/>
      <c r="F332" s="94"/>
    </row>
    <row r="333" spans="1:6" x14ac:dyDescent="0.25">
      <c r="A333" s="86"/>
      <c r="B333" s="86"/>
      <c r="C333" s="88"/>
      <c r="D333" s="91"/>
      <c r="E333" s="92"/>
      <c r="F333" s="94"/>
    </row>
    <row r="334" spans="1:6" x14ac:dyDescent="0.25">
      <c r="A334" s="86"/>
      <c r="B334" s="86"/>
      <c r="C334" s="88"/>
      <c r="D334" s="91"/>
      <c r="E334" s="92"/>
      <c r="F334" s="94"/>
    </row>
    <row r="335" spans="1:6" x14ac:dyDescent="0.25">
      <c r="A335" s="86"/>
      <c r="B335" s="86"/>
      <c r="C335" s="88"/>
      <c r="D335" s="91"/>
      <c r="E335" s="92"/>
      <c r="F335" s="94"/>
    </row>
    <row r="336" spans="1:6" x14ac:dyDescent="0.25">
      <c r="A336" s="86"/>
      <c r="B336" s="86"/>
      <c r="C336" s="88"/>
      <c r="D336" s="91"/>
      <c r="E336" s="92"/>
      <c r="F336" s="94"/>
    </row>
    <row r="337" spans="1:6" x14ac:dyDescent="0.25">
      <c r="A337" s="86"/>
      <c r="B337" s="86"/>
      <c r="C337" s="88"/>
      <c r="D337" s="91"/>
      <c r="E337" s="92"/>
      <c r="F337" s="94"/>
    </row>
    <row r="338" spans="1:6" x14ac:dyDescent="0.25">
      <c r="A338" s="86"/>
      <c r="B338" s="86"/>
      <c r="C338" s="88"/>
      <c r="D338" s="91"/>
      <c r="E338" s="92"/>
      <c r="F338" s="94"/>
    </row>
    <row r="339" spans="1:6" x14ac:dyDescent="0.25">
      <c r="A339" s="86"/>
      <c r="B339" s="86"/>
      <c r="C339" s="88"/>
      <c r="D339" s="91"/>
      <c r="E339" s="92"/>
      <c r="F339" s="94"/>
    </row>
    <row r="340" spans="1:6" x14ac:dyDescent="0.25">
      <c r="A340" s="86"/>
      <c r="B340" s="86"/>
      <c r="C340" s="88"/>
      <c r="D340" s="91"/>
      <c r="E340" s="92"/>
      <c r="F340" s="94"/>
    </row>
    <row r="341" spans="1:6" x14ac:dyDescent="0.25">
      <c r="A341" s="86"/>
      <c r="B341" s="86"/>
      <c r="C341" s="88"/>
      <c r="D341" s="91"/>
      <c r="E341" s="92"/>
      <c r="F341" s="94"/>
    </row>
    <row r="342" spans="1:6" x14ac:dyDescent="0.25">
      <c r="A342" s="86"/>
      <c r="B342" s="86"/>
      <c r="C342" s="88"/>
      <c r="D342" s="91"/>
      <c r="E342" s="92"/>
      <c r="F342" s="94"/>
    </row>
    <row r="343" spans="1:6" x14ac:dyDescent="0.25">
      <c r="A343" s="86"/>
      <c r="B343" s="86"/>
      <c r="C343" s="88"/>
      <c r="D343" s="91"/>
      <c r="E343" s="92"/>
      <c r="F343" s="94"/>
    </row>
    <row r="344" spans="1:6" x14ac:dyDescent="0.25">
      <c r="A344" s="86"/>
      <c r="B344" s="86"/>
      <c r="C344" s="88"/>
      <c r="D344" s="91"/>
      <c r="E344" s="92"/>
      <c r="F344" s="94"/>
    </row>
    <row r="345" spans="1:6" x14ac:dyDescent="0.25">
      <c r="A345" s="86"/>
      <c r="B345" s="86"/>
      <c r="C345" s="88"/>
      <c r="D345" s="91"/>
      <c r="E345" s="92"/>
      <c r="F345" s="94"/>
    </row>
    <row r="346" spans="1:6" x14ac:dyDescent="0.25">
      <c r="A346" s="86"/>
      <c r="B346" s="86"/>
      <c r="C346" s="88"/>
      <c r="D346" s="91"/>
      <c r="E346" s="92"/>
      <c r="F346" s="94"/>
    </row>
    <row r="347" spans="1:6" x14ac:dyDescent="0.25">
      <c r="A347" s="86"/>
      <c r="B347" s="86"/>
      <c r="C347" s="88"/>
      <c r="D347" s="91"/>
      <c r="E347" s="92"/>
      <c r="F347" s="94"/>
    </row>
    <row r="348" spans="1:6" x14ac:dyDescent="0.25">
      <c r="A348" s="86"/>
      <c r="B348" s="86"/>
      <c r="C348" s="88"/>
      <c r="D348" s="91"/>
      <c r="E348" s="92"/>
      <c r="F348" s="94"/>
    </row>
    <row r="349" spans="1:6" x14ac:dyDescent="0.25">
      <c r="A349" s="86"/>
      <c r="B349" s="86"/>
      <c r="C349" s="88"/>
      <c r="D349" s="91"/>
      <c r="E349" s="92"/>
      <c r="F349" s="94"/>
    </row>
    <row r="350" spans="1:6" x14ac:dyDescent="0.25">
      <c r="A350" s="86"/>
      <c r="B350" s="86"/>
      <c r="C350" s="88"/>
      <c r="D350" s="91"/>
      <c r="E350" s="92"/>
      <c r="F350" s="94"/>
    </row>
    <row r="351" spans="1:6" x14ac:dyDescent="0.25">
      <c r="A351" s="86"/>
      <c r="B351" s="86"/>
      <c r="C351" s="88"/>
      <c r="D351" s="91"/>
      <c r="E351" s="92"/>
      <c r="F351" s="94"/>
    </row>
    <row r="352" spans="1:6" x14ac:dyDescent="0.25">
      <c r="A352" s="86"/>
      <c r="B352" s="86"/>
      <c r="C352" s="88"/>
      <c r="D352" s="91"/>
      <c r="E352" s="92"/>
      <c r="F352" s="94"/>
    </row>
    <row r="353" spans="1:6" x14ac:dyDescent="0.25">
      <c r="A353" s="86"/>
      <c r="B353" s="86"/>
      <c r="C353" s="88"/>
      <c r="D353" s="91"/>
      <c r="E353" s="92"/>
      <c r="F353" s="94"/>
    </row>
    <row r="354" spans="1:6" x14ac:dyDescent="0.25">
      <c r="A354" s="86"/>
      <c r="B354" s="86"/>
      <c r="C354" s="88"/>
      <c r="D354" s="91"/>
      <c r="E354" s="92"/>
      <c r="F354" s="94"/>
    </row>
    <row r="355" spans="1:6" x14ac:dyDescent="0.25">
      <c r="A355" s="86"/>
      <c r="B355" s="86"/>
      <c r="C355" s="88"/>
      <c r="D355" s="91"/>
      <c r="E355" s="92"/>
      <c r="F355" s="94"/>
    </row>
    <row r="356" spans="1:6" x14ac:dyDescent="0.25">
      <c r="A356" s="86"/>
      <c r="B356" s="86"/>
      <c r="C356" s="88"/>
      <c r="D356" s="91"/>
      <c r="E356" s="92"/>
      <c r="F356" s="94"/>
    </row>
    <row r="357" spans="1:6" x14ac:dyDescent="0.25">
      <c r="A357" s="86"/>
      <c r="B357" s="86"/>
      <c r="C357" s="88"/>
      <c r="D357" s="91"/>
      <c r="E357" s="92"/>
      <c r="F357" s="94"/>
    </row>
    <row r="358" spans="1:6" x14ac:dyDescent="0.25">
      <c r="A358" s="86"/>
      <c r="B358" s="86"/>
      <c r="C358" s="88"/>
      <c r="D358" s="91"/>
      <c r="E358" s="92"/>
      <c r="F358" s="94"/>
    </row>
    <row r="359" spans="1:6" x14ac:dyDescent="0.25">
      <c r="A359" s="86"/>
      <c r="B359" s="86"/>
      <c r="C359" s="88"/>
      <c r="D359" s="91"/>
      <c r="E359" s="92"/>
      <c r="F359" s="94"/>
    </row>
    <row r="360" spans="1:6" x14ac:dyDescent="0.25">
      <c r="A360" s="86"/>
      <c r="B360" s="86"/>
      <c r="C360" s="88"/>
      <c r="D360" s="91"/>
      <c r="E360" s="92"/>
      <c r="F360" s="94"/>
    </row>
    <row r="361" spans="1:6" x14ac:dyDescent="0.25">
      <c r="A361" s="86"/>
      <c r="B361" s="86"/>
      <c r="C361" s="88"/>
      <c r="D361" s="91"/>
      <c r="E361" s="92"/>
      <c r="F361" s="94"/>
    </row>
    <row r="362" spans="1:6" x14ac:dyDescent="0.25">
      <c r="A362" s="86"/>
      <c r="B362" s="86"/>
      <c r="C362" s="88"/>
      <c r="D362" s="91"/>
      <c r="E362" s="92"/>
      <c r="F362" s="94"/>
    </row>
    <row r="363" spans="1:6" x14ac:dyDescent="0.25">
      <c r="A363" s="86"/>
      <c r="B363" s="86"/>
      <c r="C363" s="88"/>
      <c r="D363" s="91"/>
      <c r="E363" s="92"/>
      <c r="F363" s="94"/>
    </row>
    <row r="364" spans="1:6" x14ac:dyDescent="0.25">
      <c r="A364" s="86"/>
      <c r="B364" s="86"/>
      <c r="C364" s="88"/>
      <c r="D364" s="91"/>
      <c r="E364" s="92"/>
      <c r="F364" s="94"/>
    </row>
    <row r="365" spans="1:6" x14ac:dyDescent="0.25">
      <c r="A365" s="86"/>
      <c r="B365" s="86"/>
      <c r="C365" s="88"/>
      <c r="D365" s="91"/>
      <c r="E365" s="92"/>
      <c r="F365" s="94"/>
    </row>
    <row r="366" spans="1:6" x14ac:dyDescent="0.25">
      <c r="A366" s="86"/>
      <c r="B366" s="86"/>
      <c r="C366" s="88"/>
      <c r="D366" s="91"/>
      <c r="E366" s="92"/>
      <c r="F366" s="94"/>
    </row>
    <row r="367" spans="1:6" x14ac:dyDescent="0.25">
      <c r="A367" s="86"/>
      <c r="B367" s="86"/>
      <c r="C367" s="88"/>
      <c r="D367" s="91"/>
      <c r="E367" s="92"/>
      <c r="F367" s="94"/>
    </row>
    <row r="368" spans="1:6" x14ac:dyDescent="0.25">
      <c r="A368" s="86"/>
      <c r="B368" s="86"/>
      <c r="C368" s="88"/>
      <c r="D368" s="91"/>
      <c r="E368" s="92"/>
      <c r="F368" s="94"/>
    </row>
    <row r="369" spans="1:6" x14ac:dyDescent="0.25">
      <c r="A369" s="86"/>
      <c r="B369" s="86"/>
      <c r="C369" s="88"/>
      <c r="D369" s="91"/>
      <c r="E369" s="92"/>
      <c r="F369" s="94"/>
    </row>
    <row r="370" spans="1:6" x14ac:dyDescent="0.25">
      <c r="A370" s="86"/>
      <c r="B370" s="86"/>
      <c r="C370" s="88"/>
      <c r="D370" s="91"/>
      <c r="E370" s="92"/>
      <c r="F370" s="94"/>
    </row>
    <row r="371" spans="1:6" x14ac:dyDescent="0.25">
      <c r="A371" s="86"/>
      <c r="B371" s="86"/>
      <c r="C371" s="88"/>
      <c r="D371" s="91"/>
      <c r="E371" s="92"/>
      <c r="F371" s="94"/>
    </row>
    <row r="372" spans="1:6" x14ac:dyDescent="0.25">
      <c r="A372" s="86"/>
      <c r="B372" s="86"/>
      <c r="C372" s="88"/>
      <c r="D372" s="91"/>
      <c r="E372" s="92"/>
      <c r="F372" s="94"/>
    </row>
    <row r="373" spans="1:6" x14ac:dyDescent="0.25">
      <c r="A373" s="86"/>
      <c r="B373" s="86"/>
      <c r="C373" s="88"/>
      <c r="D373" s="91"/>
      <c r="E373" s="92"/>
      <c r="F373" s="94"/>
    </row>
    <row r="374" spans="1:6" x14ac:dyDescent="0.25">
      <c r="A374" s="86"/>
      <c r="B374" s="86"/>
      <c r="C374" s="88"/>
      <c r="D374" s="91"/>
      <c r="E374" s="92"/>
      <c r="F374" s="94"/>
    </row>
    <row r="375" spans="1:6" x14ac:dyDescent="0.25">
      <c r="A375" s="86"/>
      <c r="B375" s="86"/>
      <c r="C375" s="88"/>
      <c r="D375" s="91"/>
      <c r="E375" s="92"/>
      <c r="F375" s="94"/>
    </row>
    <row r="376" spans="1:6" x14ac:dyDescent="0.25">
      <c r="A376" s="86"/>
      <c r="B376" s="86"/>
      <c r="C376" s="88"/>
      <c r="D376" s="91"/>
      <c r="E376" s="92"/>
      <c r="F376" s="94"/>
    </row>
    <row r="377" spans="1:6" x14ac:dyDescent="0.25">
      <c r="A377" s="86"/>
      <c r="B377" s="86"/>
      <c r="C377" s="88"/>
      <c r="D377" s="91"/>
      <c r="E377" s="92"/>
      <c r="F377" s="94"/>
    </row>
    <row r="378" spans="1:6" x14ac:dyDescent="0.25">
      <c r="A378" s="86"/>
      <c r="B378" s="86"/>
      <c r="C378" s="88"/>
      <c r="D378" s="91"/>
      <c r="E378" s="92"/>
      <c r="F378" s="94"/>
    </row>
    <row r="379" spans="1:6" x14ac:dyDescent="0.25">
      <c r="A379" s="86"/>
      <c r="B379" s="86"/>
      <c r="C379" s="88"/>
      <c r="D379" s="91"/>
      <c r="E379" s="92"/>
      <c r="F379" s="94"/>
    </row>
    <row r="380" spans="1:6" x14ac:dyDescent="0.25">
      <c r="A380" s="86"/>
      <c r="B380" s="86"/>
      <c r="C380" s="88"/>
      <c r="D380" s="91"/>
      <c r="E380" s="92"/>
      <c r="F380" s="94"/>
    </row>
    <row r="381" spans="1:6" x14ac:dyDescent="0.25">
      <c r="A381" s="86"/>
      <c r="B381" s="86"/>
      <c r="C381" s="88"/>
      <c r="D381" s="91"/>
      <c r="E381" s="92"/>
      <c r="F381" s="94"/>
    </row>
    <row r="382" spans="1:6" x14ac:dyDescent="0.25">
      <c r="A382" s="86"/>
      <c r="B382" s="86"/>
      <c r="C382" s="88"/>
      <c r="D382" s="91"/>
      <c r="E382" s="92"/>
      <c r="F382" s="94"/>
    </row>
    <row r="383" spans="1:6" x14ac:dyDescent="0.25">
      <c r="A383" s="86"/>
      <c r="B383" s="86"/>
      <c r="C383" s="88"/>
      <c r="D383" s="91"/>
      <c r="E383" s="92"/>
      <c r="F383" s="94"/>
    </row>
    <row r="384" spans="1:6" x14ac:dyDescent="0.25">
      <c r="A384" s="86"/>
      <c r="B384" s="86"/>
      <c r="C384" s="88"/>
      <c r="D384" s="91"/>
      <c r="E384" s="92"/>
      <c r="F384" s="94"/>
    </row>
    <row r="385" spans="1:6" x14ac:dyDescent="0.25">
      <c r="A385" s="86"/>
      <c r="B385" s="86"/>
      <c r="C385" s="88"/>
      <c r="D385" s="91"/>
      <c r="E385" s="92"/>
      <c r="F385" s="94"/>
    </row>
    <row r="386" spans="1:6" x14ac:dyDescent="0.25">
      <c r="A386" s="86"/>
      <c r="B386" s="86"/>
      <c r="C386" s="88"/>
      <c r="D386" s="91"/>
      <c r="E386" s="92"/>
      <c r="F386" s="94"/>
    </row>
    <row r="387" spans="1:6" x14ac:dyDescent="0.25">
      <c r="A387" s="86"/>
      <c r="B387" s="86"/>
      <c r="C387" s="88"/>
      <c r="D387" s="91"/>
      <c r="E387" s="92"/>
      <c r="F387" s="94"/>
    </row>
    <row r="388" spans="1:6" x14ac:dyDescent="0.25">
      <c r="A388" s="86"/>
      <c r="B388" s="86"/>
      <c r="C388" s="88"/>
      <c r="D388" s="91"/>
      <c r="E388" s="92"/>
      <c r="F388" s="94"/>
    </row>
    <row r="389" spans="1:6" x14ac:dyDescent="0.25">
      <c r="A389" s="86"/>
      <c r="B389" s="86"/>
      <c r="C389" s="88"/>
      <c r="D389" s="91"/>
      <c r="E389" s="92"/>
      <c r="F389" s="94"/>
    </row>
    <row r="390" spans="1:6" x14ac:dyDescent="0.25">
      <c r="A390" s="86"/>
      <c r="B390" s="86"/>
      <c r="C390" s="88"/>
      <c r="D390" s="91"/>
      <c r="E390" s="92"/>
      <c r="F390" s="94"/>
    </row>
    <row r="391" spans="1:6" x14ac:dyDescent="0.25">
      <c r="A391" s="86"/>
      <c r="B391" s="86"/>
      <c r="C391" s="88"/>
      <c r="D391" s="91"/>
      <c r="E391" s="92"/>
      <c r="F391" s="94"/>
    </row>
    <row r="392" spans="1:6" x14ac:dyDescent="0.25">
      <c r="A392" s="86"/>
      <c r="B392" s="86"/>
      <c r="C392" s="88"/>
      <c r="D392" s="91"/>
      <c r="E392" s="92"/>
      <c r="F392" s="94"/>
    </row>
    <row r="393" spans="1:6" x14ac:dyDescent="0.25">
      <c r="A393" s="86"/>
      <c r="B393" s="86"/>
      <c r="C393" s="88"/>
      <c r="D393" s="91"/>
      <c r="E393" s="92"/>
      <c r="F393" s="94"/>
    </row>
    <row r="394" spans="1:6" x14ac:dyDescent="0.25">
      <c r="A394" s="86"/>
      <c r="B394" s="86"/>
      <c r="C394" s="88"/>
      <c r="D394" s="91"/>
      <c r="E394" s="92"/>
      <c r="F394" s="94"/>
    </row>
    <row r="395" spans="1:6" x14ac:dyDescent="0.25">
      <c r="A395" s="86"/>
      <c r="B395" s="86"/>
      <c r="C395" s="88"/>
      <c r="D395" s="91"/>
      <c r="E395" s="92"/>
      <c r="F395" s="94"/>
    </row>
    <row r="396" spans="1:6" x14ac:dyDescent="0.25">
      <c r="A396" s="86"/>
      <c r="B396" s="86"/>
      <c r="C396" s="88"/>
      <c r="D396" s="91"/>
      <c r="E396" s="92"/>
      <c r="F396" s="94"/>
    </row>
    <row r="397" spans="1:6" x14ac:dyDescent="0.25">
      <c r="A397" s="86"/>
      <c r="B397" s="86"/>
      <c r="C397" s="88"/>
      <c r="D397" s="91"/>
      <c r="E397" s="92"/>
      <c r="F397" s="94"/>
    </row>
    <row r="398" spans="1:6" x14ac:dyDescent="0.25">
      <c r="A398" s="86"/>
      <c r="B398" s="86"/>
      <c r="C398" s="88"/>
      <c r="D398" s="91"/>
      <c r="E398" s="92"/>
      <c r="F398" s="94"/>
    </row>
    <row r="399" spans="1:6" x14ac:dyDescent="0.25">
      <c r="A399" s="86"/>
      <c r="B399" s="86"/>
      <c r="C399" s="88"/>
      <c r="D399" s="91"/>
      <c r="E399" s="92"/>
      <c r="F399" s="94"/>
    </row>
    <row r="400" spans="1:6" x14ac:dyDescent="0.25">
      <c r="A400" s="86"/>
      <c r="B400" s="86"/>
      <c r="C400" s="88"/>
      <c r="D400" s="91"/>
      <c r="E400" s="92"/>
      <c r="F400" s="94"/>
    </row>
    <row r="401" spans="1:6" x14ac:dyDescent="0.25">
      <c r="A401" s="86"/>
      <c r="B401" s="86"/>
      <c r="C401" s="88"/>
      <c r="D401" s="91"/>
      <c r="E401" s="92"/>
      <c r="F401" s="94"/>
    </row>
    <row r="402" spans="1:6" x14ac:dyDescent="0.25">
      <c r="A402" s="86"/>
      <c r="B402" s="86"/>
      <c r="C402" s="88"/>
      <c r="D402" s="91"/>
      <c r="E402" s="92"/>
      <c r="F402" s="94"/>
    </row>
    <row r="403" spans="1:6" x14ac:dyDescent="0.25">
      <c r="A403" s="86"/>
      <c r="B403" s="86"/>
      <c r="C403" s="88"/>
      <c r="D403" s="91"/>
      <c r="E403" s="92"/>
      <c r="F403" s="94"/>
    </row>
    <row r="404" spans="1:6" x14ac:dyDescent="0.25">
      <c r="A404" s="86"/>
      <c r="B404" s="86"/>
      <c r="C404" s="88"/>
      <c r="D404" s="91"/>
      <c r="E404" s="92"/>
      <c r="F404" s="94"/>
    </row>
    <row r="405" spans="1:6" x14ac:dyDescent="0.25">
      <c r="A405" s="86"/>
      <c r="B405" s="86"/>
      <c r="C405" s="88"/>
      <c r="D405" s="91"/>
      <c r="E405" s="92"/>
      <c r="F405" s="94"/>
    </row>
    <row r="406" spans="1:6" x14ac:dyDescent="0.25">
      <c r="A406" s="86"/>
      <c r="B406" s="86"/>
      <c r="C406" s="88"/>
      <c r="D406" s="91"/>
      <c r="E406" s="92"/>
      <c r="F406" s="94"/>
    </row>
    <row r="407" spans="1:6" x14ac:dyDescent="0.25">
      <c r="A407" s="86"/>
      <c r="B407" s="86"/>
      <c r="C407" s="88"/>
      <c r="D407" s="91"/>
      <c r="E407" s="92"/>
      <c r="F407" s="94"/>
    </row>
    <row r="408" spans="1:6" x14ac:dyDescent="0.25">
      <c r="A408" s="86"/>
      <c r="B408" s="86"/>
      <c r="C408" s="88"/>
      <c r="D408" s="91"/>
      <c r="E408" s="92"/>
      <c r="F408" s="94"/>
    </row>
    <row r="409" spans="1:6" x14ac:dyDescent="0.25">
      <c r="A409" s="86"/>
      <c r="B409" s="86"/>
      <c r="C409" s="88"/>
      <c r="D409" s="91"/>
      <c r="E409" s="92"/>
      <c r="F409" s="94"/>
    </row>
    <row r="410" spans="1:6" x14ac:dyDescent="0.25">
      <c r="A410" s="86"/>
      <c r="B410" s="86"/>
      <c r="C410" s="88"/>
      <c r="D410" s="91"/>
      <c r="E410" s="92"/>
      <c r="F410" s="94"/>
    </row>
    <row r="411" spans="1:6" x14ac:dyDescent="0.25">
      <c r="A411" s="86"/>
      <c r="B411" s="86"/>
      <c r="C411" s="88"/>
      <c r="D411" s="91"/>
      <c r="E411" s="92"/>
      <c r="F411" s="94"/>
    </row>
    <row r="412" spans="1:6" x14ac:dyDescent="0.25">
      <c r="A412" s="86"/>
      <c r="B412" s="86"/>
      <c r="C412" s="88"/>
      <c r="D412" s="91"/>
      <c r="E412" s="92"/>
      <c r="F412" s="94"/>
    </row>
    <row r="413" spans="1:6" x14ac:dyDescent="0.25">
      <c r="A413" s="86"/>
      <c r="B413" s="86"/>
      <c r="C413" s="88"/>
      <c r="D413" s="91"/>
      <c r="E413" s="92"/>
      <c r="F413" s="94"/>
    </row>
    <row r="414" spans="1:6" x14ac:dyDescent="0.25">
      <c r="A414" s="86"/>
      <c r="B414" s="86"/>
      <c r="C414" s="88"/>
      <c r="D414" s="91"/>
      <c r="E414" s="92"/>
      <c r="F414" s="94"/>
    </row>
    <row r="415" spans="1:6" x14ac:dyDescent="0.25">
      <c r="A415" s="86"/>
      <c r="B415" s="86"/>
      <c r="C415" s="88"/>
      <c r="D415" s="91"/>
      <c r="E415" s="92"/>
      <c r="F415" s="94"/>
    </row>
    <row r="416" spans="1:6" x14ac:dyDescent="0.25">
      <c r="A416" s="86"/>
      <c r="B416" s="86"/>
      <c r="C416" s="88"/>
      <c r="D416" s="91"/>
      <c r="E416" s="92"/>
      <c r="F416" s="94"/>
    </row>
    <row r="417" spans="1:6" x14ac:dyDescent="0.25">
      <c r="A417" s="86"/>
      <c r="B417" s="86"/>
      <c r="C417" s="88"/>
      <c r="D417" s="91"/>
      <c r="E417" s="92"/>
      <c r="F417" s="94"/>
    </row>
    <row r="418" spans="1:6" x14ac:dyDescent="0.25">
      <c r="A418" s="86"/>
      <c r="B418" s="86"/>
      <c r="C418" s="88"/>
      <c r="D418" s="91"/>
      <c r="E418" s="92"/>
      <c r="F418" s="94"/>
    </row>
    <row r="419" spans="1:6" x14ac:dyDescent="0.25">
      <c r="A419" s="86"/>
      <c r="B419" s="86"/>
      <c r="C419" s="88"/>
      <c r="D419" s="91"/>
      <c r="E419" s="92"/>
      <c r="F419" s="94"/>
    </row>
    <row r="420" spans="1:6" x14ac:dyDescent="0.25">
      <c r="A420" s="86"/>
      <c r="B420" s="86"/>
      <c r="C420" s="88"/>
      <c r="D420" s="91"/>
      <c r="E420" s="92"/>
      <c r="F420" s="94"/>
    </row>
    <row r="421" spans="1:6" x14ac:dyDescent="0.25">
      <c r="A421" s="86"/>
      <c r="B421" s="86"/>
      <c r="C421" s="88"/>
      <c r="D421" s="91"/>
      <c r="E421" s="92"/>
      <c r="F421" s="94"/>
    </row>
    <row r="422" spans="1:6" x14ac:dyDescent="0.25">
      <c r="A422" s="86"/>
      <c r="B422" s="86"/>
      <c r="C422" s="88"/>
      <c r="D422" s="91"/>
      <c r="E422" s="92"/>
      <c r="F422" s="94"/>
    </row>
    <row r="423" spans="1:6" x14ac:dyDescent="0.25">
      <c r="A423" s="86"/>
      <c r="B423" s="86"/>
      <c r="C423" s="88"/>
      <c r="D423" s="91"/>
      <c r="E423" s="92"/>
      <c r="F423" s="94"/>
    </row>
    <row r="424" spans="1:6" x14ac:dyDescent="0.25">
      <c r="A424" s="86"/>
      <c r="B424" s="86"/>
      <c r="C424" s="88"/>
      <c r="D424" s="91"/>
      <c r="E424" s="92"/>
      <c r="F424" s="94"/>
    </row>
    <row r="425" spans="1:6" x14ac:dyDescent="0.25">
      <c r="A425" s="86"/>
      <c r="B425" s="86"/>
      <c r="C425" s="88"/>
      <c r="D425" s="91"/>
      <c r="E425" s="92"/>
      <c r="F425" s="94"/>
    </row>
    <row r="426" spans="1:6" x14ac:dyDescent="0.25">
      <c r="A426" s="86"/>
      <c r="B426" s="86"/>
      <c r="C426" s="88"/>
      <c r="D426" s="91"/>
      <c r="E426" s="92"/>
      <c r="F426" s="94"/>
    </row>
    <row r="427" spans="1:6" x14ac:dyDescent="0.25">
      <c r="A427" s="86"/>
      <c r="B427" s="86"/>
      <c r="C427" s="88"/>
      <c r="D427" s="91"/>
      <c r="E427" s="92"/>
      <c r="F427" s="94"/>
    </row>
    <row r="428" spans="1:6" x14ac:dyDescent="0.25">
      <c r="A428" s="86"/>
      <c r="B428" s="86"/>
      <c r="C428" s="88"/>
      <c r="D428" s="91"/>
      <c r="E428" s="92"/>
      <c r="F428" s="94"/>
    </row>
    <row r="429" spans="1:6" x14ac:dyDescent="0.25">
      <c r="A429" s="86"/>
      <c r="B429" s="86"/>
      <c r="C429" s="88"/>
      <c r="D429" s="91"/>
      <c r="E429" s="92"/>
      <c r="F429" s="94"/>
    </row>
    <row r="430" spans="1:6" x14ac:dyDescent="0.25">
      <c r="A430" s="86"/>
      <c r="B430" s="86"/>
      <c r="C430" s="88"/>
      <c r="D430" s="91"/>
      <c r="E430" s="92"/>
      <c r="F430" s="94"/>
    </row>
    <row r="431" spans="1:6" x14ac:dyDescent="0.25">
      <c r="A431" s="86"/>
      <c r="B431" s="86"/>
      <c r="C431" s="88"/>
      <c r="D431" s="91"/>
      <c r="E431" s="92"/>
      <c r="F431" s="94"/>
    </row>
    <row r="432" spans="1:6" x14ac:dyDescent="0.25">
      <c r="A432" s="86"/>
      <c r="B432" s="86"/>
      <c r="C432" s="88"/>
      <c r="D432" s="91"/>
      <c r="E432" s="92"/>
      <c r="F432" s="94"/>
    </row>
    <row r="433" spans="1:6" x14ac:dyDescent="0.25">
      <c r="A433" s="86"/>
      <c r="B433" s="86"/>
      <c r="C433" s="88"/>
      <c r="D433" s="91"/>
      <c r="E433" s="92"/>
      <c r="F433" s="94"/>
    </row>
    <row r="434" spans="1:6" x14ac:dyDescent="0.25">
      <c r="A434" s="86"/>
      <c r="B434" s="86"/>
      <c r="C434" s="88"/>
      <c r="D434" s="91"/>
      <c r="E434" s="92"/>
      <c r="F434" s="94"/>
    </row>
    <row r="435" spans="1:6" x14ac:dyDescent="0.25">
      <c r="A435" s="86"/>
      <c r="B435" s="86"/>
      <c r="C435" s="88"/>
      <c r="D435" s="91"/>
      <c r="E435" s="92"/>
      <c r="F435" s="94"/>
    </row>
    <row r="436" spans="1:6" x14ac:dyDescent="0.25">
      <c r="A436" s="86"/>
      <c r="B436" s="86"/>
      <c r="C436" s="88"/>
      <c r="D436" s="91"/>
      <c r="E436" s="92"/>
      <c r="F436" s="94"/>
    </row>
    <row r="437" spans="1:6" x14ac:dyDescent="0.25">
      <c r="A437" s="86"/>
      <c r="B437" s="86"/>
      <c r="C437" s="88"/>
      <c r="D437" s="91"/>
      <c r="E437" s="92"/>
      <c r="F437" s="94"/>
    </row>
    <row r="438" spans="1:6" x14ac:dyDescent="0.25">
      <c r="A438" s="86"/>
      <c r="B438" s="86"/>
      <c r="C438" s="88"/>
      <c r="D438" s="91"/>
      <c r="E438" s="92"/>
      <c r="F438" s="94"/>
    </row>
    <row r="439" spans="1:6" x14ac:dyDescent="0.25">
      <c r="A439" s="86"/>
      <c r="B439" s="86"/>
      <c r="C439" s="88"/>
      <c r="D439" s="91"/>
      <c r="E439" s="92"/>
      <c r="F439" s="94"/>
    </row>
    <row r="440" spans="1:6" x14ac:dyDescent="0.25">
      <c r="A440" s="86"/>
      <c r="B440" s="86"/>
      <c r="C440" s="88"/>
      <c r="D440" s="91"/>
      <c r="E440" s="92"/>
      <c r="F440" s="94"/>
    </row>
    <row r="441" spans="1:6" x14ac:dyDescent="0.25">
      <c r="A441" s="86"/>
      <c r="B441" s="86"/>
      <c r="C441" s="88"/>
      <c r="D441" s="91"/>
      <c r="E441" s="92"/>
      <c r="F441" s="94"/>
    </row>
    <row r="442" spans="1:6" x14ac:dyDescent="0.25">
      <c r="A442" s="86"/>
      <c r="B442" s="86"/>
      <c r="C442" s="88"/>
      <c r="D442" s="91"/>
      <c r="E442" s="92"/>
      <c r="F442" s="94"/>
    </row>
    <row r="443" spans="1:6" x14ac:dyDescent="0.25">
      <c r="A443" s="86"/>
      <c r="B443" s="86"/>
      <c r="C443" s="88"/>
      <c r="D443" s="91"/>
      <c r="E443" s="92"/>
      <c r="F443" s="94"/>
    </row>
    <row r="444" spans="1:6" x14ac:dyDescent="0.25">
      <c r="A444" s="86"/>
      <c r="B444" s="86"/>
      <c r="C444" s="88"/>
      <c r="D444" s="91"/>
      <c r="E444" s="92"/>
      <c r="F444" s="94"/>
    </row>
    <row r="445" spans="1:6" x14ac:dyDescent="0.25">
      <c r="A445" s="86"/>
      <c r="B445" s="86"/>
      <c r="C445" s="88"/>
      <c r="D445" s="91"/>
      <c r="E445" s="92"/>
      <c r="F445" s="94"/>
    </row>
    <row r="446" spans="1:6" x14ac:dyDescent="0.25">
      <c r="A446" s="86"/>
      <c r="B446" s="86"/>
      <c r="C446" s="88"/>
      <c r="D446" s="91"/>
      <c r="E446" s="92"/>
      <c r="F446" s="94"/>
    </row>
    <row r="447" spans="1:6" x14ac:dyDescent="0.25">
      <c r="A447" s="86"/>
      <c r="B447" s="86"/>
      <c r="C447" s="88"/>
      <c r="D447" s="91"/>
      <c r="E447" s="92"/>
      <c r="F447" s="94"/>
    </row>
    <row r="448" spans="1:6" x14ac:dyDescent="0.25">
      <c r="A448" s="86"/>
      <c r="B448" s="86"/>
      <c r="C448" s="88"/>
      <c r="D448" s="91"/>
      <c r="E448" s="92"/>
      <c r="F448" s="94"/>
    </row>
    <row r="449" spans="1:6" x14ac:dyDescent="0.25">
      <c r="A449" s="86"/>
      <c r="B449" s="86"/>
      <c r="C449" s="88"/>
      <c r="D449" s="91"/>
      <c r="E449" s="92"/>
      <c r="F449" s="94"/>
    </row>
    <row r="450" spans="1:6" x14ac:dyDescent="0.25">
      <c r="A450" s="86"/>
      <c r="B450" s="86"/>
      <c r="C450" s="88"/>
      <c r="D450" s="91"/>
      <c r="E450" s="92"/>
      <c r="F450" s="94"/>
    </row>
    <row r="451" spans="1:6" x14ac:dyDescent="0.25">
      <c r="A451" s="86"/>
      <c r="B451" s="86"/>
      <c r="C451" s="88"/>
      <c r="D451" s="91"/>
      <c r="E451" s="92"/>
      <c r="F451" s="94"/>
    </row>
    <row r="452" spans="1:6" x14ac:dyDescent="0.25">
      <c r="A452" s="86"/>
      <c r="B452" s="86"/>
      <c r="C452" s="88"/>
      <c r="D452" s="91"/>
      <c r="E452" s="92"/>
      <c r="F452" s="94"/>
    </row>
    <row r="453" spans="1:6" x14ac:dyDescent="0.25">
      <c r="A453" s="86"/>
      <c r="B453" s="86"/>
      <c r="C453" s="88"/>
      <c r="D453" s="91"/>
      <c r="E453" s="92"/>
      <c r="F453" s="94"/>
    </row>
    <row r="454" spans="1:6" x14ac:dyDescent="0.25">
      <c r="A454" s="86"/>
      <c r="B454" s="86"/>
      <c r="C454" s="88"/>
      <c r="D454" s="91"/>
      <c r="E454" s="92"/>
      <c r="F454" s="94"/>
    </row>
    <row r="455" spans="1:6" x14ac:dyDescent="0.25">
      <c r="A455" s="86"/>
      <c r="B455" s="86"/>
      <c r="C455" s="88"/>
      <c r="D455" s="91"/>
      <c r="E455" s="92"/>
      <c r="F455" s="94"/>
    </row>
    <row r="456" spans="1:6" x14ac:dyDescent="0.25">
      <c r="A456" s="86"/>
      <c r="B456" s="86"/>
      <c r="C456" s="88"/>
      <c r="D456" s="91"/>
      <c r="E456" s="92"/>
      <c r="F456" s="94"/>
    </row>
    <row r="457" spans="1:6" x14ac:dyDescent="0.25">
      <c r="A457" s="86"/>
      <c r="B457" s="86"/>
      <c r="C457" s="88"/>
      <c r="D457" s="91"/>
      <c r="E457" s="92"/>
      <c r="F457" s="94"/>
    </row>
    <row r="458" spans="1:6" x14ac:dyDescent="0.25">
      <c r="A458" s="86"/>
      <c r="B458" s="86"/>
      <c r="C458" s="88"/>
      <c r="D458" s="91"/>
      <c r="E458" s="92"/>
      <c r="F458" s="94"/>
    </row>
    <row r="459" spans="1:6" x14ac:dyDescent="0.25">
      <c r="A459" s="86"/>
      <c r="B459" s="86"/>
      <c r="C459" s="88"/>
      <c r="D459" s="91"/>
      <c r="E459" s="92"/>
      <c r="F459" s="94"/>
    </row>
    <row r="460" spans="1:6" x14ac:dyDescent="0.25">
      <c r="A460" s="86"/>
      <c r="B460" s="86"/>
      <c r="C460" s="88"/>
      <c r="D460" s="91"/>
      <c r="E460" s="92"/>
      <c r="F460" s="94"/>
    </row>
    <row r="461" spans="1:6" x14ac:dyDescent="0.25">
      <c r="A461" s="86"/>
      <c r="B461" s="86"/>
      <c r="C461" s="88"/>
      <c r="D461" s="91"/>
      <c r="E461" s="92"/>
      <c r="F461" s="94"/>
    </row>
    <row r="462" spans="1:6" x14ac:dyDescent="0.25">
      <c r="A462" s="86"/>
      <c r="B462" s="86"/>
      <c r="C462" s="88"/>
      <c r="D462" s="91"/>
      <c r="E462" s="92"/>
      <c r="F462" s="94"/>
    </row>
    <row r="463" spans="1:6" x14ac:dyDescent="0.25">
      <c r="A463" s="86"/>
      <c r="B463" s="86"/>
      <c r="C463" s="88"/>
      <c r="D463" s="91"/>
      <c r="E463" s="92"/>
      <c r="F463" s="94"/>
    </row>
    <row r="464" spans="1:6" x14ac:dyDescent="0.25">
      <c r="A464" s="86"/>
      <c r="B464" s="86"/>
      <c r="C464" s="88"/>
      <c r="D464" s="91"/>
      <c r="E464" s="92"/>
      <c r="F464" s="94"/>
    </row>
    <row r="465" spans="1:6" x14ac:dyDescent="0.25">
      <c r="A465" s="86"/>
      <c r="B465" s="86"/>
      <c r="C465" s="88"/>
      <c r="D465" s="91"/>
      <c r="E465" s="92"/>
      <c r="F465" s="94"/>
    </row>
    <row r="466" spans="1:6" x14ac:dyDescent="0.25">
      <c r="A466" s="86"/>
      <c r="B466" s="86"/>
      <c r="C466" s="88"/>
      <c r="D466" s="91"/>
      <c r="E466" s="92"/>
      <c r="F466" s="94"/>
    </row>
    <row r="467" spans="1:6" x14ac:dyDescent="0.25">
      <c r="A467" s="86"/>
      <c r="B467" s="86"/>
      <c r="C467" s="88"/>
      <c r="D467" s="91"/>
      <c r="E467" s="92"/>
      <c r="F467" s="94"/>
    </row>
    <row r="468" spans="1:6" x14ac:dyDescent="0.25">
      <c r="A468" s="86"/>
      <c r="B468" s="86"/>
      <c r="C468" s="88"/>
      <c r="D468" s="91"/>
      <c r="E468" s="92"/>
      <c r="F468" s="94"/>
    </row>
    <row r="469" spans="1:6" x14ac:dyDescent="0.25">
      <c r="A469" s="86"/>
      <c r="B469" s="86"/>
      <c r="C469" s="88"/>
      <c r="D469" s="91"/>
      <c r="E469" s="92"/>
      <c r="F469" s="94"/>
    </row>
    <row r="470" spans="1:6" x14ac:dyDescent="0.25">
      <c r="A470" s="86"/>
      <c r="B470" s="86"/>
      <c r="C470" s="88"/>
      <c r="D470" s="91"/>
      <c r="E470" s="92"/>
      <c r="F470" s="94"/>
    </row>
    <row r="471" spans="1:6" x14ac:dyDescent="0.25">
      <c r="A471" s="86"/>
      <c r="B471" s="86"/>
      <c r="C471" s="88"/>
      <c r="D471" s="91"/>
      <c r="E471" s="92"/>
      <c r="F471" s="94"/>
    </row>
    <row r="472" spans="1:6" x14ac:dyDescent="0.25">
      <c r="A472" s="86"/>
      <c r="B472" s="86"/>
      <c r="C472" s="88"/>
      <c r="D472" s="91"/>
      <c r="E472" s="92"/>
      <c r="F472" s="94"/>
    </row>
    <row r="473" spans="1:6" x14ac:dyDescent="0.25">
      <c r="A473" s="86"/>
      <c r="B473" s="86"/>
      <c r="C473" s="88"/>
      <c r="D473" s="91"/>
      <c r="E473" s="92"/>
      <c r="F473" s="94"/>
    </row>
    <row r="474" spans="1:6" x14ac:dyDescent="0.25">
      <c r="A474" s="86"/>
      <c r="B474" s="86"/>
      <c r="C474" s="88"/>
      <c r="D474" s="91"/>
      <c r="E474" s="92"/>
      <c r="F474" s="94"/>
    </row>
    <row r="475" spans="1:6" x14ac:dyDescent="0.25">
      <c r="A475" s="86"/>
      <c r="B475" s="86"/>
      <c r="C475" s="88"/>
      <c r="D475" s="91"/>
      <c r="E475" s="92"/>
      <c r="F475" s="94"/>
    </row>
    <row r="476" spans="1:6" x14ac:dyDescent="0.25">
      <c r="A476" s="86"/>
      <c r="B476" s="86"/>
      <c r="C476" s="88"/>
      <c r="D476" s="91"/>
      <c r="E476" s="92"/>
      <c r="F476" s="94"/>
    </row>
    <row r="477" spans="1:6" x14ac:dyDescent="0.25">
      <c r="A477" s="86"/>
      <c r="B477" s="86"/>
      <c r="C477" s="88"/>
      <c r="D477" s="91"/>
      <c r="E477" s="92"/>
      <c r="F477" s="94"/>
    </row>
    <row r="478" spans="1:6" x14ac:dyDescent="0.25">
      <c r="A478" s="86"/>
      <c r="B478" s="86"/>
      <c r="C478" s="88"/>
      <c r="D478" s="91"/>
      <c r="E478" s="92"/>
      <c r="F478" s="94"/>
    </row>
    <row r="479" spans="1:6" x14ac:dyDescent="0.25">
      <c r="A479" s="86"/>
      <c r="B479" s="86"/>
      <c r="C479" s="88"/>
      <c r="D479" s="91"/>
      <c r="E479" s="92"/>
      <c r="F479" s="94"/>
    </row>
    <row r="480" spans="1:6" x14ac:dyDescent="0.25">
      <c r="A480" s="86"/>
      <c r="B480" s="86"/>
      <c r="C480" s="88"/>
      <c r="D480" s="91"/>
      <c r="E480" s="92"/>
      <c r="F480" s="94"/>
    </row>
    <row r="481" spans="1:6" x14ac:dyDescent="0.25">
      <c r="A481" s="86"/>
      <c r="B481" s="86"/>
      <c r="C481" s="88"/>
      <c r="D481" s="91"/>
      <c r="E481" s="92"/>
      <c r="F481" s="94"/>
    </row>
    <row r="482" spans="1:6" x14ac:dyDescent="0.25">
      <c r="A482" s="86"/>
      <c r="B482" s="86"/>
      <c r="C482" s="88"/>
      <c r="D482" s="91"/>
      <c r="E482" s="92"/>
      <c r="F482" s="94"/>
    </row>
    <row r="483" spans="1:6" x14ac:dyDescent="0.25">
      <c r="A483" s="86"/>
      <c r="B483" s="86"/>
      <c r="C483" s="88"/>
      <c r="D483" s="91"/>
      <c r="E483" s="92"/>
      <c r="F483" s="94"/>
    </row>
    <row r="484" spans="1:6" x14ac:dyDescent="0.25">
      <c r="A484" s="86"/>
      <c r="B484" s="86"/>
      <c r="C484" s="88"/>
      <c r="D484" s="91"/>
      <c r="E484" s="92"/>
      <c r="F484" s="94"/>
    </row>
    <row r="485" spans="1:6" x14ac:dyDescent="0.25">
      <c r="A485" s="86"/>
      <c r="B485" s="86"/>
      <c r="C485" s="88"/>
      <c r="D485" s="91"/>
      <c r="E485" s="92"/>
      <c r="F485" s="94"/>
    </row>
    <row r="486" spans="1:6" x14ac:dyDescent="0.25">
      <c r="A486" s="86"/>
      <c r="B486" s="86"/>
      <c r="C486" s="88"/>
      <c r="D486" s="91"/>
      <c r="E486" s="92"/>
      <c r="F486" s="94"/>
    </row>
    <row r="487" spans="1:6" x14ac:dyDescent="0.25">
      <c r="A487" s="86"/>
      <c r="B487" s="86"/>
      <c r="C487" s="88"/>
      <c r="D487" s="91"/>
      <c r="E487" s="92"/>
      <c r="F487" s="94"/>
    </row>
    <row r="488" spans="1:6" x14ac:dyDescent="0.25">
      <c r="A488" s="86"/>
      <c r="B488" s="86"/>
      <c r="C488" s="88"/>
      <c r="D488" s="91"/>
      <c r="E488" s="92"/>
      <c r="F488" s="94"/>
    </row>
    <row r="489" spans="1:6" x14ac:dyDescent="0.25">
      <c r="A489" s="86"/>
      <c r="B489" s="86"/>
      <c r="C489" s="88"/>
      <c r="D489" s="91"/>
      <c r="E489" s="92"/>
      <c r="F489" s="94"/>
    </row>
    <row r="490" spans="1:6" x14ac:dyDescent="0.25">
      <c r="A490" s="86"/>
      <c r="B490" s="86"/>
      <c r="C490" s="88"/>
      <c r="D490" s="91"/>
      <c r="E490" s="92"/>
      <c r="F490" s="94"/>
    </row>
    <row r="491" spans="1:6" x14ac:dyDescent="0.25">
      <c r="A491" s="86"/>
      <c r="B491" s="86"/>
      <c r="C491" s="88"/>
      <c r="D491" s="91"/>
      <c r="E491" s="92"/>
      <c r="F491" s="94"/>
    </row>
    <row r="492" spans="1:6" x14ac:dyDescent="0.25">
      <c r="A492" s="86"/>
      <c r="B492" s="86"/>
      <c r="C492" s="88"/>
      <c r="D492" s="91"/>
      <c r="E492" s="92"/>
      <c r="F492" s="94"/>
    </row>
    <row r="493" spans="1:6" x14ac:dyDescent="0.25">
      <c r="A493" s="86"/>
      <c r="B493" s="86"/>
      <c r="C493" s="88"/>
      <c r="D493" s="91"/>
      <c r="E493" s="92"/>
      <c r="F493" s="94"/>
    </row>
    <row r="494" spans="1:6" x14ac:dyDescent="0.25">
      <c r="A494" s="86"/>
      <c r="B494" s="86"/>
      <c r="C494" s="88"/>
      <c r="D494" s="91"/>
      <c r="E494" s="92"/>
      <c r="F494" s="94"/>
    </row>
    <row r="495" spans="1:6" x14ac:dyDescent="0.25">
      <c r="A495" s="86"/>
      <c r="B495" s="86"/>
      <c r="C495" s="88"/>
      <c r="D495" s="91"/>
      <c r="E495" s="92"/>
      <c r="F495" s="94"/>
    </row>
    <row r="496" spans="1:6" x14ac:dyDescent="0.25">
      <c r="A496" s="86"/>
      <c r="B496" s="86"/>
      <c r="C496" s="88"/>
      <c r="D496" s="91"/>
      <c r="E496" s="92"/>
      <c r="F496" s="94"/>
    </row>
    <row r="497" spans="1:6" x14ac:dyDescent="0.25">
      <c r="A497" s="86"/>
      <c r="B497" s="86"/>
      <c r="C497" s="88"/>
      <c r="D497" s="91"/>
      <c r="E497" s="92"/>
      <c r="F497" s="94"/>
    </row>
    <row r="498" spans="1:6" x14ac:dyDescent="0.25">
      <c r="A498" s="86"/>
      <c r="B498" s="86"/>
      <c r="C498" s="88"/>
      <c r="D498" s="91"/>
      <c r="E498" s="92"/>
      <c r="F498" s="94"/>
    </row>
    <row r="499" spans="1:6" x14ac:dyDescent="0.25">
      <c r="A499" s="86"/>
      <c r="B499" s="86"/>
      <c r="C499" s="88"/>
      <c r="D499" s="91"/>
      <c r="E499" s="92"/>
      <c r="F499" s="94"/>
    </row>
    <row r="500" spans="1:6" x14ac:dyDescent="0.25">
      <c r="A500" s="86"/>
      <c r="B500" s="86"/>
      <c r="C500" s="88"/>
      <c r="D500" s="91"/>
      <c r="E500" s="92"/>
      <c r="F500" s="94"/>
    </row>
    <row r="501" spans="1:6" x14ac:dyDescent="0.25">
      <c r="A501" s="86"/>
      <c r="B501" s="86"/>
      <c r="C501" s="88"/>
      <c r="D501" s="91"/>
      <c r="E501" s="92"/>
      <c r="F501" s="94"/>
    </row>
    <row r="502" spans="1:6" x14ac:dyDescent="0.25">
      <c r="A502" s="86"/>
      <c r="B502" s="86"/>
      <c r="C502" s="88"/>
      <c r="D502" s="91"/>
      <c r="E502" s="92"/>
      <c r="F502" s="94"/>
    </row>
    <row r="503" spans="1:6" x14ac:dyDescent="0.25">
      <c r="A503" s="86"/>
      <c r="B503" s="86"/>
      <c r="C503" s="88"/>
      <c r="D503" s="91"/>
      <c r="E503" s="92"/>
      <c r="F503" s="94"/>
    </row>
    <row r="504" spans="1:6" x14ac:dyDescent="0.25">
      <c r="A504" s="86"/>
      <c r="B504" s="86"/>
      <c r="C504" s="88"/>
      <c r="D504" s="91"/>
      <c r="E504" s="92"/>
      <c r="F504" s="94"/>
    </row>
    <row r="505" spans="1:6" x14ac:dyDescent="0.25">
      <c r="A505" s="86"/>
      <c r="B505" s="86"/>
      <c r="C505" s="88"/>
      <c r="D505" s="91"/>
      <c r="E505" s="92"/>
      <c r="F505" s="94"/>
    </row>
    <row r="506" spans="1:6" x14ac:dyDescent="0.25">
      <c r="A506" s="86"/>
      <c r="B506" s="86"/>
      <c r="C506" s="88"/>
      <c r="D506" s="91"/>
      <c r="E506" s="92"/>
      <c r="F506" s="94"/>
    </row>
    <row r="507" spans="1:6" x14ac:dyDescent="0.25">
      <c r="A507" s="86"/>
      <c r="B507" s="86"/>
      <c r="C507" s="88"/>
      <c r="D507" s="91"/>
      <c r="E507" s="92"/>
      <c r="F507" s="94"/>
    </row>
    <row r="508" spans="1:6" x14ac:dyDescent="0.25">
      <c r="A508" s="86"/>
      <c r="B508" s="86"/>
      <c r="C508" s="88"/>
      <c r="D508" s="91"/>
      <c r="E508" s="92"/>
      <c r="F508" s="94"/>
    </row>
    <row r="509" spans="1:6" x14ac:dyDescent="0.25">
      <c r="A509" s="86"/>
      <c r="B509" s="86"/>
      <c r="C509" s="88"/>
      <c r="D509" s="91"/>
      <c r="E509" s="92"/>
      <c r="F509" s="94"/>
    </row>
    <row r="510" spans="1:6" x14ac:dyDescent="0.25">
      <c r="A510" s="86"/>
      <c r="B510" s="86"/>
      <c r="C510" s="88"/>
      <c r="D510" s="91"/>
      <c r="E510" s="92"/>
      <c r="F510" s="94"/>
    </row>
    <row r="511" spans="1:6" x14ac:dyDescent="0.25">
      <c r="A511" s="86"/>
      <c r="B511" s="86"/>
      <c r="C511" s="88"/>
      <c r="D511" s="91"/>
      <c r="E511" s="92"/>
      <c r="F511" s="94"/>
    </row>
    <row r="512" spans="1:6" x14ac:dyDescent="0.25">
      <c r="A512" s="86"/>
      <c r="B512" s="86"/>
      <c r="C512" s="88"/>
      <c r="D512" s="91"/>
      <c r="E512" s="92"/>
      <c r="F512" s="94"/>
    </row>
    <row r="513" spans="1:6" x14ac:dyDescent="0.25">
      <c r="A513" s="86"/>
      <c r="B513" s="86"/>
      <c r="C513" s="88"/>
      <c r="D513" s="91"/>
      <c r="E513" s="92"/>
      <c r="F513" s="94"/>
    </row>
    <row r="514" spans="1:6" x14ac:dyDescent="0.25">
      <c r="A514" s="86"/>
      <c r="B514" s="86"/>
      <c r="C514" s="88"/>
      <c r="D514" s="91"/>
      <c r="E514" s="92"/>
      <c r="F514" s="94"/>
    </row>
    <row r="515" spans="1:6" x14ac:dyDescent="0.25">
      <c r="A515" s="86"/>
      <c r="B515" s="86"/>
      <c r="C515" s="88"/>
      <c r="D515" s="91"/>
      <c r="E515" s="92"/>
      <c r="F515" s="94"/>
    </row>
    <row r="516" spans="1:6" x14ac:dyDescent="0.25">
      <c r="A516" s="86"/>
      <c r="B516" s="86"/>
      <c r="C516" s="88"/>
      <c r="D516" s="91"/>
      <c r="E516" s="92"/>
      <c r="F516" s="94"/>
    </row>
    <row r="517" spans="1:6" x14ac:dyDescent="0.25">
      <c r="A517" s="86"/>
      <c r="B517" s="86"/>
      <c r="C517" s="88"/>
      <c r="D517" s="91"/>
      <c r="E517" s="92"/>
      <c r="F517" s="94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VernierLookup() P'!A1" display="'VernierLookup() P'!A1"/>
    <hyperlink ref="A18" location="'VernierLookup() R'!A1" display="'VernierLookup() R'!A1"/>
    <hyperlink ref="A19" location="'VernierLookup() M'!A1" display="'VernierLookup() M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7.28515625" bestFit="1" customWidth="1"/>
    <col min="4" max="4" width="4.7109375" bestFit="1" customWidth="1"/>
    <col min="5" max="5" width="255.7109375" bestFit="1" customWidth="1"/>
    <col min="6" max="8" width="4.140625" bestFit="1" customWidth="1"/>
    <col min="9" max="11" width="7.28515625" bestFit="1" customWidth="1"/>
    <col min="12" max="12" width="4.140625" bestFit="1" customWidth="1"/>
    <col min="13" max="13" width="12.42578125" bestFit="1" customWidth="1"/>
    <col min="14" max="15" width="10.5703125" bestFit="1" customWidth="1"/>
  </cols>
  <sheetData>
    <row r="1" spans="1:15" x14ac:dyDescent="0.25">
      <c r="A1" s="279" t="s">
        <v>62</v>
      </c>
      <c r="B1" s="280"/>
      <c r="C1" s="45" t="s">
        <v>160</v>
      </c>
      <c r="D1" s="58" t="s">
        <v>159</v>
      </c>
      <c r="E1" s="58"/>
      <c r="F1" s="122"/>
      <c r="G1" s="122"/>
      <c r="H1" s="122"/>
      <c r="I1" s="122"/>
      <c r="J1" s="122"/>
      <c r="K1" s="122"/>
      <c r="L1" s="122"/>
      <c r="M1" s="43"/>
      <c r="N1" s="44"/>
      <c r="O1" s="112"/>
    </row>
    <row r="2" spans="1:15" ht="60" customHeight="1" x14ac:dyDescent="0.25">
      <c r="A2" s="281" t="s">
        <v>99</v>
      </c>
      <c r="B2" s="282"/>
      <c r="C2" s="48" t="s">
        <v>169</v>
      </c>
      <c r="D2" s="48" t="s">
        <v>169</v>
      </c>
      <c r="E2" s="48" t="s">
        <v>150</v>
      </c>
      <c r="F2" s="60" t="s">
        <v>151</v>
      </c>
      <c r="G2" s="27" t="s">
        <v>151</v>
      </c>
      <c r="H2" s="27" t="s">
        <v>151</v>
      </c>
      <c r="I2" s="28" t="s">
        <v>153</v>
      </c>
      <c r="J2" s="28" t="s">
        <v>153</v>
      </c>
      <c r="K2" s="28" t="s">
        <v>153</v>
      </c>
      <c r="L2" s="110" t="s">
        <v>21</v>
      </c>
      <c r="M2" s="29" t="s">
        <v>156</v>
      </c>
      <c r="N2" s="30" t="s">
        <v>158</v>
      </c>
      <c r="O2" s="113" t="s">
        <v>158</v>
      </c>
    </row>
    <row r="3" spans="1:15" ht="102.75" x14ac:dyDescent="0.25">
      <c r="A3" s="31" t="s">
        <v>148</v>
      </c>
      <c r="B3" s="32" t="s">
        <v>149</v>
      </c>
      <c r="C3" s="59" t="s">
        <v>477</v>
      </c>
      <c r="D3" s="59" t="s">
        <v>112</v>
      </c>
      <c r="E3" s="33" t="s">
        <v>502</v>
      </c>
      <c r="F3" s="34" t="s">
        <v>126</v>
      </c>
      <c r="G3" s="34" t="s">
        <v>128</v>
      </c>
      <c r="H3" s="34" t="s">
        <v>137</v>
      </c>
      <c r="I3" s="35" t="s">
        <v>126</v>
      </c>
      <c r="J3" s="35" t="s">
        <v>128</v>
      </c>
      <c r="K3" s="35" t="s">
        <v>137</v>
      </c>
      <c r="L3" s="111" t="s">
        <v>155</v>
      </c>
      <c r="M3" s="29" t="s">
        <v>157</v>
      </c>
      <c r="N3" s="30"/>
      <c r="O3" s="113"/>
    </row>
    <row r="4" spans="1:15" ht="20.100000000000001" customHeight="1" x14ac:dyDescent="0.25">
      <c r="A4" s="36">
        <v>1</v>
      </c>
      <c r="B4" s="183" t="s">
        <v>376</v>
      </c>
      <c r="C4" s="62">
        <v>22</v>
      </c>
      <c r="D4" s="62">
        <v>0</v>
      </c>
      <c r="E4" s="185" t="s">
        <v>503</v>
      </c>
      <c r="F4" s="46" t="s">
        <v>159</v>
      </c>
      <c r="G4" s="46" t="s">
        <v>159</v>
      </c>
      <c r="H4" s="46" t="s">
        <v>159</v>
      </c>
      <c r="I4" s="46">
        <v>0</v>
      </c>
      <c r="J4" s="46">
        <v>0</v>
      </c>
      <c r="K4" s="46">
        <v>1</v>
      </c>
      <c r="L4" s="116" t="s">
        <v>159</v>
      </c>
      <c r="M4" s="37" t="s">
        <v>159</v>
      </c>
      <c r="N4" s="38"/>
      <c r="O4" s="114"/>
    </row>
    <row r="5" spans="1:15" ht="20.100000000000001" customHeight="1" thickBot="1" x14ac:dyDescent="0.3">
      <c r="A5" s="39">
        <v>2</v>
      </c>
      <c r="B5" s="184" t="s">
        <v>377</v>
      </c>
      <c r="C5" s="65">
        <v>17</v>
      </c>
      <c r="D5" s="65">
        <v>-792</v>
      </c>
      <c r="E5" s="186" t="s">
        <v>504</v>
      </c>
      <c r="F5" s="47" t="s">
        <v>159</v>
      </c>
      <c r="G5" s="47" t="s">
        <v>159</v>
      </c>
      <c r="H5" s="47" t="s">
        <v>159</v>
      </c>
      <c r="I5" s="47">
        <v>0</v>
      </c>
      <c r="J5" s="47">
        <v>0</v>
      </c>
      <c r="K5" s="47">
        <v>1</v>
      </c>
      <c r="L5" s="117" t="s">
        <v>159</v>
      </c>
      <c r="M5" s="40" t="s">
        <v>159</v>
      </c>
      <c r="N5" s="41"/>
      <c r="O5" s="115"/>
    </row>
    <row r="6" spans="1:15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</row>
    <row r="7" spans="1:15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</row>
    <row r="8" spans="1: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1: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1: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</sheetData>
  <sheetProtection sheet="1" objects="1" scenarios="1"/>
  <mergeCells count="2">
    <mergeCell ref="A1:B1"/>
    <mergeCell ref="A2:B2"/>
  </mergeCells>
  <hyperlinks>
    <hyperlink ref="A1" location="'VernierLookup'!A1" display="'VernierLookup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.5703125" bestFit="1" customWidth="1"/>
    <col min="3" max="3" width="7.28515625" bestFit="1" customWidth="1"/>
    <col min="4" max="4" width="6.7109375" bestFit="1" customWidth="1"/>
    <col min="5" max="5" width="255.7109375" bestFit="1" customWidth="1"/>
    <col min="6" max="8" width="3.28515625" bestFit="1" customWidth="1"/>
    <col min="9" max="11" width="7.28515625" bestFit="1" customWidth="1"/>
    <col min="12" max="12" width="4.140625" bestFit="1" customWidth="1"/>
    <col min="13" max="13" width="12.42578125" bestFit="1" customWidth="1"/>
    <col min="14" max="15" width="10.5703125" bestFit="1" customWidth="1"/>
  </cols>
  <sheetData>
    <row r="1" spans="1:15" x14ac:dyDescent="0.25">
      <c r="A1" s="279" t="s">
        <v>62</v>
      </c>
      <c r="B1" s="280"/>
      <c r="C1" s="45" t="s">
        <v>160</v>
      </c>
      <c r="D1" s="58" t="s">
        <v>159</v>
      </c>
      <c r="E1" s="58"/>
      <c r="F1" s="58"/>
      <c r="G1" s="45"/>
      <c r="H1" s="45"/>
      <c r="I1" s="45"/>
      <c r="J1" s="45"/>
      <c r="K1" s="45"/>
      <c r="L1" s="45"/>
      <c r="M1" s="43"/>
      <c r="N1" s="44"/>
      <c r="O1" s="42"/>
    </row>
    <row r="2" spans="1:15" ht="60" customHeight="1" x14ac:dyDescent="0.25">
      <c r="A2" s="281" t="s">
        <v>147</v>
      </c>
      <c r="B2" s="282"/>
      <c r="C2" s="48" t="s">
        <v>169</v>
      </c>
      <c r="D2" s="48" t="s">
        <v>169</v>
      </c>
      <c r="E2" s="48" t="s">
        <v>150</v>
      </c>
      <c r="F2" s="49" t="s">
        <v>151</v>
      </c>
      <c r="G2" s="49" t="s">
        <v>151</v>
      </c>
      <c r="H2" s="49" t="s">
        <v>151</v>
      </c>
      <c r="I2" s="61" t="s">
        <v>153</v>
      </c>
      <c r="J2" s="61" t="s">
        <v>153</v>
      </c>
      <c r="K2" s="61" t="s">
        <v>153</v>
      </c>
      <c r="L2" s="118" t="s">
        <v>21</v>
      </c>
      <c r="M2" s="29" t="s">
        <v>156</v>
      </c>
      <c r="N2" s="30" t="s">
        <v>158</v>
      </c>
      <c r="O2" s="42"/>
    </row>
    <row r="3" spans="1:15" ht="102.75" x14ac:dyDescent="0.25">
      <c r="A3" s="31" t="s">
        <v>148</v>
      </c>
      <c r="B3" s="32" t="s">
        <v>149</v>
      </c>
      <c r="C3" s="59" t="s">
        <v>477</v>
      </c>
      <c r="D3" s="59" t="s">
        <v>112</v>
      </c>
      <c r="E3" s="33" t="s">
        <v>502</v>
      </c>
      <c r="F3" s="34" t="s">
        <v>126</v>
      </c>
      <c r="G3" s="34" t="s">
        <v>128</v>
      </c>
      <c r="H3" s="34" t="s">
        <v>137</v>
      </c>
      <c r="I3" s="35" t="s">
        <v>126</v>
      </c>
      <c r="J3" s="35" t="s">
        <v>128</v>
      </c>
      <c r="K3" s="35" t="s">
        <v>137</v>
      </c>
      <c r="L3" s="111" t="s">
        <v>155</v>
      </c>
      <c r="M3" s="29" t="s">
        <v>157</v>
      </c>
      <c r="N3" s="30"/>
      <c r="O3" s="42"/>
    </row>
    <row r="4" spans="1:15" ht="20.100000000000001" customHeight="1" x14ac:dyDescent="0.25">
      <c r="A4" s="36">
        <v>1</v>
      </c>
      <c r="B4" s="46" t="s">
        <v>195</v>
      </c>
      <c r="C4" s="46">
        <v>17</v>
      </c>
      <c r="D4" s="56">
        <v>-792</v>
      </c>
      <c r="E4" s="120" t="s">
        <v>511</v>
      </c>
      <c r="F4" s="46" t="s">
        <v>159</v>
      </c>
      <c r="G4" s="46" t="s">
        <v>159</v>
      </c>
      <c r="H4" s="46" t="s">
        <v>159</v>
      </c>
      <c r="I4" s="46">
        <v>0</v>
      </c>
      <c r="J4" s="46">
        <v>0</v>
      </c>
      <c r="K4" s="46">
        <v>1</v>
      </c>
      <c r="L4" s="116" t="s">
        <v>159</v>
      </c>
      <c r="M4" s="37" t="s">
        <v>159</v>
      </c>
      <c r="N4" s="38"/>
      <c r="O4" s="42"/>
    </row>
    <row r="5" spans="1:15" ht="20.100000000000001" customHeight="1" x14ac:dyDescent="0.25">
      <c r="A5" s="36">
        <v>2</v>
      </c>
      <c r="B5" s="46" t="s">
        <v>196</v>
      </c>
      <c r="C5" s="46">
        <v>22</v>
      </c>
      <c r="D5" s="56">
        <v>360</v>
      </c>
      <c r="E5" s="46" t="s">
        <v>503</v>
      </c>
      <c r="F5" s="46" t="s">
        <v>159</v>
      </c>
      <c r="G5" s="46" t="s">
        <v>159</v>
      </c>
      <c r="H5" s="46" t="s">
        <v>159</v>
      </c>
      <c r="I5" s="46">
        <v>0</v>
      </c>
      <c r="J5" s="46">
        <v>10</v>
      </c>
      <c r="K5" s="46">
        <v>21</v>
      </c>
      <c r="L5" s="116" t="s">
        <v>159</v>
      </c>
      <c r="M5" s="37" t="s">
        <v>159</v>
      </c>
      <c r="N5" s="38"/>
      <c r="O5" s="42"/>
    </row>
    <row r="6" spans="1:15" ht="20.100000000000001" customHeight="1" x14ac:dyDescent="0.25">
      <c r="A6" s="36">
        <v>3</v>
      </c>
      <c r="B6" s="46" t="s">
        <v>200</v>
      </c>
      <c r="C6" s="46">
        <v>17</v>
      </c>
      <c r="D6" s="56">
        <v>0</v>
      </c>
      <c r="E6" s="120" t="s">
        <v>511</v>
      </c>
      <c r="F6" s="46" t="s">
        <v>159</v>
      </c>
      <c r="G6" s="46" t="s">
        <v>159</v>
      </c>
      <c r="H6" s="46" t="s">
        <v>159</v>
      </c>
      <c r="I6" s="46">
        <v>0</v>
      </c>
      <c r="J6" s="46">
        <v>0</v>
      </c>
      <c r="K6" s="46">
        <v>2</v>
      </c>
      <c r="L6" s="116" t="s">
        <v>159</v>
      </c>
      <c r="M6" s="37" t="s">
        <v>159</v>
      </c>
      <c r="N6" s="38"/>
      <c r="O6" s="42"/>
    </row>
    <row r="7" spans="1:15" ht="20.100000000000001" customHeight="1" x14ac:dyDescent="0.25">
      <c r="A7" s="36">
        <v>4</v>
      </c>
      <c r="B7" s="46" t="s">
        <v>197</v>
      </c>
      <c r="C7" s="46">
        <v>22</v>
      </c>
      <c r="D7" s="56">
        <v>245.2</v>
      </c>
      <c r="E7" s="120" t="s">
        <v>503</v>
      </c>
      <c r="F7" s="37" t="s">
        <v>159</v>
      </c>
      <c r="G7" s="37" t="s">
        <v>159</v>
      </c>
      <c r="H7" s="37" t="s">
        <v>159</v>
      </c>
      <c r="I7" s="46">
        <v>7</v>
      </c>
      <c r="J7" s="46">
        <v>7</v>
      </c>
      <c r="K7" s="46">
        <v>15</v>
      </c>
      <c r="L7" s="116" t="s">
        <v>159</v>
      </c>
      <c r="M7" s="37" t="s">
        <v>159</v>
      </c>
      <c r="N7" s="38"/>
      <c r="O7" s="42"/>
    </row>
    <row r="8" spans="1:15" ht="20.100000000000001" customHeight="1" x14ac:dyDescent="0.25">
      <c r="A8" s="36">
        <v>5</v>
      </c>
      <c r="B8" s="46" t="s">
        <v>199</v>
      </c>
      <c r="C8" s="46">
        <v>17</v>
      </c>
      <c r="D8" s="56">
        <v>-456.8</v>
      </c>
      <c r="E8" s="120" t="s">
        <v>511</v>
      </c>
      <c r="F8" s="37" t="s">
        <v>159</v>
      </c>
      <c r="G8" s="37" t="s">
        <v>159</v>
      </c>
      <c r="H8" s="37" t="s">
        <v>159</v>
      </c>
      <c r="I8" s="46">
        <v>0</v>
      </c>
      <c r="J8" s="46">
        <v>0</v>
      </c>
      <c r="K8" s="46">
        <v>1</v>
      </c>
      <c r="L8" s="116" t="s">
        <v>159</v>
      </c>
      <c r="M8" s="37" t="s">
        <v>159</v>
      </c>
      <c r="N8" s="38"/>
      <c r="O8" s="42"/>
    </row>
    <row r="9" spans="1:15" x14ac:dyDescent="0.25">
      <c r="A9" s="36">
        <v>6</v>
      </c>
      <c r="B9" s="46" t="s">
        <v>499</v>
      </c>
      <c r="C9" s="56">
        <v>17</v>
      </c>
      <c r="D9" s="63">
        <v>0</v>
      </c>
      <c r="E9" s="120" t="s">
        <v>511</v>
      </c>
      <c r="F9" s="37" t="s">
        <v>159</v>
      </c>
      <c r="G9" s="37" t="s">
        <v>159</v>
      </c>
      <c r="H9" s="37" t="s">
        <v>159</v>
      </c>
      <c r="I9" s="46">
        <v>0</v>
      </c>
      <c r="J9" s="46">
        <v>0</v>
      </c>
      <c r="K9" s="46">
        <v>2</v>
      </c>
      <c r="L9" s="50" t="s">
        <v>159</v>
      </c>
      <c r="M9" s="37"/>
      <c r="N9" s="38"/>
      <c r="O9" s="42"/>
    </row>
    <row r="10" spans="1:15" x14ac:dyDescent="0.25">
      <c r="A10" s="36">
        <v>7</v>
      </c>
      <c r="B10" s="46" t="s">
        <v>500</v>
      </c>
      <c r="C10" s="56">
        <v>22</v>
      </c>
      <c r="D10" s="46">
        <v>-7</v>
      </c>
      <c r="E10" s="120" t="s">
        <v>503</v>
      </c>
      <c r="F10" s="37" t="s">
        <v>159</v>
      </c>
      <c r="G10" s="37" t="s">
        <v>159</v>
      </c>
      <c r="H10" s="37" t="s">
        <v>159</v>
      </c>
      <c r="I10" s="46">
        <v>0</v>
      </c>
      <c r="J10" s="46">
        <v>0</v>
      </c>
      <c r="K10" s="46">
        <v>1</v>
      </c>
      <c r="L10" s="50" t="s">
        <v>159</v>
      </c>
      <c r="M10" s="37"/>
      <c r="N10" s="38"/>
      <c r="O10" s="42"/>
    </row>
    <row r="11" spans="1:15" x14ac:dyDescent="0.25">
      <c r="A11" s="36">
        <v>8</v>
      </c>
      <c r="B11" s="46" t="s">
        <v>161</v>
      </c>
      <c r="C11" s="56">
        <v>17</v>
      </c>
      <c r="D11" s="56">
        <v>-792</v>
      </c>
      <c r="E11" s="56" t="s">
        <v>511</v>
      </c>
      <c r="F11" s="37" t="s">
        <v>159</v>
      </c>
      <c r="G11" s="37" t="s">
        <v>159</v>
      </c>
      <c r="H11" s="37" t="s">
        <v>159</v>
      </c>
      <c r="I11" s="46">
        <v>0</v>
      </c>
      <c r="J11" s="46">
        <v>0</v>
      </c>
      <c r="K11" s="46">
        <v>1</v>
      </c>
      <c r="L11" s="50" t="s">
        <v>159</v>
      </c>
      <c r="M11" s="37"/>
      <c r="N11" s="38"/>
      <c r="O11" s="42"/>
    </row>
    <row r="12" spans="1:15" ht="15.75" thickBot="1" x14ac:dyDescent="0.3">
      <c r="A12" s="39">
        <v>9</v>
      </c>
      <c r="B12" s="47" t="s">
        <v>162</v>
      </c>
      <c r="C12" s="57">
        <v>22</v>
      </c>
      <c r="D12" s="57">
        <v>360</v>
      </c>
      <c r="E12" s="128" t="s">
        <v>506</v>
      </c>
      <c r="F12" s="40" t="s">
        <v>159</v>
      </c>
      <c r="G12" s="40" t="s">
        <v>159</v>
      </c>
      <c r="H12" s="40" t="s">
        <v>159</v>
      </c>
      <c r="I12" s="47">
        <v>0</v>
      </c>
      <c r="J12" s="47">
        <v>10</v>
      </c>
      <c r="K12" s="47">
        <v>21</v>
      </c>
      <c r="L12" s="51" t="s">
        <v>159</v>
      </c>
      <c r="M12" s="40"/>
      <c r="N12" s="41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5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</row>
    <row r="17" spans="1:1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</row>
    <row r="18" spans="1:14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</row>
    <row r="19" spans="1:14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</row>
    <row r="20" spans="1:14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</row>
    <row r="21" spans="1:14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</row>
    <row r="22" spans="1:14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</row>
  </sheetData>
  <mergeCells count="2">
    <mergeCell ref="A1:B1"/>
    <mergeCell ref="A2:B2"/>
  </mergeCells>
  <hyperlinks>
    <hyperlink ref="A1" location="'VernierLookup'!A1" display="'VernierLookup'!A1"/>
  </hyperlink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O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.140625" bestFit="1" customWidth="1"/>
    <col min="3" max="3" width="7.28515625" bestFit="1" customWidth="1"/>
    <col min="4" max="4" width="6" bestFit="1" customWidth="1"/>
    <col min="5" max="5" width="255.7109375" bestFit="1" customWidth="1"/>
    <col min="6" max="8" width="3.28515625" bestFit="1" customWidth="1"/>
    <col min="9" max="11" width="7.28515625" bestFit="1" customWidth="1"/>
    <col min="12" max="12" width="4.140625" bestFit="1" customWidth="1"/>
    <col min="13" max="13" width="12.42578125" bestFit="1" customWidth="1"/>
    <col min="14" max="15" width="10.5703125" bestFit="1" customWidth="1"/>
  </cols>
  <sheetData>
    <row r="1" spans="1:15" x14ac:dyDescent="0.25">
      <c r="A1" s="279" t="s">
        <v>62</v>
      </c>
      <c r="B1" s="280"/>
      <c r="C1" s="45" t="s">
        <v>160</v>
      </c>
      <c r="D1" s="58" t="s">
        <v>159</v>
      </c>
      <c r="E1" s="58"/>
      <c r="F1" s="58"/>
      <c r="G1" s="45"/>
      <c r="H1" s="45"/>
      <c r="I1" s="45"/>
      <c r="J1" s="45"/>
      <c r="K1" s="45"/>
      <c r="L1" s="45"/>
      <c r="M1" s="43"/>
      <c r="N1" s="44"/>
      <c r="O1" s="112"/>
    </row>
    <row r="2" spans="1:15" ht="60" customHeight="1" x14ac:dyDescent="0.25">
      <c r="A2" s="281" t="s">
        <v>193</v>
      </c>
      <c r="B2" s="282"/>
      <c r="C2" s="48" t="s">
        <v>169</v>
      </c>
      <c r="D2" s="48" t="s">
        <v>169</v>
      </c>
      <c r="E2" s="48" t="s">
        <v>150</v>
      </c>
      <c r="F2" s="49" t="s">
        <v>151</v>
      </c>
      <c r="G2" s="49" t="s">
        <v>151</v>
      </c>
      <c r="H2" s="49" t="s">
        <v>151</v>
      </c>
      <c r="I2" s="61" t="s">
        <v>153</v>
      </c>
      <c r="J2" s="61" t="s">
        <v>153</v>
      </c>
      <c r="K2" s="61" t="s">
        <v>153</v>
      </c>
      <c r="L2" s="118" t="s">
        <v>21</v>
      </c>
      <c r="M2" s="29" t="s">
        <v>156</v>
      </c>
      <c r="N2" s="30" t="s">
        <v>158</v>
      </c>
      <c r="O2" s="113" t="s">
        <v>158</v>
      </c>
    </row>
    <row r="3" spans="1:15" ht="102.75" x14ac:dyDescent="0.25">
      <c r="A3" s="31" t="s">
        <v>148</v>
      </c>
      <c r="B3" s="32" t="s">
        <v>149</v>
      </c>
      <c r="C3" s="59" t="s">
        <v>477</v>
      </c>
      <c r="D3" s="59" t="s">
        <v>112</v>
      </c>
      <c r="E3" s="33" t="s">
        <v>502</v>
      </c>
      <c r="F3" s="34" t="s">
        <v>126</v>
      </c>
      <c r="G3" s="34" t="s">
        <v>128</v>
      </c>
      <c r="H3" s="34" t="s">
        <v>137</v>
      </c>
      <c r="I3" s="35" t="s">
        <v>126</v>
      </c>
      <c r="J3" s="35" t="s">
        <v>128</v>
      </c>
      <c r="K3" s="35" t="s">
        <v>137</v>
      </c>
      <c r="L3" s="111" t="s">
        <v>155</v>
      </c>
      <c r="M3" s="29" t="s">
        <v>157</v>
      </c>
      <c r="N3" s="30"/>
      <c r="O3" s="113"/>
    </row>
    <row r="4" spans="1:15" ht="20.100000000000001" customHeight="1" x14ac:dyDescent="0.25">
      <c r="A4" s="36">
        <v>1</v>
      </c>
      <c r="B4" s="46" t="s">
        <v>198</v>
      </c>
      <c r="C4" s="46">
        <v>17</v>
      </c>
      <c r="D4" s="62">
        <v>-792</v>
      </c>
      <c r="E4" s="120" t="s">
        <v>504</v>
      </c>
      <c r="F4" s="46" t="s">
        <v>159</v>
      </c>
      <c r="G4" s="46" t="s">
        <v>159</v>
      </c>
      <c r="H4" s="46" t="s">
        <v>159</v>
      </c>
      <c r="I4" s="46">
        <v>0</v>
      </c>
      <c r="J4" s="46">
        <v>0</v>
      </c>
      <c r="K4" s="46">
        <v>1</v>
      </c>
      <c r="L4" s="116" t="s">
        <v>159</v>
      </c>
      <c r="M4" s="37" t="s">
        <v>159</v>
      </c>
      <c r="N4" s="38"/>
      <c r="O4" s="114"/>
    </row>
    <row r="5" spans="1:15" ht="20.100000000000001" customHeight="1" x14ac:dyDescent="0.25">
      <c r="A5" s="36">
        <v>2</v>
      </c>
      <c r="B5" s="69" t="s">
        <v>201</v>
      </c>
      <c r="C5" s="46">
        <v>22</v>
      </c>
      <c r="D5" s="62">
        <v>360</v>
      </c>
      <c r="E5" s="46" t="s">
        <v>503</v>
      </c>
      <c r="F5" s="37" t="s">
        <v>159</v>
      </c>
      <c r="G5" s="37" t="s">
        <v>159</v>
      </c>
      <c r="H5" s="37" t="s">
        <v>159</v>
      </c>
      <c r="I5" s="46">
        <v>0</v>
      </c>
      <c r="J5" s="46">
        <v>10</v>
      </c>
      <c r="K5" s="46">
        <v>21</v>
      </c>
      <c r="L5" s="116" t="s">
        <v>159</v>
      </c>
      <c r="M5" s="37" t="s">
        <v>159</v>
      </c>
      <c r="N5" s="38"/>
      <c r="O5" s="114"/>
    </row>
    <row r="6" spans="1:15" ht="20.100000000000001" customHeight="1" x14ac:dyDescent="0.25">
      <c r="A6" s="36">
        <v>3</v>
      </c>
      <c r="B6" s="69" t="s">
        <v>202</v>
      </c>
      <c r="C6" s="46">
        <v>17</v>
      </c>
      <c r="D6" s="62">
        <v>0</v>
      </c>
      <c r="E6" s="120" t="s">
        <v>504</v>
      </c>
      <c r="F6" s="46" t="s">
        <v>159</v>
      </c>
      <c r="G6" s="46" t="s">
        <v>159</v>
      </c>
      <c r="H6" s="46" t="s">
        <v>159</v>
      </c>
      <c r="I6" s="46">
        <v>0</v>
      </c>
      <c r="J6" s="46">
        <v>0</v>
      </c>
      <c r="K6" s="46">
        <v>2</v>
      </c>
      <c r="L6" s="116" t="s">
        <v>159</v>
      </c>
      <c r="M6" s="37" t="s">
        <v>159</v>
      </c>
      <c r="N6" s="38"/>
      <c r="O6" s="114"/>
    </row>
    <row r="7" spans="1:15" ht="20.100000000000001" customHeight="1" thickBot="1" x14ac:dyDescent="0.3">
      <c r="A7" s="39">
        <v>4</v>
      </c>
      <c r="B7" s="47" t="s">
        <v>203</v>
      </c>
      <c r="C7" s="47">
        <v>22</v>
      </c>
      <c r="D7" s="65">
        <v>245.2</v>
      </c>
      <c r="E7" s="47" t="s">
        <v>503</v>
      </c>
      <c r="F7" s="40" t="s">
        <v>159</v>
      </c>
      <c r="G7" s="40" t="s">
        <v>159</v>
      </c>
      <c r="H7" s="40" t="s">
        <v>159</v>
      </c>
      <c r="I7" s="47">
        <v>7</v>
      </c>
      <c r="J7" s="47">
        <v>7</v>
      </c>
      <c r="K7" s="47">
        <v>15</v>
      </c>
      <c r="L7" s="117" t="s">
        <v>159</v>
      </c>
      <c r="M7" s="40" t="s">
        <v>159</v>
      </c>
      <c r="N7" s="41"/>
      <c r="O7" s="115"/>
    </row>
    <row r="8" spans="1: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1: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1: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  <row r="16" spans="1:15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</row>
    <row r="17" spans="1:15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</row>
  </sheetData>
  <sheetProtection sheet="1" objects="1" scenarios="1"/>
  <mergeCells count="2">
    <mergeCell ref="A1:B1"/>
    <mergeCell ref="A2:B2"/>
  </mergeCells>
  <hyperlinks>
    <hyperlink ref="A1" location="'VernierLookup'!A1" display="'VernierLookup'!A1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1"/>
      <c r="D15" s="272" t="s">
        <v>42</v>
      </c>
      <c r="E15" s="273"/>
      <c r="F15" s="227" t="s">
        <v>43</v>
      </c>
    </row>
    <row r="16" spans="1:6" x14ac:dyDescent="0.25">
      <c r="A16" s="229" t="s">
        <v>44</v>
      </c>
      <c r="B16" s="230" t="s">
        <v>45</v>
      </c>
      <c r="C16" s="231" t="s">
        <v>46</v>
      </c>
      <c r="D16" s="233" t="s">
        <v>47</v>
      </c>
      <c r="E16" s="232" t="s">
        <v>48</v>
      </c>
      <c r="F16" s="14" t="s">
        <v>44</v>
      </c>
    </row>
    <row r="17" spans="1:6" x14ac:dyDescent="0.25">
      <c r="A17" s="52" t="s">
        <v>242</v>
      </c>
      <c r="B17" s="15" t="s">
        <v>718</v>
      </c>
      <c r="C17" s="16">
        <v>82</v>
      </c>
      <c r="D17" s="221" t="s">
        <v>245</v>
      </c>
      <c r="E17" s="225" t="s">
        <v>243</v>
      </c>
      <c r="F17" s="19" t="s">
        <v>53</v>
      </c>
    </row>
    <row r="18" spans="1:6" x14ac:dyDescent="0.25">
      <c r="A18" s="52" t="s">
        <v>242</v>
      </c>
      <c r="B18" s="15" t="s">
        <v>193</v>
      </c>
      <c r="C18" s="16">
        <v>8</v>
      </c>
      <c r="D18" s="221" t="s">
        <v>246</v>
      </c>
      <c r="E18" s="225" t="s">
        <v>253</v>
      </c>
      <c r="F18" s="19" t="s">
        <v>54</v>
      </c>
    </row>
    <row r="19" spans="1:6" x14ac:dyDescent="0.25">
      <c r="A19" s="52" t="s">
        <v>242</v>
      </c>
      <c r="B19" s="15" t="s">
        <v>99</v>
      </c>
      <c r="C19" s="16">
        <v>2</v>
      </c>
      <c r="D19" s="221" t="s">
        <v>247</v>
      </c>
      <c r="E19" s="225" t="s">
        <v>383</v>
      </c>
      <c r="F19" s="19" t="s">
        <v>55</v>
      </c>
    </row>
    <row r="20" spans="1:6" x14ac:dyDescent="0.25">
      <c r="A20" s="76"/>
      <c r="B20" s="15"/>
      <c r="C20" s="16"/>
      <c r="D20" s="221" t="s">
        <v>243</v>
      </c>
      <c r="E20" s="225" t="s">
        <v>385</v>
      </c>
      <c r="F20" s="226" t="s">
        <v>268</v>
      </c>
    </row>
    <row r="21" spans="1:6" x14ac:dyDescent="0.25">
      <c r="A21" s="76"/>
      <c r="B21" s="15"/>
      <c r="C21" s="16"/>
      <c r="D21" s="221" t="s">
        <v>383</v>
      </c>
      <c r="E21" s="225" t="s">
        <v>209</v>
      </c>
      <c r="F21" s="226" t="s">
        <v>244</v>
      </c>
    </row>
    <row r="22" spans="1:6" x14ac:dyDescent="0.25">
      <c r="A22" s="15"/>
      <c r="B22" s="15"/>
      <c r="C22" s="16"/>
      <c r="D22" s="221" t="s">
        <v>385</v>
      </c>
      <c r="E22" s="225" t="s">
        <v>124</v>
      </c>
      <c r="F22" s="226" t="s">
        <v>425</v>
      </c>
    </row>
    <row r="23" spans="1:6" x14ac:dyDescent="0.25">
      <c r="A23" s="15"/>
      <c r="B23" s="15"/>
      <c r="C23" s="16"/>
      <c r="D23" s="221" t="s">
        <v>296</v>
      </c>
      <c r="E23" s="225" t="s">
        <v>125</v>
      </c>
      <c r="F23" s="226" t="s">
        <v>575</v>
      </c>
    </row>
    <row r="24" spans="1:6" x14ac:dyDescent="0.25">
      <c r="A24" s="15"/>
      <c r="B24" s="15"/>
      <c r="C24" s="16"/>
      <c r="D24" s="221" t="s">
        <v>325</v>
      </c>
      <c r="E24" s="225" t="s">
        <v>252</v>
      </c>
      <c r="F24" s="19" t="s">
        <v>572</v>
      </c>
    </row>
    <row r="25" spans="1:6" x14ac:dyDescent="0.25">
      <c r="A25" s="15"/>
      <c r="B25" s="15"/>
      <c r="C25" s="16"/>
      <c r="D25" s="221" t="s">
        <v>95</v>
      </c>
      <c r="E25" s="225" t="s">
        <v>325</v>
      </c>
      <c r="F25" s="19"/>
    </row>
    <row r="26" spans="1:6" x14ac:dyDescent="0.25">
      <c r="A26" s="15"/>
      <c r="B26" s="15"/>
      <c r="C26" s="16"/>
      <c r="D26" s="221" t="s">
        <v>253</v>
      </c>
      <c r="E26" s="225" t="s">
        <v>285</v>
      </c>
      <c r="F26" s="19"/>
    </row>
    <row r="27" spans="1:6" x14ac:dyDescent="0.25">
      <c r="A27" s="15"/>
      <c r="B27" s="15"/>
      <c r="C27" s="16"/>
      <c r="D27" s="221" t="s">
        <v>350</v>
      </c>
      <c r="E27" s="225" t="s">
        <v>286</v>
      </c>
      <c r="F27" s="19"/>
    </row>
    <row r="28" spans="1:6" x14ac:dyDescent="0.25">
      <c r="A28" s="15"/>
      <c r="B28" s="15"/>
      <c r="C28" s="16"/>
      <c r="D28" s="221" t="s">
        <v>351</v>
      </c>
      <c r="E28" s="225" t="s">
        <v>350</v>
      </c>
      <c r="F28" s="19"/>
    </row>
    <row r="29" spans="1:6" x14ac:dyDescent="0.25">
      <c r="A29" s="15"/>
      <c r="B29" s="15"/>
      <c r="C29" s="16"/>
      <c r="D29" s="221" t="s">
        <v>252</v>
      </c>
      <c r="E29" s="225" t="s">
        <v>351</v>
      </c>
      <c r="F29" s="19"/>
    </row>
    <row r="30" spans="1:6" x14ac:dyDescent="0.25">
      <c r="A30" s="15"/>
      <c r="B30" s="15"/>
      <c r="C30" s="16"/>
      <c r="D30" s="221" t="s">
        <v>564</v>
      </c>
      <c r="E30" s="225" t="s">
        <v>564</v>
      </c>
      <c r="F30" s="19"/>
    </row>
    <row r="31" spans="1:6" x14ac:dyDescent="0.25">
      <c r="A31" s="15"/>
      <c r="B31" s="15"/>
      <c r="C31" s="16"/>
      <c r="D31" s="221" t="s">
        <v>423</v>
      </c>
      <c r="E31" s="225" t="s">
        <v>423</v>
      </c>
      <c r="F31" s="19"/>
    </row>
    <row r="32" spans="1:6" x14ac:dyDescent="0.25">
      <c r="A32" s="15"/>
      <c r="B32" s="15"/>
      <c r="C32" s="16"/>
      <c r="D32" s="221" t="s">
        <v>563</v>
      </c>
      <c r="E32" s="225" t="s">
        <v>563</v>
      </c>
      <c r="F32" s="19"/>
    </row>
    <row r="33" spans="1:6" x14ac:dyDescent="0.25">
      <c r="A33" s="15"/>
      <c r="B33" s="15"/>
      <c r="C33" s="16"/>
      <c r="D33" s="221" t="s">
        <v>576</v>
      </c>
      <c r="E33" s="225" t="s">
        <v>576</v>
      </c>
      <c r="F33" s="19"/>
    </row>
    <row r="34" spans="1:6" x14ac:dyDescent="0.25">
      <c r="A34" s="15"/>
      <c r="B34" s="15"/>
      <c r="C34" s="16"/>
      <c r="D34" s="221" t="s">
        <v>574</v>
      </c>
      <c r="E34" s="225" t="s">
        <v>574</v>
      </c>
      <c r="F34" s="19"/>
    </row>
    <row r="35" spans="1:6" x14ac:dyDescent="0.25">
      <c r="A35" s="15"/>
      <c r="B35" s="15"/>
      <c r="C35" s="16"/>
      <c r="D35" s="221" t="s">
        <v>571</v>
      </c>
      <c r="E35" s="225" t="s">
        <v>571</v>
      </c>
      <c r="F35" s="19"/>
    </row>
    <row r="36" spans="1:6" x14ac:dyDescent="0.25">
      <c r="A36" s="15"/>
      <c r="B36" s="15"/>
      <c r="C36" s="16"/>
      <c r="D36" s="221" t="s">
        <v>570</v>
      </c>
      <c r="E36" s="225" t="s">
        <v>603</v>
      </c>
      <c r="F36" s="19"/>
    </row>
    <row r="37" spans="1:6" x14ac:dyDescent="0.25">
      <c r="A37" s="15"/>
      <c r="B37" s="15"/>
      <c r="C37" s="16"/>
      <c r="D37" s="221" t="s">
        <v>285</v>
      </c>
      <c r="E37" s="225" t="s">
        <v>604</v>
      </c>
      <c r="F37" s="19"/>
    </row>
    <row r="38" spans="1:6" x14ac:dyDescent="0.25">
      <c r="A38" s="15"/>
      <c r="B38" s="15"/>
      <c r="C38" s="16"/>
      <c r="D38" s="221" t="s">
        <v>286</v>
      </c>
      <c r="E38" s="225" t="s">
        <v>605</v>
      </c>
      <c r="F38" s="19"/>
    </row>
    <row r="39" spans="1:6" x14ac:dyDescent="0.25">
      <c r="A39" s="15"/>
      <c r="B39" s="15"/>
      <c r="C39" s="16"/>
      <c r="D39" s="221" t="s">
        <v>297</v>
      </c>
      <c r="E39" s="225" t="s">
        <v>606</v>
      </c>
      <c r="F39" s="19"/>
    </row>
    <row r="40" spans="1:6" x14ac:dyDescent="0.25">
      <c r="A40" s="15"/>
      <c r="B40" s="15"/>
      <c r="C40" s="16"/>
      <c r="D40" s="221" t="s">
        <v>326</v>
      </c>
      <c r="E40" s="225" t="s">
        <v>566</v>
      </c>
      <c r="F40" s="19"/>
    </row>
    <row r="41" spans="1:6" x14ac:dyDescent="0.25">
      <c r="A41" s="15"/>
      <c r="B41" s="15"/>
      <c r="C41" s="16"/>
      <c r="D41" s="221" t="s">
        <v>605</v>
      </c>
      <c r="E41" s="225" t="s">
        <v>567</v>
      </c>
      <c r="F41" s="19"/>
    </row>
    <row r="42" spans="1:6" x14ac:dyDescent="0.25">
      <c r="A42" s="15"/>
      <c r="B42" s="15"/>
      <c r="C42" s="16"/>
      <c r="D42" s="221" t="s">
        <v>606</v>
      </c>
      <c r="E42" s="225" t="s">
        <v>565</v>
      </c>
      <c r="F42" s="19"/>
    </row>
    <row r="43" spans="1:6" x14ac:dyDescent="0.25">
      <c r="A43" s="15"/>
      <c r="B43" s="15"/>
      <c r="C43" s="16"/>
      <c r="D43" s="221"/>
      <c r="E43" s="225" t="s">
        <v>326</v>
      </c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89"/>
      <c r="E151" s="18"/>
      <c r="F151" s="19"/>
    </row>
    <row r="152" spans="1:6" x14ac:dyDescent="0.25">
      <c r="A152" s="15"/>
      <c r="B152" s="15"/>
      <c r="C152" s="16"/>
      <c r="D152" s="89"/>
      <c r="E152" s="18"/>
      <c r="F152" s="19"/>
    </row>
    <row r="153" spans="1:6" x14ac:dyDescent="0.25">
      <c r="A153" s="15"/>
      <c r="B153" s="15"/>
      <c r="C153" s="16"/>
      <c r="D153" s="89"/>
      <c r="E153" s="18"/>
      <c r="F153" s="19"/>
    </row>
    <row r="154" spans="1:6" x14ac:dyDescent="0.25">
      <c r="A154" s="15"/>
      <c r="B154" s="15"/>
      <c r="C154" s="16"/>
      <c r="D154" s="89"/>
      <c r="E154" s="90"/>
      <c r="F154" s="19"/>
    </row>
    <row r="155" spans="1:6" x14ac:dyDescent="0.25">
      <c r="A155" s="15"/>
      <c r="B155" s="15"/>
      <c r="C155" s="16"/>
      <c r="D155" s="89"/>
      <c r="E155" s="90"/>
      <c r="F155" s="19"/>
    </row>
    <row r="156" spans="1:6" x14ac:dyDescent="0.25">
      <c r="A156" s="15"/>
      <c r="B156" s="15"/>
      <c r="C156" s="16"/>
      <c r="D156" s="89"/>
      <c r="E156" s="90"/>
      <c r="F156" s="19"/>
    </row>
    <row r="157" spans="1:6" x14ac:dyDescent="0.25">
      <c r="A157" s="15"/>
      <c r="B157" s="15"/>
      <c r="C157" s="16"/>
      <c r="D157" s="89"/>
      <c r="E157" s="90"/>
      <c r="F157" s="19"/>
    </row>
    <row r="158" spans="1:6" x14ac:dyDescent="0.25">
      <c r="A158" s="15"/>
      <c r="B158" s="15"/>
      <c r="C158" s="16"/>
      <c r="D158" s="89"/>
      <c r="E158" s="90"/>
      <c r="F158" s="19"/>
    </row>
    <row r="159" spans="1:6" x14ac:dyDescent="0.25">
      <c r="A159" s="15"/>
      <c r="B159" s="15"/>
      <c r="C159" s="16"/>
      <c r="D159" s="89"/>
      <c r="E159" s="90"/>
      <c r="F159" s="19"/>
    </row>
    <row r="160" spans="1:6" x14ac:dyDescent="0.25">
      <c r="A160" s="15"/>
      <c r="B160" s="15"/>
      <c r="C160" s="16"/>
      <c r="D160" s="89"/>
      <c r="E160" s="90"/>
      <c r="F160" s="19"/>
    </row>
    <row r="161" spans="1:6" x14ac:dyDescent="0.25">
      <c r="A161" s="15"/>
      <c r="B161" s="15"/>
      <c r="C161" s="16"/>
      <c r="D161" s="91"/>
      <c r="E161" s="90"/>
      <c r="F161" s="19"/>
    </row>
    <row r="162" spans="1:6" x14ac:dyDescent="0.25">
      <c r="A162" s="15"/>
      <c r="B162" s="15"/>
      <c r="C162" s="16"/>
      <c r="D162" s="91"/>
      <c r="E162" s="90"/>
      <c r="F162" s="19"/>
    </row>
    <row r="163" spans="1:6" x14ac:dyDescent="0.25">
      <c r="A163" s="15"/>
      <c r="B163" s="15"/>
      <c r="C163" s="16"/>
      <c r="D163" s="91"/>
      <c r="E163" s="90"/>
      <c r="F163" s="19"/>
    </row>
    <row r="164" spans="1:6" x14ac:dyDescent="0.25">
      <c r="A164" s="15"/>
      <c r="B164" s="15"/>
      <c r="C164" s="16"/>
      <c r="D164" s="91"/>
      <c r="E164" s="92"/>
      <c r="F164" s="19"/>
    </row>
    <row r="165" spans="1:6" x14ac:dyDescent="0.25">
      <c r="A165" s="15"/>
      <c r="B165" s="15"/>
      <c r="C165" s="16"/>
      <c r="D165" s="91"/>
      <c r="E165" s="92"/>
      <c r="F165" s="19"/>
    </row>
    <row r="166" spans="1:6" x14ac:dyDescent="0.25">
      <c r="A166" s="15"/>
      <c r="B166" s="15"/>
      <c r="C166" s="16"/>
      <c r="D166" s="91"/>
      <c r="E166" s="92"/>
      <c r="F166" s="93"/>
    </row>
    <row r="167" spans="1:6" x14ac:dyDescent="0.25">
      <c r="A167" s="15"/>
      <c r="B167" s="15"/>
      <c r="C167" s="16"/>
      <c r="D167" s="91"/>
      <c r="E167" s="92"/>
      <c r="F167" s="93"/>
    </row>
    <row r="168" spans="1:6" x14ac:dyDescent="0.25">
      <c r="A168" s="85"/>
      <c r="B168" s="85"/>
      <c r="C168" s="87"/>
      <c r="D168" s="91"/>
      <c r="E168" s="92"/>
      <c r="F168" s="93"/>
    </row>
    <row r="169" spans="1:6" x14ac:dyDescent="0.25">
      <c r="A169" s="85"/>
      <c r="B169" s="85"/>
      <c r="C169" s="87"/>
      <c r="D169" s="91"/>
      <c r="E169" s="92"/>
      <c r="F169" s="93"/>
    </row>
    <row r="170" spans="1:6" x14ac:dyDescent="0.25">
      <c r="A170" s="85"/>
      <c r="B170" s="85"/>
      <c r="C170" s="87"/>
      <c r="D170" s="91"/>
      <c r="E170" s="92"/>
      <c r="F170" s="93"/>
    </row>
    <row r="171" spans="1:6" x14ac:dyDescent="0.25">
      <c r="A171" s="85"/>
      <c r="B171" s="85"/>
      <c r="C171" s="87"/>
      <c r="D171" s="91"/>
      <c r="E171" s="92"/>
      <c r="F171" s="93"/>
    </row>
    <row r="172" spans="1:6" x14ac:dyDescent="0.25">
      <c r="A172" s="85"/>
      <c r="B172" s="85"/>
      <c r="C172" s="87"/>
      <c r="D172" s="91"/>
      <c r="E172" s="92"/>
      <c r="F172" s="93"/>
    </row>
    <row r="173" spans="1:6" x14ac:dyDescent="0.25">
      <c r="A173" s="85"/>
      <c r="B173" s="85"/>
      <c r="C173" s="87"/>
      <c r="D173" s="91"/>
      <c r="E173" s="92"/>
      <c r="F173" s="93"/>
    </row>
    <row r="174" spans="1:6" x14ac:dyDescent="0.25">
      <c r="A174" s="85"/>
      <c r="B174" s="85"/>
      <c r="C174" s="87"/>
      <c r="D174" s="91"/>
      <c r="E174" s="92"/>
      <c r="F174" s="93"/>
    </row>
    <row r="175" spans="1:6" x14ac:dyDescent="0.25">
      <c r="A175" s="85"/>
      <c r="B175" s="85"/>
      <c r="C175" s="87"/>
      <c r="D175" s="91"/>
      <c r="E175" s="92"/>
      <c r="F175" s="93"/>
    </row>
    <row r="176" spans="1:6" x14ac:dyDescent="0.25">
      <c r="A176" s="85"/>
      <c r="B176" s="85"/>
      <c r="C176" s="87"/>
      <c r="D176" s="91"/>
      <c r="E176" s="92"/>
      <c r="F176" s="94"/>
    </row>
    <row r="177" spans="1:6" x14ac:dyDescent="0.25">
      <c r="A177" s="85"/>
      <c r="B177" s="85"/>
      <c r="C177" s="87"/>
      <c r="D177" s="91"/>
      <c r="E177" s="92"/>
      <c r="F177" s="94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89"/>
      <c r="E301" s="92"/>
      <c r="F301" s="94"/>
    </row>
    <row r="302" spans="1:6" x14ac:dyDescent="0.25">
      <c r="A302" s="86"/>
      <c r="B302" s="86"/>
      <c r="C302" s="88"/>
      <c r="D302" s="89"/>
      <c r="E302" s="92"/>
      <c r="F302" s="94"/>
    </row>
    <row r="303" spans="1:6" x14ac:dyDescent="0.25">
      <c r="A303" s="86"/>
      <c r="B303" s="86"/>
      <c r="C303" s="88"/>
      <c r="D303" s="89"/>
      <c r="E303" s="92"/>
      <c r="F303" s="94"/>
    </row>
    <row r="304" spans="1:6" x14ac:dyDescent="0.25">
      <c r="A304" s="86"/>
      <c r="B304" s="86"/>
      <c r="C304" s="88"/>
      <c r="D304" s="89"/>
      <c r="E304" s="90"/>
      <c r="F304" s="94"/>
    </row>
    <row r="305" spans="1:6" x14ac:dyDescent="0.25">
      <c r="A305" s="86"/>
      <c r="B305" s="86"/>
      <c r="C305" s="88"/>
      <c r="D305" s="89"/>
      <c r="E305" s="90"/>
      <c r="F305" s="94"/>
    </row>
    <row r="306" spans="1:6" x14ac:dyDescent="0.25">
      <c r="A306" s="86"/>
      <c r="B306" s="86"/>
      <c r="C306" s="88"/>
      <c r="D306" s="89"/>
      <c r="E306" s="90"/>
      <c r="F306" s="94"/>
    </row>
    <row r="307" spans="1:6" x14ac:dyDescent="0.25">
      <c r="A307" s="86"/>
      <c r="B307" s="86"/>
      <c r="C307" s="88"/>
      <c r="D307" s="89"/>
      <c r="E307" s="90"/>
      <c r="F307" s="94"/>
    </row>
    <row r="308" spans="1:6" x14ac:dyDescent="0.25">
      <c r="A308" s="86"/>
      <c r="B308" s="86"/>
      <c r="C308" s="88"/>
      <c r="D308" s="89"/>
      <c r="E308" s="90"/>
      <c r="F308" s="94"/>
    </row>
    <row r="309" spans="1:6" x14ac:dyDescent="0.25">
      <c r="A309" s="86"/>
      <c r="B309" s="86"/>
      <c r="C309" s="88"/>
      <c r="D309" s="89"/>
      <c r="E309" s="90"/>
      <c r="F309" s="94"/>
    </row>
    <row r="310" spans="1:6" x14ac:dyDescent="0.25">
      <c r="A310" s="86"/>
      <c r="B310" s="86"/>
      <c r="C310" s="88"/>
      <c r="D310" s="89"/>
      <c r="E310" s="90"/>
      <c r="F310" s="94"/>
    </row>
    <row r="311" spans="1:6" x14ac:dyDescent="0.25">
      <c r="A311" s="86"/>
      <c r="B311" s="86"/>
      <c r="C311" s="88"/>
      <c r="D311" s="91"/>
      <c r="E311" s="90"/>
      <c r="F311" s="94"/>
    </row>
    <row r="312" spans="1:6" x14ac:dyDescent="0.25">
      <c r="A312" s="86"/>
      <c r="B312" s="86"/>
      <c r="C312" s="88"/>
      <c r="D312" s="91"/>
      <c r="E312" s="90"/>
      <c r="F312" s="94"/>
    </row>
    <row r="313" spans="1:6" x14ac:dyDescent="0.25">
      <c r="A313" s="86"/>
      <c r="B313" s="86"/>
      <c r="C313" s="88"/>
      <c r="D313" s="91"/>
      <c r="E313" s="90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3"/>
    </row>
    <row r="317" spans="1:6" x14ac:dyDescent="0.25">
      <c r="A317" s="86"/>
      <c r="B317" s="86"/>
      <c r="C317" s="88"/>
      <c r="D317" s="91"/>
      <c r="E317" s="92"/>
      <c r="F317" s="93"/>
    </row>
    <row r="318" spans="1:6" x14ac:dyDescent="0.25">
      <c r="A318" s="85"/>
      <c r="B318" s="85"/>
      <c r="C318" s="87"/>
      <c r="D318" s="91"/>
      <c r="E318" s="92"/>
      <c r="F318" s="93"/>
    </row>
    <row r="319" spans="1:6" x14ac:dyDescent="0.25">
      <c r="A319" s="85"/>
      <c r="B319" s="85"/>
      <c r="C319" s="87"/>
      <c r="D319" s="91"/>
      <c r="E319" s="92"/>
      <c r="F319" s="93"/>
    </row>
    <row r="320" spans="1:6" x14ac:dyDescent="0.25">
      <c r="A320" s="85"/>
      <c r="B320" s="85"/>
      <c r="C320" s="87"/>
      <c r="D320" s="91"/>
      <c r="E320" s="92"/>
      <c r="F320" s="93"/>
    </row>
    <row r="321" spans="1:6" x14ac:dyDescent="0.25">
      <c r="A321" s="85"/>
      <c r="B321" s="85"/>
      <c r="C321" s="87"/>
      <c r="D321" s="91"/>
      <c r="E321" s="92"/>
      <c r="F321" s="93"/>
    </row>
    <row r="322" spans="1:6" x14ac:dyDescent="0.25">
      <c r="A322" s="85"/>
      <c r="B322" s="85"/>
      <c r="C322" s="87"/>
      <c r="D322" s="91"/>
      <c r="E322" s="92"/>
      <c r="F322" s="93"/>
    </row>
    <row r="323" spans="1:6" x14ac:dyDescent="0.25">
      <c r="A323" s="85"/>
      <c r="B323" s="85"/>
      <c r="C323" s="87"/>
      <c r="D323" s="91"/>
      <c r="E323" s="92"/>
      <c r="F323" s="93"/>
    </row>
    <row r="324" spans="1:6" x14ac:dyDescent="0.25">
      <c r="A324" s="85"/>
      <c r="B324" s="85"/>
      <c r="C324" s="87"/>
      <c r="D324" s="91"/>
      <c r="E324" s="92"/>
      <c r="F324" s="93"/>
    </row>
    <row r="325" spans="1:6" x14ac:dyDescent="0.25">
      <c r="A325" s="85"/>
      <c r="B325" s="85"/>
      <c r="C325" s="87"/>
      <c r="D325" s="91"/>
      <c r="E325" s="92"/>
      <c r="F325" s="93"/>
    </row>
    <row r="326" spans="1:6" x14ac:dyDescent="0.25">
      <c r="A326" s="85"/>
      <c r="B326" s="85"/>
      <c r="C326" s="87"/>
      <c r="D326" s="91"/>
      <c r="E326" s="92"/>
      <c r="F326" s="94"/>
    </row>
    <row r="327" spans="1:6" x14ac:dyDescent="0.25">
      <c r="A327" s="85"/>
      <c r="B327" s="85"/>
      <c r="C327" s="87"/>
      <c r="D327" s="91"/>
      <c r="E327" s="92"/>
      <c r="F327" s="94"/>
    </row>
    <row r="328" spans="1:6" x14ac:dyDescent="0.25">
      <c r="A328" s="86"/>
      <c r="B328" s="86"/>
      <c r="C328" s="88"/>
      <c r="D328" s="91"/>
      <c r="E328" s="92"/>
      <c r="F328" s="94"/>
    </row>
    <row r="329" spans="1:6" x14ac:dyDescent="0.25">
      <c r="A329" s="86"/>
      <c r="B329" s="86"/>
      <c r="C329" s="88"/>
      <c r="D329" s="91"/>
      <c r="E329" s="92"/>
      <c r="F329" s="94"/>
    </row>
    <row r="330" spans="1:6" x14ac:dyDescent="0.25">
      <c r="A330" s="86"/>
      <c r="B330" s="86"/>
      <c r="C330" s="88"/>
      <c r="D330" s="91"/>
      <c r="E330" s="92"/>
      <c r="F330" s="94"/>
    </row>
    <row r="331" spans="1:6" x14ac:dyDescent="0.25">
      <c r="A331" s="86"/>
      <c r="B331" s="86"/>
      <c r="C331" s="88"/>
      <c r="D331" s="91"/>
      <c r="E331" s="92"/>
      <c r="F331" s="94"/>
    </row>
    <row r="332" spans="1:6" x14ac:dyDescent="0.25">
      <c r="A332" s="86"/>
      <c r="B332" s="86"/>
      <c r="C332" s="88"/>
      <c r="D332" s="91"/>
      <c r="E332" s="92"/>
      <c r="F332" s="94"/>
    </row>
    <row r="333" spans="1:6" x14ac:dyDescent="0.25">
      <c r="A333" s="86"/>
      <c r="B333" s="86"/>
      <c r="C333" s="88"/>
      <c r="D333" s="91"/>
      <c r="E333" s="92"/>
      <c r="F333" s="94"/>
    </row>
    <row r="334" spans="1:6" x14ac:dyDescent="0.25">
      <c r="A334" s="86"/>
      <c r="B334" s="86"/>
      <c r="C334" s="88"/>
      <c r="D334" s="91"/>
      <c r="E334" s="92"/>
      <c r="F334" s="94"/>
    </row>
    <row r="335" spans="1:6" x14ac:dyDescent="0.25">
      <c r="A335" s="86"/>
      <c r="B335" s="86"/>
      <c r="C335" s="88"/>
      <c r="D335" s="91"/>
      <c r="E335" s="92"/>
      <c r="F335" s="94"/>
    </row>
    <row r="336" spans="1:6" x14ac:dyDescent="0.25">
      <c r="A336" s="86"/>
      <c r="B336" s="86"/>
      <c r="C336" s="88"/>
      <c r="D336" s="91"/>
      <c r="E336" s="92"/>
      <c r="F336" s="94"/>
    </row>
    <row r="337" spans="1:6" x14ac:dyDescent="0.25">
      <c r="A337" s="86"/>
      <c r="B337" s="86"/>
      <c r="C337" s="88"/>
      <c r="D337" s="91"/>
      <c r="E337" s="92"/>
      <c r="F337" s="94"/>
    </row>
    <row r="338" spans="1:6" x14ac:dyDescent="0.25">
      <c r="A338" s="86"/>
      <c r="B338" s="86"/>
      <c r="C338" s="88"/>
      <c r="D338" s="91"/>
      <c r="E338" s="92"/>
      <c r="F338" s="94"/>
    </row>
    <row r="339" spans="1:6" x14ac:dyDescent="0.25">
      <c r="A339" s="86"/>
      <c r="B339" s="86"/>
      <c r="C339" s="88"/>
      <c r="D339" s="91"/>
      <c r="E339" s="92"/>
      <c r="F339" s="94"/>
    </row>
    <row r="340" spans="1:6" x14ac:dyDescent="0.25">
      <c r="A340" s="86"/>
      <c r="B340" s="86"/>
      <c r="C340" s="88"/>
      <c r="D340" s="91"/>
      <c r="E340" s="92"/>
      <c r="F340" s="94"/>
    </row>
    <row r="341" spans="1:6" x14ac:dyDescent="0.25">
      <c r="A341" s="86"/>
      <c r="B341" s="86"/>
      <c r="C341" s="88"/>
      <c r="D341" s="91"/>
      <c r="E341" s="92"/>
      <c r="F341" s="94"/>
    </row>
    <row r="342" spans="1:6" x14ac:dyDescent="0.25">
      <c r="A342" s="86"/>
      <c r="B342" s="86"/>
      <c r="C342" s="88"/>
      <c r="D342" s="91"/>
      <c r="E342" s="92"/>
      <c r="F342" s="94"/>
    </row>
    <row r="343" spans="1:6" x14ac:dyDescent="0.25">
      <c r="A343" s="86"/>
      <c r="B343" s="86"/>
      <c r="C343" s="88"/>
      <c r="D343" s="91"/>
      <c r="E343" s="92"/>
      <c r="F343" s="94"/>
    </row>
    <row r="344" spans="1:6" x14ac:dyDescent="0.25">
      <c r="A344" s="86"/>
      <c r="B344" s="86"/>
      <c r="C344" s="88"/>
      <c r="D344" s="91"/>
      <c r="E344" s="92"/>
      <c r="F344" s="94"/>
    </row>
    <row r="345" spans="1:6" x14ac:dyDescent="0.25">
      <c r="A345" s="86"/>
      <c r="B345" s="86"/>
      <c r="C345" s="88"/>
      <c r="D345" s="91"/>
      <c r="E345" s="92"/>
      <c r="F345" s="94"/>
    </row>
    <row r="346" spans="1:6" x14ac:dyDescent="0.25">
      <c r="A346" s="86"/>
      <c r="B346" s="86"/>
      <c r="C346" s="88"/>
      <c r="D346" s="91"/>
      <c r="E346" s="92"/>
      <c r="F346" s="94"/>
    </row>
    <row r="347" spans="1:6" x14ac:dyDescent="0.25">
      <c r="A347" s="86"/>
      <c r="B347" s="86"/>
      <c r="C347" s="88"/>
      <c r="D347" s="91"/>
      <c r="E347" s="92"/>
      <c r="F347" s="94"/>
    </row>
    <row r="348" spans="1:6" x14ac:dyDescent="0.25">
      <c r="A348" s="86"/>
      <c r="B348" s="86"/>
      <c r="C348" s="88"/>
      <c r="D348" s="91"/>
      <c r="E348" s="92"/>
      <c r="F348" s="94"/>
    </row>
    <row r="349" spans="1:6" x14ac:dyDescent="0.25">
      <c r="A349" s="86"/>
      <c r="B349" s="86"/>
      <c r="C349" s="88"/>
      <c r="D349" s="91"/>
      <c r="E349" s="92"/>
      <c r="F349" s="94"/>
    </row>
    <row r="350" spans="1:6" x14ac:dyDescent="0.25">
      <c r="A350" s="86"/>
      <c r="B350" s="86"/>
      <c r="C350" s="88"/>
      <c r="D350" s="91"/>
      <c r="E350" s="92"/>
      <c r="F350" s="94"/>
    </row>
    <row r="351" spans="1:6" x14ac:dyDescent="0.25">
      <c r="A351" s="86"/>
      <c r="B351" s="86"/>
      <c r="C351" s="88"/>
      <c r="D351" s="91"/>
      <c r="E351" s="92"/>
      <c r="F351" s="94"/>
    </row>
    <row r="352" spans="1:6" x14ac:dyDescent="0.25">
      <c r="A352" s="86"/>
      <c r="B352" s="86"/>
      <c r="C352" s="88"/>
      <c r="D352" s="91"/>
      <c r="E352" s="92"/>
      <c r="F352" s="94"/>
    </row>
    <row r="353" spans="1:6" x14ac:dyDescent="0.25">
      <c r="A353" s="86"/>
      <c r="B353" s="86"/>
      <c r="C353" s="88"/>
      <c r="D353" s="91"/>
      <c r="E353" s="92"/>
      <c r="F353" s="94"/>
    </row>
    <row r="354" spans="1:6" x14ac:dyDescent="0.25">
      <c r="A354" s="86"/>
      <c r="B354" s="86"/>
      <c r="C354" s="88"/>
      <c r="D354" s="91"/>
      <c r="E354" s="92"/>
      <c r="F354" s="94"/>
    </row>
    <row r="355" spans="1:6" x14ac:dyDescent="0.25">
      <c r="A355" s="86"/>
      <c r="B355" s="86"/>
      <c r="C355" s="88"/>
      <c r="D355" s="91"/>
      <c r="E355" s="92"/>
      <c r="F355" s="94"/>
    </row>
    <row r="356" spans="1:6" x14ac:dyDescent="0.25">
      <c r="A356" s="86"/>
      <c r="B356" s="86"/>
      <c r="C356" s="88"/>
      <c r="D356" s="91"/>
      <c r="E356" s="92"/>
      <c r="F356" s="94"/>
    </row>
    <row r="357" spans="1:6" x14ac:dyDescent="0.25">
      <c r="A357" s="86"/>
      <c r="B357" s="86"/>
      <c r="C357" s="88"/>
      <c r="D357" s="91"/>
      <c r="E357" s="92"/>
      <c r="F357" s="94"/>
    </row>
    <row r="358" spans="1:6" x14ac:dyDescent="0.25">
      <c r="A358" s="86"/>
      <c r="B358" s="86"/>
      <c r="C358" s="88"/>
      <c r="D358" s="91"/>
      <c r="E358" s="92"/>
      <c r="F358" s="94"/>
    </row>
    <row r="359" spans="1:6" x14ac:dyDescent="0.25">
      <c r="A359" s="86"/>
      <c r="B359" s="86"/>
      <c r="C359" s="88"/>
      <c r="D359" s="91"/>
      <c r="E359" s="92"/>
      <c r="F359" s="94"/>
    </row>
    <row r="360" spans="1:6" x14ac:dyDescent="0.25">
      <c r="A360" s="86"/>
      <c r="B360" s="86"/>
      <c r="C360" s="88"/>
      <c r="D360" s="91"/>
      <c r="E360" s="92"/>
      <c r="F360" s="94"/>
    </row>
    <row r="361" spans="1:6" x14ac:dyDescent="0.25">
      <c r="A361" s="86"/>
      <c r="B361" s="86"/>
      <c r="C361" s="88"/>
      <c r="D361" s="91"/>
      <c r="E361" s="92"/>
      <c r="F361" s="94"/>
    </row>
    <row r="362" spans="1:6" x14ac:dyDescent="0.25">
      <c r="A362" s="86"/>
      <c r="B362" s="86"/>
      <c r="C362" s="88"/>
      <c r="D362" s="91"/>
      <c r="E362" s="92"/>
      <c r="F362" s="94"/>
    </row>
    <row r="363" spans="1:6" x14ac:dyDescent="0.25">
      <c r="A363" s="86"/>
      <c r="B363" s="86"/>
      <c r="C363" s="88"/>
      <c r="D363" s="91"/>
      <c r="E363" s="92"/>
      <c r="F363" s="94"/>
    </row>
    <row r="364" spans="1:6" x14ac:dyDescent="0.25">
      <c r="A364" s="86"/>
      <c r="B364" s="86"/>
      <c r="C364" s="88"/>
      <c r="D364" s="91"/>
      <c r="E364" s="92"/>
      <c r="F364" s="94"/>
    </row>
    <row r="365" spans="1:6" x14ac:dyDescent="0.25">
      <c r="A365" s="86"/>
      <c r="B365" s="86"/>
      <c r="C365" s="88"/>
      <c r="D365" s="91"/>
      <c r="E365" s="92"/>
      <c r="F365" s="94"/>
    </row>
    <row r="366" spans="1:6" x14ac:dyDescent="0.25">
      <c r="A366" s="86"/>
      <c r="B366" s="86"/>
      <c r="C366" s="88"/>
      <c r="D366" s="91"/>
      <c r="E366" s="92"/>
      <c r="F366" s="94"/>
    </row>
    <row r="367" spans="1:6" x14ac:dyDescent="0.25">
      <c r="A367" s="86"/>
      <c r="B367" s="86"/>
      <c r="C367" s="88"/>
      <c r="D367" s="91"/>
      <c r="E367" s="92"/>
      <c r="F367" s="94"/>
    </row>
    <row r="368" spans="1:6" x14ac:dyDescent="0.25">
      <c r="A368" s="86"/>
      <c r="B368" s="86"/>
      <c r="C368" s="88"/>
      <c r="D368" s="91"/>
      <c r="E368" s="92"/>
      <c r="F368" s="94"/>
    </row>
    <row r="369" spans="1:6" x14ac:dyDescent="0.25">
      <c r="A369" s="86"/>
      <c r="B369" s="86"/>
      <c r="C369" s="88"/>
      <c r="D369" s="91"/>
      <c r="E369" s="92"/>
      <c r="F369" s="94"/>
    </row>
    <row r="370" spans="1:6" x14ac:dyDescent="0.25">
      <c r="A370" s="86"/>
      <c r="B370" s="86"/>
      <c r="C370" s="88"/>
      <c r="D370" s="91"/>
      <c r="E370" s="92"/>
      <c r="F370" s="94"/>
    </row>
    <row r="371" spans="1:6" x14ac:dyDescent="0.25">
      <c r="A371" s="86"/>
      <c r="B371" s="86"/>
      <c r="C371" s="88"/>
      <c r="D371" s="91"/>
      <c r="E371" s="92"/>
      <c r="F371" s="94"/>
    </row>
    <row r="372" spans="1:6" x14ac:dyDescent="0.25">
      <c r="A372" s="86"/>
      <c r="B372" s="86"/>
      <c r="C372" s="88"/>
      <c r="D372" s="91"/>
      <c r="E372" s="92"/>
      <c r="F372" s="94"/>
    </row>
    <row r="373" spans="1:6" x14ac:dyDescent="0.25">
      <c r="A373" s="86"/>
      <c r="B373" s="86"/>
      <c r="C373" s="88"/>
      <c r="D373" s="91"/>
      <c r="E373" s="92"/>
      <c r="F373" s="94"/>
    </row>
    <row r="374" spans="1:6" x14ac:dyDescent="0.25">
      <c r="A374" s="86"/>
      <c r="B374" s="86"/>
      <c r="C374" s="88"/>
      <c r="D374" s="91"/>
      <c r="E374" s="92"/>
      <c r="F374" s="94"/>
    </row>
    <row r="375" spans="1:6" x14ac:dyDescent="0.25">
      <c r="A375" s="86"/>
      <c r="B375" s="86"/>
      <c r="C375" s="88"/>
      <c r="D375" s="91"/>
      <c r="E375" s="92"/>
      <c r="F375" s="94"/>
    </row>
    <row r="376" spans="1:6" x14ac:dyDescent="0.25">
      <c r="A376" s="86"/>
      <c r="B376" s="86"/>
      <c r="C376" s="88"/>
      <c r="D376" s="91"/>
      <c r="E376" s="92"/>
      <c r="F376" s="94"/>
    </row>
    <row r="377" spans="1:6" x14ac:dyDescent="0.25">
      <c r="A377" s="86"/>
      <c r="B377" s="86"/>
      <c r="C377" s="88"/>
      <c r="D377" s="91"/>
      <c r="E377" s="92"/>
      <c r="F377" s="94"/>
    </row>
    <row r="378" spans="1:6" x14ac:dyDescent="0.25">
      <c r="A378" s="86"/>
      <c r="B378" s="86"/>
      <c r="C378" s="88"/>
      <c r="D378" s="91"/>
      <c r="E378" s="92"/>
      <c r="F378" s="94"/>
    </row>
    <row r="379" spans="1:6" x14ac:dyDescent="0.25">
      <c r="A379" s="86"/>
      <c r="B379" s="86"/>
      <c r="C379" s="88"/>
      <c r="D379" s="91"/>
      <c r="E379" s="92"/>
      <c r="F379" s="94"/>
    </row>
    <row r="380" spans="1:6" x14ac:dyDescent="0.25">
      <c r="A380" s="86"/>
      <c r="B380" s="86"/>
      <c r="C380" s="88"/>
      <c r="D380" s="91"/>
      <c r="E380" s="92"/>
      <c r="F380" s="94"/>
    </row>
    <row r="381" spans="1:6" x14ac:dyDescent="0.25">
      <c r="A381" s="86"/>
      <c r="B381" s="86"/>
      <c r="C381" s="88"/>
      <c r="D381" s="91"/>
      <c r="E381" s="92"/>
      <c r="F381" s="94"/>
    </row>
    <row r="382" spans="1:6" x14ac:dyDescent="0.25">
      <c r="A382" s="86"/>
      <c r="B382" s="86"/>
      <c r="C382" s="88"/>
      <c r="D382" s="91"/>
      <c r="E382" s="92"/>
      <c r="F382" s="94"/>
    </row>
    <row r="383" spans="1:6" x14ac:dyDescent="0.25">
      <c r="A383" s="86"/>
      <c r="B383" s="86"/>
      <c r="C383" s="88"/>
      <c r="D383" s="91"/>
      <c r="E383" s="92"/>
      <c r="F383" s="94"/>
    </row>
    <row r="384" spans="1:6" x14ac:dyDescent="0.25">
      <c r="A384" s="86"/>
      <c r="B384" s="86"/>
      <c r="C384" s="88"/>
      <c r="D384" s="91"/>
      <c r="E384" s="92"/>
      <c r="F384" s="94"/>
    </row>
    <row r="385" spans="1:6" x14ac:dyDescent="0.25">
      <c r="A385" s="86"/>
      <c r="B385" s="86"/>
      <c r="C385" s="88"/>
      <c r="D385" s="91"/>
      <c r="E385" s="92"/>
      <c r="F385" s="94"/>
    </row>
    <row r="386" spans="1:6" x14ac:dyDescent="0.25">
      <c r="A386" s="86"/>
      <c r="B386" s="86"/>
      <c r="C386" s="88"/>
      <c r="D386" s="91"/>
      <c r="E386" s="92"/>
      <c r="F386" s="94"/>
    </row>
    <row r="387" spans="1:6" x14ac:dyDescent="0.25">
      <c r="A387" s="86"/>
      <c r="B387" s="86"/>
      <c r="C387" s="88"/>
      <c r="D387" s="91"/>
      <c r="E387" s="92"/>
      <c r="F387" s="94"/>
    </row>
    <row r="388" spans="1:6" x14ac:dyDescent="0.25">
      <c r="A388" s="86"/>
      <c r="B388" s="86"/>
      <c r="C388" s="88"/>
      <c r="D388" s="91"/>
      <c r="E388" s="92"/>
      <c r="F388" s="94"/>
    </row>
    <row r="389" spans="1:6" x14ac:dyDescent="0.25">
      <c r="A389" s="86"/>
      <c r="B389" s="86"/>
      <c r="C389" s="88"/>
      <c r="D389" s="91"/>
      <c r="E389" s="92"/>
      <c r="F389" s="94"/>
    </row>
    <row r="390" spans="1:6" x14ac:dyDescent="0.25">
      <c r="A390" s="86"/>
      <c r="B390" s="86"/>
      <c r="C390" s="88"/>
      <c r="D390" s="91"/>
      <c r="E390" s="92"/>
      <c r="F390" s="94"/>
    </row>
    <row r="391" spans="1:6" x14ac:dyDescent="0.25">
      <c r="A391" s="86"/>
      <c r="B391" s="86"/>
      <c r="C391" s="88"/>
      <c r="D391" s="91"/>
      <c r="E391" s="92"/>
      <c r="F391" s="94"/>
    </row>
    <row r="392" spans="1:6" x14ac:dyDescent="0.25">
      <c r="A392" s="86"/>
      <c r="B392" s="86"/>
      <c r="C392" s="88"/>
      <c r="D392" s="91"/>
      <c r="E392" s="92"/>
      <c r="F392" s="94"/>
    </row>
    <row r="393" spans="1:6" x14ac:dyDescent="0.25">
      <c r="A393" s="86"/>
      <c r="B393" s="86"/>
      <c r="C393" s="88"/>
      <c r="D393" s="91"/>
      <c r="E393" s="92"/>
      <c r="F393" s="94"/>
    </row>
    <row r="394" spans="1:6" x14ac:dyDescent="0.25">
      <c r="A394" s="86"/>
      <c r="B394" s="86"/>
      <c r="C394" s="88"/>
      <c r="D394" s="91"/>
      <c r="E394" s="92"/>
      <c r="F394" s="94"/>
    </row>
    <row r="395" spans="1:6" x14ac:dyDescent="0.25">
      <c r="A395" s="86"/>
      <c r="B395" s="86"/>
      <c r="C395" s="88"/>
      <c r="D395" s="91"/>
      <c r="E395" s="92"/>
      <c r="F395" s="94"/>
    </row>
    <row r="396" spans="1:6" x14ac:dyDescent="0.25">
      <c r="A396" s="86"/>
      <c r="B396" s="86"/>
      <c r="C396" s="88"/>
      <c r="D396" s="91"/>
      <c r="E396" s="92"/>
      <c r="F396" s="94"/>
    </row>
    <row r="397" spans="1:6" x14ac:dyDescent="0.25">
      <c r="A397" s="86"/>
      <c r="B397" s="86"/>
      <c r="C397" s="88"/>
      <c r="D397" s="91"/>
      <c r="E397" s="92"/>
      <c r="F397" s="94"/>
    </row>
    <row r="398" spans="1:6" x14ac:dyDescent="0.25">
      <c r="A398" s="86"/>
      <c r="B398" s="86"/>
      <c r="C398" s="88"/>
      <c r="D398" s="91"/>
      <c r="E398" s="92"/>
      <c r="F398" s="94"/>
    </row>
    <row r="399" spans="1:6" x14ac:dyDescent="0.25">
      <c r="A399" s="86"/>
      <c r="B399" s="86"/>
      <c r="C399" s="88"/>
      <c r="D399" s="91"/>
      <c r="E399" s="92"/>
      <c r="F399" s="94"/>
    </row>
    <row r="400" spans="1:6" x14ac:dyDescent="0.25">
      <c r="A400" s="86"/>
      <c r="B400" s="86"/>
      <c r="C400" s="88"/>
      <c r="D400" s="91"/>
      <c r="E400" s="92"/>
      <c r="F400" s="94"/>
    </row>
    <row r="401" spans="1:6" x14ac:dyDescent="0.25">
      <c r="A401" s="86"/>
      <c r="B401" s="86"/>
      <c r="C401" s="88"/>
      <c r="D401" s="91"/>
      <c r="E401" s="92"/>
      <c r="F401" s="94"/>
    </row>
    <row r="402" spans="1:6" x14ac:dyDescent="0.25">
      <c r="A402" s="86"/>
      <c r="B402" s="86"/>
      <c r="C402" s="88"/>
      <c r="D402" s="91"/>
      <c r="E402" s="92"/>
      <c r="F402" s="94"/>
    </row>
    <row r="403" spans="1:6" x14ac:dyDescent="0.25">
      <c r="A403" s="86"/>
      <c r="B403" s="86"/>
      <c r="C403" s="88"/>
      <c r="D403" s="91"/>
      <c r="E403" s="92"/>
      <c r="F403" s="94"/>
    </row>
    <row r="404" spans="1:6" x14ac:dyDescent="0.25">
      <c r="A404" s="86"/>
      <c r="B404" s="86"/>
      <c r="C404" s="88"/>
      <c r="D404" s="91"/>
      <c r="E404" s="92"/>
      <c r="F404" s="94"/>
    </row>
    <row r="405" spans="1:6" x14ac:dyDescent="0.25">
      <c r="A405" s="86"/>
      <c r="B405" s="86"/>
      <c r="C405" s="88"/>
      <c r="D405" s="91"/>
      <c r="E405" s="92"/>
      <c r="F405" s="94"/>
    </row>
    <row r="406" spans="1:6" x14ac:dyDescent="0.25">
      <c r="A406" s="86"/>
      <c r="B406" s="86"/>
      <c r="C406" s="88"/>
      <c r="D406" s="91"/>
      <c r="E406" s="92"/>
      <c r="F406" s="94"/>
    </row>
    <row r="407" spans="1:6" x14ac:dyDescent="0.25">
      <c r="A407" s="86"/>
      <c r="B407" s="86"/>
      <c r="C407" s="88"/>
      <c r="D407" s="91"/>
      <c r="E407" s="92"/>
      <c r="F407" s="94"/>
    </row>
    <row r="408" spans="1:6" x14ac:dyDescent="0.25">
      <c r="A408" s="86"/>
      <c r="B408" s="86"/>
      <c r="C408" s="88"/>
      <c r="D408" s="91"/>
      <c r="E408" s="92"/>
      <c r="F408" s="94"/>
    </row>
    <row r="409" spans="1:6" x14ac:dyDescent="0.25">
      <c r="A409" s="86"/>
      <c r="B409" s="86"/>
      <c r="C409" s="88"/>
      <c r="D409" s="91"/>
      <c r="E409" s="92"/>
      <c r="F409" s="94"/>
    </row>
    <row r="410" spans="1:6" x14ac:dyDescent="0.25">
      <c r="A410" s="86"/>
      <c r="B410" s="86"/>
      <c r="C410" s="88"/>
      <c r="D410" s="91"/>
      <c r="E410" s="92"/>
      <c r="F410" s="94"/>
    </row>
    <row r="411" spans="1:6" x14ac:dyDescent="0.25">
      <c r="A411" s="86"/>
      <c r="B411" s="86"/>
      <c r="C411" s="88"/>
      <c r="D411" s="91"/>
      <c r="E411" s="92"/>
      <c r="F411" s="94"/>
    </row>
    <row r="412" spans="1:6" x14ac:dyDescent="0.25">
      <c r="A412" s="86"/>
      <c r="B412" s="86"/>
      <c r="C412" s="88"/>
      <c r="D412" s="91"/>
      <c r="E412" s="92"/>
      <c r="F412" s="94"/>
    </row>
    <row r="413" spans="1:6" x14ac:dyDescent="0.25">
      <c r="A413" s="86"/>
      <c r="B413" s="86"/>
      <c r="C413" s="88"/>
      <c r="D413" s="91"/>
      <c r="E413" s="92"/>
      <c r="F413" s="94"/>
    </row>
    <row r="414" spans="1:6" x14ac:dyDescent="0.25">
      <c r="A414" s="86"/>
      <c r="B414" s="86"/>
      <c r="C414" s="88"/>
      <c r="D414" s="91"/>
      <c r="E414" s="92"/>
      <c r="F414" s="94"/>
    </row>
    <row r="415" spans="1:6" x14ac:dyDescent="0.25">
      <c r="A415" s="86"/>
      <c r="B415" s="86"/>
      <c r="C415" s="88"/>
      <c r="D415" s="91"/>
      <c r="E415" s="92"/>
      <c r="F415" s="94"/>
    </row>
    <row r="416" spans="1:6" x14ac:dyDescent="0.25">
      <c r="A416" s="86"/>
      <c r="B416" s="86"/>
      <c r="C416" s="88"/>
      <c r="D416" s="91"/>
      <c r="E416" s="92"/>
      <c r="F416" s="94"/>
    </row>
    <row r="417" spans="1:6" x14ac:dyDescent="0.25">
      <c r="A417" s="86"/>
      <c r="B417" s="86"/>
      <c r="C417" s="88"/>
      <c r="D417" s="91"/>
      <c r="E417" s="92"/>
      <c r="F417" s="94"/>
    </row>
    <row r="418" spans="1:6" x14ac:dyDescent="0.25">
      <c r="A418" s="86"/>
      <c r="B418" s="86"/>
      <c r="C418" s="88"/>
      <c r="D418" s="91"/>
      <c r="E418" s="92"/>
      <c r="F418" s="94"/>
    </row>
    <row r="419" spans="1:6" x14ac:dyDescent="0.25">
      <c r="A419" s="86"/>
      <c r="B419" s="86"/>
      <c r="C419" s="88"/>
      <c r="D419" s="91"/>
      <c r="E419" s="92"/>
      <c r="F419" s="94"/>
    </row>
    <row r="420" spans="1:6" x14ac:dyDescent="0.25">
      <c r="A420" s="86"/>
      <c r="B420" s="86"/>
      <c r="C420" s="88"/>
      <c r="D420" s="91"/>
      <c r="E420" s="92"/>
      <c r="F420" s="94"/>
    </row>
    <row r="421" spans="1:6" x14ac:dyDescent="0.25">
      <c r="A421" s="86"/>
      <c r="B421" s="86"/>
      <c r="C421" s="88"/>
      <c r="D421" s="91"/>
      <c r="E421" s="92"/>
      <c r="F421" s="94"/>
    </row>
    <row r="422" spans="1:6" x14ac:dyDescent="0.25">
      <c r="A422" s="86"/>
      <c r="B422" s="86"/>
      <c r="C422" s="88"/>
      <c r="D422" s="91"/>
      <c r="E422" s="92"/>
      <c r="F422" s="94"/>
    </row>
    <row r="423" spans="1:6" x14ac:dyDescent="0.25">
      <c r="A423" s="86"/>
      <c r="B423" s="86"/>
      <c r="C423" s="88"/>
      <c r="D423" s="91"/>
      <c r="E423" s="92"/>
      <c r="F423" s="94"/>
    </row>
    <row r="424" spans="1:6" x14ac:dyDescent="0.25">
      <c r="A424" s="86"/>
      <c r="B424" s="86"/>
      <c r="C424" s="88"/>
      <c r="D424" s="91"/>
      <c r="E424" s="92"/>
      <c r="F424" s="94"/>
    </row>
    <row r="425" spans="1:6" x14ac:dyDescent="0.25">
      <c r="A425" s="86"/>
      <c r="B425" s="86"/>
      <c r="C425" s="88"/>
      <c r="D425" s="91"/>
      <c r="E425" s="92"/>
      <c r="F425" s="94"/>
    </row>
    <row r="426" spans="1:6" x14ac:dyDescent="0.25">
      <c r="A426" s="86"/>
      <c r="B426" s="86"/>
      <c r="C426" s="88"/>
      <c r="D426" s="91"/>
      <c r="E426" s="92"/>
      <c r="F426" s="94"/>
    </row>
    <row r="427" spans="1:6" x14ac:dyDescent="0.25">
      <c r="A427" s="86"/>
      <c r="B427" s="86"/>
      <c r="C427" s="88"/>
      <c r="D427" s="91"/>
      <c r="E427" s="92"/>
      <c r="F427" s="94"/>
    </row>
    <row r="428" spans="1:6" x14ac:dyDescent="0.25">
      <c r="A428" s="86"/>
      <c r="B428" s="86"/>
      <c r="C428" s="88"/>
      <c r="D428" s="91"/>
      <c r="E428" s="92"/>
      <c r="F428" s="94"/>
    </row>
    <row r="429" spans="1:6" x14ac:dyDescent="0.25">
      <c r="A429" s="86"/>
      <c r="B429" s="86"/>
      <c r="C429" s="88"/>
      <c r="D429" s="91"/>
      <c r="E429" s="92"/>
      <c r="F429" s="94"/>
    </row>
    <row r="430" spans="1:6" x14ac:dyDescent="0.25">
      <c r="A430" s="86"/>
      <c r="B430" s="86"/>
      <c r="C430" s="88"/>
      <c r="D430" s="91"/>
      <c r="E430" s="92"/>
      <c r="F430" s="94"/>
    </row>
    <row r="431" spans="1:6" x14ac:dyDescent="0.25">
      <c r="A431" s="86"/>
      <c r="B431" s="86"/>
      <c r="C431" s="88"/>
      <c r="D431" s="91"/>
      <c r="E431" s="92"/>
      <c r="F431" s="94"/>
    </row>
    <row r="432" spans="1:6" x14ac:dyDescent="0.25">
      <c r="A432" s="86"/>
      <c r="B432" s="86"/>
      <c r="C432" s="88"/>
      <c r="D432" s="91"/>
      <c r="E432" s="92"/>
      <c r="F432" s="94"/>
    </row>
    <row r="433" spans="1:6" x14ac:dyDescent="0.25">
      <c r="A433" s="86"/>
      <c r="B433" s="86"/>
      <c r="C433" s="88"/>
      <c r="D433" s="91"/>
      <c r="E433" s="92"/>
      <c r="F433" s="94"/>
    </row>
    <row r="434" spans="1:6" x14ac:dyDescent="0.25">
      <c r="A434" s="86"/>
      <c r="B434" s="86"/>
      <c r="C434" s="88"/>
      <c r="D434" s="91"/>
      <c r="E434" s="92"/>
      <c r="F434" s="94"/>
    </row>
    <row r="435" spans="1:6" x14ac:dyDescent="0.25">
      <c r="A435" s="86"/>
      <c r="B435" s="86"/>
      <c r="C435" s="88"/>
      <c r="D435" s="91"/>
      <c r="E435" s="92"/>
      <c r="F435" s="94"/>
    </row>
    <row r="436" spans="1:6" x14ac:dyDescent="0.25">
      <c r="A436" s="86"/>
      <c r="B436" s="86"/>
      <c r="C436" s="88"/>
      <c r="D436" s="91"/>
      <c r="E436" s="92"/>
      <c r="F436" s="94"/>
    </row>
    <row r="437" spans="1:6" x14ac:dyDescent="0.25">
      <c r="A437" s="86"/>
      <c r="B437" s="86"/>
      <c r="C437" s="88"/>
      <c r="D437" s="91"/>
      <c r="E437" s="92"/>
      <c r="F437" s="94"/>
    </row>
    <row r="438" spans="1:6" x14ac:dyDescent="0.25">
      <c r="A438" s="86"/>
      <c r="B438" s="86"/>
      <c r="C438" s="88"/>
      <c r="D438" s="91"/>
      <c r="E438" s="92"/>
      <c r="F438" s="94"/>
    </row>
    <row r="439" spans="1:6" x14ac:dyDescent="0.25">
      <c r="A439" s="86"/>
      <c r="B439" s="86"/>
      <c r="C439" s="88"/>
      <c r="D439" s="91"/>
      <c r="E439" s="92"/>
      <c r="F439" s="94"/>
    </row>
    <row r="440" spans="1:6" x14ac:dyDescent="0.25">
      <c r="A440" s="86"/>
      <c r="B440" s="86"/>
      <c r="C440" s="88"/>
      <c r="D440" s="91"/>
      <c r="E440" s="92"/>
      <c r="F440" s="94"/>
    </row>
    <row r="441" spans="1:6" x14ac:dyDescent="0.25">
      <c r="A441" s="86"/>
      <c r="B441" s="86"/>
      <c r="C441" s="88"/>
      <c r="D441" s="91"/>
      <c r="E441" s="92"/>
      <c r="F441" s="94"/>
    </row>
    <row r="442" spans="1:6" x14ac:dyDescent="0.25">
      <c r="A442" s="86"/>
      <c r="B442" s="86"/>
      <c r="C442" s="88"/>
      <c r="D442" s="91"/>
      <c r="E442" s="92"/>
      <c r="F442" s="94"/>
    </row>
    <row r="443" spans="1:6" x14ac:dyDescent="0.25">
      <c r="A443" s="86"/>
      <c r="B443" s="86"/>
      <c r="C443" s="88"/>
      <c r="D443" s="91"/>
      <c r="E443" s="92"/>
      <c r="F443" s="94"/>
    </row>
    <row r="444" spans="1:6" x14ac:dyDescent="0.25">
      <c r="A444" s="86"/>
      <c r="B444" s="86"/>
      <c r="C444" s="88"/>
      <c r="D444" s="91"/>
      <c r="E444" s="92"/>
      <c r="F444" s="94"/>
    </row>
    <row r="445" spans="1:6" x14ac:dyDescent="0.25">
      <c r="A445" s="86"/>
      <c r="B445" s="86"/>
      <c r="C445" s="88"/>
      <c r="D445" s="91"/>
      <c r="E445" s="92"/>
      <c r="F445" s="94"/>
    </row>
    <row r="446" spans="1:6" x14ac:dyDescent="0.25">
      <c r="A446" s="86"/>
      <c r="B446" s="86"/>
      <c r="C446" s="88"/>
      <c r="D446" s="91"/>
      <c r="E446" s="92"/>
      <c r="F446" s="94"/>
    </row>
    <row r="447" spans="1:6" x14ac:dyDescent="0.25">
      <c r="A447" s="86"/>
      <c r="B447" s="86"/>
      <c r="C447" s="88"/>
      <c r="D447" s="91"/>
      <c r="E447" s="92"/>
      <c r="F447" s="94"/>
    </row>
    <row r="448" spans="1:6" x14ac:dyDescent="0.25">
      <c r="A448" s="86"/>
      <c r="B448" s="86"/>
      <c r="C448" s="88"/>
      <c r="D448" s="91"/>
      <c r="E448" s="92"/>
      <c r="F448" s="94"/>
    </row>
    <row r="449" spans="1:6" x14ac:dyDescent="0.25">
      <c r="A449" s="86"/>
      <c r="B449" s="86"/>
      <c r="C449" s="88"/>
      <c r="D449" s="91"/>
      <c r="E449" s="92"/>
      <c r="F449" s="94"/>
    </row>
    <row r="450" spans="1:6" x14ac:dyDescent="0.25">
      <c r="A450" s="86"/>
      <c r="B450" s="86"/>
      <c r="C450" s="88"/>
      <c r="D450" s="91"/>
      <c r="E450" s="92"/>
      <c r="F450" s="94"/>
    </row>
    <row r="451" spans="1:6" x14ac:dyDescent="0.25">
      <c r="A451" s="86"/>
      <c r="B451" s="86"/>
      <c r="C451" s="88"/>
      <c r="D451" s="91"/>
      <c r="E451" s="92"/>
      <c r="F451" s="94"/>
    </row>
    <row r="452" spans="1:6" x14ac:dyDescent="0.25">
      <c r="A452" s="86"/>
      <c r="B452" s="86"/>
      <c r="C452" s="88"/>
      <c r="D452" s="91"/>
      <c r="E452" s="92"/>
      <c r="F452" s="94"/>
    </row>
    <row r="453" spans="1:6" x14ac:dyDescent="0.25">
      <c r="A453" s="86"/>
      <c r="B453" s="86"/>
      <c r="C453" s="88"/>
      <c r="D453" s="91"/>
      <c r="E453" s="92"/>
      <c r="F453" s="94"/>
    </row>
    <row r="454" spans="1:6" x14ac:dyDescent="0.25">
      <c r="A454" s="86"/>
      <c r="B454" s="86"/>
      <c r="C454" s="88"/>
      <c r="D454" s="91"/>
      <c r="E454" s="92"/>
      <c r="F454" s="94"/>
    </row>
    <row r="455" spans="1:6" x14ac:dyDescent="0.25">
      <c r="A455" s="86"/>
      <c r="B455" s="86"/>
      <c r="C455" s="88"/>
      <c r="D455" s="91"/>
      <c r="E455" s="92"/>
      <c r="F455" s="94"/>
    </row>
    <row r="456" spans="1:6" x14ac:dyDescent="0.25">
      <c r="A456" s="86"/>
      <c r="B456" s="86"/>
      <c r="C456" s="88"/>
      <c r="D456" s="91"/>
      <c r="E456" s="92"/>
      <c r="F456" s="94"/>
    </row>
    <row r="457" spans="1:6" x14ac:dyDescent="0.25">
      <c r="A457" s="86"/>
      <c r="B457" s="86"/>
      <c r="C457" s="88"/>
      <c r="D457" s="91"/>
      <c r="E457" s="92"/>
      <c r="F457" s="94"/>
    </row>
    <row r="458" spans="1:6" x14ac:dyDescent="0.25">
      <c r="A458" s="86"/>
      <c r="B458" s="86"/>
      <c r="C458" s="88"/>
      <c r="D458" s="91"/>
      <c r="E458" s="92"/>
      <c r="F458" s="94"/>
    </row>
    <row r="459" spans="1:6" x14ac:dyDescent="0.25">
      <c r="A459" s="86"/>
      <c r="B459" s="86"/>
      <c r="C459" s="88"/>
      <c r="D459" s="91"/>
      <c r="E459" s="92"/>
      <c r="F459" s="94"/>
    </row>
    <row r="460" spans="1:6" x14ac:dyDescent="0.25">
      <c r="A460" s="86"/>
      <c r="B460" s="86"/>
      <c r="C460" s="88"/>
      <c r="D460" s="91"/>
      <c r="E460" s="92"/>
      <c r="F460" s="94"/>
    </row>
    <row r="461" spans="1:6" x14ac:dyDescent="0.25">
      <c r="A461" s="86"/>
      <c r="B461" s="86"/>
      <c r="C461" s="88"/>
      <c r="D461" s="91"/>
      <c r="E461" s="92"/>
      <c r="F461" s="94"/>
    </row>
    <row r="462" spans="1:6" x14ac:dyDescent="0.25">
      <c r="A462" s="86"/>
      <c r="B462" s="86"/>
      <c r="C462" s="88"/>
      <c r="D462" s="91"/>
      <c r="E462" s="92"/>
      <c r="F462" s="94"/>
    </row>
    <row r="463" spans="1:6" x14ac:dyDescent="0.25">
      <c r="A463" s="86"/>
      <c r="B463" s="86"/>
      <c r="C463" s="88"/>
      <c r="D463" s="91"/>
      <c r="E463" s="92"/>
      <c r="F463" s="94"/>
    </row>
    <row r="464" spans="1:6" x14ac:dyDescent="0.25">
      <c r="A464" s="86"/>
      <c r="B464" s="86"/>
      <c r="C464" s="88"/>
      <c r="D464" s="91"/>
      <c r="E464" s="92"/>
      <c r="F464" s="94"/>
    </row>
    <row r="465" spans="1:6" x14ac:dyDescent="0.25">
      <c r="A465" s="86"/>
      <c r="B465" s="86"/>
      <c r="C465" s="88"/>
      <c r="D465" s="91"/>
      <c r="E465" s="92"/>
      <c r="F465" s="94"/>
    </row>
    <row r="466" spans="1:6" x14ac:dyDescent="0.25">
      <c r="A466" s="86"/>
      <c r="B466" s="86"/>
      <c r="C466" s="88"/>
      <c r="D466" s="91"/>
      <c r="E466" s="92"/>
      <c r="F466" s="94"/>
    </row>
    <row r="467" spans="1:6" x14ac:dyDescent="0.25">
      <c r="A467" s="86"/>
      <c r="B467" s="86"/>
      <c r="C467" s="88"/>
      <c r="D467" s="91"/>
      <c r="E467" s="92"/>
      <c r="F467" s="94"/>
    </row>
    <row r="468" spans="1:6" x14ac:dyDescent="0.25">
      <c r="A468" s="86"/>
      <c r="B468" s="86"/>
      <c r="C468" s="88"/>
      <c r="D468" s="91"/>
      <c r="E468" s="92"/>
      <c r="F468" s="94"/>
    </row>
    <row r="469" spans="1:6" x14ac:dyDescent="0.25">
      <c r="A469" s="86"/>
      <c r="B469" s="86"/>
      <c r="C469" s="88"/>
      <c r="D469" s="91"/>
      <c r="E469" s="92"/>
      <c r="F469" s="94"/>
    </row>
    <row r="470" spans="1:6" x14ac:dyDescent="0.25">
      <c r="A470" s="86"/>
      <c r="B470" s="86"/>
      <c r="C470" s="88"/>
      <c r="D470" s="91"/>
      <c r="E470" s="92"/>
      <c r="F470" s="94"/>
    </row>
    <row r="471" spans="1:6" x14ac:dyDescent="0.25">
      <c r="A471" s="86"/>
      <c r="B471" s="86"/>
      <c r="C471" s="88"/>
      <c r="D471" s="91"/>
      <c r="E471" s="92"/>
      <c r="F471" s="94"/>
    </row>
    <row r="472" spans="1:6" x14ac:dyDescent="0.25">
      <c r="A472" s="86"/>
      <c r="B472" s="86"/>
      <c r="C472" s="88"/>
      <c r="D472" s="91"/>
      <c r="E472" s="92"/>
      <c r="F472" s="94"/>
    </row>
    <row r="473" spans="1:6" x14ac:dyDescent="0.25">
      <c r="A473" s="86"/>
      <c r="B473" s="86"/>
      <c r="C473" s="88"/>
      <c r="D473" s="91"/>
      <c r="E473" s="92"/>
      <c r="F473" s="94"/>
    </row>
    <row r="474" spans="1:6" x14ac:dyDescent="0.25">
      <c r="A474" s="86"/>
      <c r="B474" s="86"/>
      <c r="C474" s="88"/>
      <c r="D474" s="91"/>
      <c r="E474" s="92"/>
      <c r="F474" s="94"/>
    </row>
    <row r="475" spans="1:6" x14ac:dyDescent="0.25">
      <c r="A475" s="86"/>
      <c r="B475" s="86"/>
      <c r="C475" s="88"/>
      <c r="D475" s="91"/>
      <c r="E475" s="92"/>
      <c r="F475" s="94"/>
    </row>
    <row r="476" spans="1:6" x14ac:dyDescent="0.25">
      <c r="A476" s="86"/>
      <c r="B476" s="86"/>
      <c r="C476" s="88"/>
      <c r="D476" s="91"/>
      <c r="E476" s="92"/>
      <c r="F476" s="94"/>
    </row>
    <row r="477" spans="1:6" x14ac:dyDescent="0.25">
      <c r="A477" s="86"/>
      <c r="B477" s="86"/>
      <c r="C477" s="88"/>
      <c r="D477" s="91"/>
      <c r="E477" s="92"/>
      <c r="F477" s="94"/>
    </row>
    <row r="478" spans="1:6" x14ac:dyDescent="0.25">
      <c r="A478" s="86"/>
      <c r="B478" s="86"/>
      <c r="C478" s="88"/>
      <c r="D478" s="91"/>
      <c r="E478" s="92"/>
      <c r="F478" s="94"/>
    </row>
    <row r="479" spans="1:6" x14ac:dyDescent="0.25">
      <c r="A479" s="86"/>
      <c r="B479" s="86"/>
      <c r="C479" s="88"/>
      <c r="D479" s="91"/>
      <c r="E479" s="92"/>
      <c r="F479" s="94"/>
    </row>
    <row r="480" spans="1:6" x14ac:dyDescent="0.25">
      <c r="A480" s="86"/>
      <c r="B480" s="86"/>
      <c r="C480" s="88"/>
      <c r="D480" s="91"/>
      <c r="E480" s="92"/>
      <c r="F480" s="94"/>
    </row>
    <row r="481" spans="1:6" x14ac:dyDescent="0.25">
      <c r="A481" s="86"/>
      <c r="B481" s="86"/>
      <c r="C481" s="88"/>
      <c r="D481" s="91"/>
      <c r="E481" s="92"/>
      <c r="F481" s="94"/>
    </row>
    <row r="482" spans="1:6" x14ac:dyDescent="0.25">
      <c r="A482" s="86"/>
      <c r="B482" s="86"/>
      <c r="C482" s="88"/>
      <c r="D482" s="91"/>
      <c r="E482" s="92"/>
      <c r="F482" s="94"/>
    </row>
    <row r="483" spans="1:6" x14ac:dyDescent="0.25">
      <c r="A483" s="86"/>
      <c r="B483" s="86"/>
      <c r="C483" s="88"/>
      <c r="D483" s="91"/>
      <c r="E483" s="92"/>
      <c r="F483" s="94"/>
    </row>
    <row r="484" spans="1:6" x14ac:dyDescent="0.25">
      <c r="A484" s="86"/>
      <c r="B484" s="86"/>
      <c r="C484" s="88"/>
      <c r="D484" s="91"/>
      <c r="E484" s="92"/>
      <c r="F484" s="94"/>
    </row>
    <row r="485" spans="1:6" x14ac:dyDescent="0.25">
      <c r="A485" s="86"/>
      <c r="B485" s="86"/>
      <c r="C485" s="88"/>
      <c r="D485" s="91"/>
      <c r="E485" s="92"/>
      <c r="F485" s="94"/>
    </row>
    <row r="486" spans="1:6" x14ac:dyDescent="0.25">
      <c r="A486" s="86"/>
      <c r="B486" s="86"/>
      <c r="C486" s="88"/>
      <c r="D486" s="91"/>
      <c r="E486" s="92"/>
      <c r="F486" s="94"/>
    </row>
    <row r="487" spans="1:6" x14ac:dyDescent="0.25">
      <c r="A487" s="86"/>
      <c r="B487" s="86"/>
      <c r="C487" s="88"/>
      <c r="D487" s="91"/>
      <c r="E487" s="92"/>
      <c r="F487" s="94"/>
    </row>
    <row r="488" spans="1:6" x14ac:dyDescent="0.25">
      <c r="A488" s="86"/>
      <c r="B488" s="86"/>
      <c r="C488" s="88"/>
      <c r="D488" s="91"/>
      <c r="E488" s="92"/>
      <c r="F488" s="94"/>
    </row>
    <row r="489" spans="1:6" x14ac:dyDescent="0.25">
      <c r="A489" s="86"/>
      <c r="B489" s="86"/>
      <c r="C489" s="88"/>
      <c r="D489" s="91"/>
      <c r="E489" s="92"/>
      <c r="F489" s="94"/>
    </row>
    <row r="490" spans="1:6" x14ac:dyDescent="0.25">
      <c r="A490" s="86"/>
      <c r="B490" s="86"/>
      <c r="C490" s="88"/>
      <c r="D490" s="91"/>
      <c r="E490" s="92"/>
      <c r="F490" s="94"/>
    </row>
    <row r="491" spans="1:6" x14ac:dyDescent="0.25">
      <c r="A491" s="86"/>
      <c r="B491" s="86"/>
      <c r="C491" s="88"/>
      <c r="D491" s="91"/>
      <c r="E491" s="92"/>
      <c r="F491" s="94"/>
    </row>
    <row r="492" spans="1:6" x14ac:dyDescent="0.25">
      <c r="A492" s="86"/>
      <c r="B492" s="86"/>
      <c r="C492" s="88"/>
      <c r="D492" s="91"/>
      <c r="E492" s="92"/>
      <c r="F492" s="94"/>
    </row>
    <row r="493" spans="1:6" x14ac:dyDescent="0.25">
      <c r="A493" s="86"/>
      <c r="B493" s="86"/>
      <c r="C493" s="88"/>
      <c r="D493" s="91"/>
      <c r="E493" s="92"/>
      <c r="F493" s="94"/>
    </row>
    <row r="494" spans="1:6" x14ac:dyDescent="0.25">
      <c r="A494" s="86"/>
      <c r="B494" s="86"/>
      <c r="C494" s="88"/>
      <c r="D494" s="91"/>
      <c r="E494" s="92"/>
      <c r="F494" s="94"/>
    </row>
    <row r="495" spans="1:6" x14ac:dyDescent="0.25">
      <c r="A495" s="86"/>
      <c r="B495" s="86"/>
      <c r="C495" s="88"/>
      <c r="D495" s="91"/>
      <c r="E495" s="92"/>
      <c r="F495" s="94"/>
    </row>
    <row r="496" spans="1:6" x14ac:dyDescent="0.25">
      <c r="A496" s="86"/>
      <c r="B496" s="86"/>
      <c r="C496" s="88"/>
      <c r="D496" s="91"/>
      <c r="E496" s="92"/>
      <c r="F496" s="94"/>
    </row>
    <row r="497" spans="1:6" x14ac:dyDescent="0.25">
      <c r="A497" s="86"/>
      <c r="B497" s="86"/>
      <c r="C497" s="88"/>
      <c r="D497" s="91"/>
      <c r="E497" s="92"/>
      <c r="F497" s="94"/>
    </row>
    <row r="498" spans="1:6" x14ac:dyDescent="0.25">
      <c r="A498" s="86"/>
      <c r="B498" s="86"/>
      <c r="C498" s="88"/>
      <c r="D498" s="91"/>
      <c r="E498" s="92"/>
      <c r="F498" s="94"/>
    </row>
    <row r="499" spans="1:6" x14ac:dyDescent="0.25">
      <c r="A499" s="86"/>
      <c r="B499" s="86"/>
      <c r="C499" s="88"/>
      <c r="D499" s="91"/>
      <c r="E499" s="92"/>
      <c r="F499" s="94"/>
    </row>
    <row r="500" spans="1:6" x14ac:dyDescent="0.25">
      <c r="A500" s="86"/>
      <c r="B500" s="86"/>
      <c r="C500" s="88"/>
      <c r="D500" s="91"/>
      <c r="E500" s="92"/>
      <c r="F500" s="94"/>
    </row>
    <row r="501" spans="1:6" x14ac:dyDescent="0.25">
      <c r="A501" s="86"/>
      <c r="B501" s="86"/>
      <c r="C501" s="88"/>
      <c r="D501" s="91"/>
      <c r="E501" s="92"/>
      <c r="F501" s="94"/>
    </row>
    <row r="502" spans="1:6" x14ac:dyDescent="0.25">
      <c r="A502" s="86"/>
      <c r="B502" s="86"/>
      <c r="C502" s="88"/>
      <c r="D502" s="91"/>
      <c r="E502" s="92"/>
      <c r="F502" s="94"/>
    </row>
    <row r="503" spans="1:6" x14ac:dyDescent="0.25">
      <c r="A503" s="86"/>
      <c r="B503" s="86"/>
      <c r="C503" s="88"/>
      <c r="D503" s="91"/>
      <c r="E503" s="92"/>
      <c r="F503" s="94"/>
    </row>
    <row r="504" spans="1:6" x14ac:dyDescent="0.25">
      <c r="A504" s="86"/>
      <c r="B504" s="86"/>
      <c r="C504" s="88"/>
      <c r="D504" s="91"/>
      <c r="E504" s="92"/>
      <c r="F504" s="94"/>
    </row>
    <row r="505" spans="1:6" x14ac:dyDescent="0.25">
      <c r="A505" s="86"/>
      <c r="B505" s="86"/>
      <c r="C505" s="88"/>
      <c r="D505" s="91"/>
      <c r="E505" s="92"/>
      <c r="F505" s="94"/>
    </row>
    <row r="506" spans="1:6" x14ac:dyDescent="0.25">
      <c r="A506" s="86"/>
      <c r="B506" s="86"/>
      <c r="C506" s="88"/>
      <c r="D506" s="91"/>
      <c r="E506" s="92"/>
      <c r="F506" s="94"/>
    </row>
    <row r="507" spans="1:6" x14ac:dyDescent="0.25">
      <c r="A507" s="86"/>
      <c r="B507" s="86"/>
      <c r="C507" s="88"/>
      <c r="D507" s="91"/>
      <c r="E507" s="92"/>
      <c r="F507" s="94"/>
    </row>
    <row r="508" spans="1:6" x14ac:dyDescent="0.25">
      <c r="A508" s="86"/>
      <c r="B508" s="86"/>
      <c r="C508" s="88"/>
      <c r="D508" s="91"/>
      <c r="E508" s="92"/>
      <c r="F508" s="94"/>
    </row>
    <row r="509" spans="1:6" x14ac:dyDescent="0.25">
      <c r="A509" s="86"/>
      <c r="B509" s="86"/>
      <c r="C509" s="88"/>
      <c r="D509" s="91"/>
      <c r="E509" s="92"/>
      <c r="F509" s="94"/>
    </row>
    <row r="510" spans="1:6" x14ac:dyDescent="0.25">
      <c r="A510" s="86"/>
      <c r="B510" s="86"/>
      <c r="C510" s="88"/>
      <c r="D510" s="91"/>
      <c r="E510" s="92"/>
      <c r="F510" s="94"/>
    </row>
    <row r="511" spans="1:6" x14ac:dyDescent="0.25">
      <c r="A511" s="86"/>
      <c r="B511" s="86"/>
      <c r="C511" s="88"/>
      <c r="D511" s="91"/>
      <c r="E511" s="92"/>
      <c r="F511" s="94"/>
    </row>
    <row r="512" spans="1:6" x14ac:dyDescent="0.25">
      <c r="A512" s="86"/>
      <c r="B512" s="86"/>
      <c r="C512" s="88"/>
      <c r="D512" s="91"/>
      <c r="E512" s="92"/>
      <c r="F512" s="94"/>
    </row>
    <row r="513" spans="1:6" x14ac:dyDescent="0.25">
      <c r="A513" s="86"/>
      <c r="B513" s="86"/>
      <c r="C513" s="88"/>
      <c r="D513" s="91"/>
      <c r="E513" s="92"/>
      <c r="F513" s="94"/>
    </row>
    <row r="514" spans="1:6" x14ac:dyDescent="0.25">
      <c r="A514" s="86"/>
      <c r="B514" s="86"/>
      <c r="C514" s="88"/>
      <c r="D514" s="91"/>
      <c r="E514" s="92"/>
      <c r="F514" s="94"/>
    </row>
    <row r="515" spans="1:6" x14ac:dyDescent="0.25">
      <c r="A515" s="86"/>
      <c r="B515" s="86"/>
      <c r="C515" s="88"/>
      <c r="D515" s="91"/>
      <c r="E515" s="92"/>
      <c r="F515" s="94"/>
    </row>
    <row r="516" spans="1:6" x14ac:dyDescent="0.25">
      <c r="A516" s="86"/>
      <c r="B516" s="86"/>
      <c r="C516" s="88"/>
      <c r="D516" s="91"/>
      <c r="E516" s="92"/>
      <c r="F516" s="94"/>
    </row>
    <row r="517" spans="1:6" x14ac:dyDescent="0.25">
      <c r="A517" s="86"/>
      <c r="B517" s="86"/>
      <c r="C517" s="88"/>
      <c r="D517" s="91"/>
      <c r="E517" s="92"/>
      <c r="F517" s="94"/>
    </row>
    <row r="518" spans="1:6" x14ac:dyDescent="0.25">
      <c r="A518" s="86"/>
      <c r="B518" s="86"/>
      <c r="C518" s="88"/>
      <c r="D518" s="91"/>
      <c r="E518" s="92"/>
      <c r="F518" s="94"/>
    </row>
    <row r="519" spans="1:6" x14ac:dyDescent="0.25">
      <c r="A519" s="86"/>
      <c r="B519" s="86"/>
      <c r="C519" s="88"/>
      <c r="D519" s="91"/>
      <c r="E519" s="92"/>
      <c r="F519" s="94"/>
    </row>
    <row r="520" spans="1:6" x14ac:dyDescent="0.25">
      <c r="A520" s="86"/>
      <c r="B520" s="86"/>
      <c r="C520" s="88"/>
      <c r="D520" s="91"/>
      <c r="E520" s="92"/>
      <c r="F520" s="94"/>
    </row>
    <row r="521" spans="1:6" x14ac:dyDescent="0.25">
      <c r="A521" s="86"/>
      <c r="B521" s="86"/>
      <c r="C521" s="88"/>
      <c r="D521" s="91"/>
      <c r="E521" s="92"/>
      <c r="F521" s="94"/>
    </row>
    <row r="522" spans="1:6" x14ac:dyDescent="0.25">
      <c r="A522" s="86"/>
      <c r="B522" s="86"/>
      <c r="C522" s="88"/>
      <c r="D522" s="91"/>
      <c r="E522" s="92"/>
      <c r="F522" s="94"/>
    </row>
    <row r="523" spans="1:6" x14ac:dyDescent="0.25">
      <c r="A523" s="86"/>
      <c r="B523" s="86"/>
      <c r="C523" s="88"/>
      <c r="D523" s="91"/>
      <c r="E523" s="92"/>
      <c r="F523" s="94"/>
    </row>
    <row r="524" spans="1:6" x14ac:dyDescent="0.25">
      <c r="A524" s="86"/>
      <c r="B524" s="86"/>
      <c r="C524" s="88"/>
      <c r="D524" s="91"/>
      <c r="E524" s="92"/>
      <c r="F524" s="94"/>
    </row>
    <row r="525" spans="1:6" x14ac:dyDescent="0.25">
      <c r="A525" s="86"/>
      <c r="B525" s="86"/>
      <c r="C525" s="88"/>
      <c r="D525" s="91"/>
      <c r="E525" s="92"/>
      <c r="F525" s="94"/>
    </row>
    <row r="526" spans="1:6" x14ac:dyDescent="0.25">
      <c r="A526" s="86"/>
      <c r="B526" s="86"/>
      <c r="C526" s="88"/>
      <c r="D526" s="91"/>
      <c r="E526" s="92"/>
      <c r="F526" s="94"/>
    </row>
    <row r="527" spans="1:6" x14ac:dyDescent="0.25">
      <c r="A527" s="86"/>
      <c r="B527" s="86"/>
      <c r="C527" s="88"/>
      <c r="D527" s="91"/>
      <c r="E527" s="92"/>
      <c r="F527" s="94"/>
    </row>
    <row r="528" spans="1:6" x14ac:dyDescent="0.25">
      <c r="A528" s="86"/>
      <c r="B528" s="86"/>
      <c r="C528" s="88"/>
      <c r="D528" s="91"/>
      <c r="E528" s="92"/>
      <c r="F528" s="94"/>
    </row>
    <row r="529" spans="1:6" x14ac:dyDescent="0.25">
      <c r="A529" s="86"/>
      <c r="B529" s="86"/>
      <c r="C529" s="88"/>
      <c r="D529" s="91"/>
      <c r="E529" s="92"/>
      <c r="F529" s="94"/>
    </row>
    <row r="530" spans="1:6" x14ac:dyDescent="0.25">
      <c r="A530" s="86"/>
      <c r="B530" s="86"/>
      <c r="C530" s="88"/>
      <c r="D530" s="91"/>
      <c r="E530" s="92"/>
      <c r="F530" s="94"/>
    </row>
    <row r="531" spans="1:6" x14ac:dyDescent="0.25">
      <c r="A531" s="86"/>
      <c r="B531" s="86"/>
      <c r="C531" s="88"/>
      <c r="D531" s="91"/>
      <c r="E531" s="92"/>
      <c r="F531" s="94"/>
    </row>
    <row r="532" spans="1:6" x14ac:dyDescent="0.25">
      <c r="A532" s="86"/>
      <c r="B532" s="86"/>
      <c r="C532" s="88"/>
      <c r="D532" s="91"/>
      <c r="E532" s="92"/>
      <c r="F532" s="94"/>
    </row>
    <row r="533" spans="1:6" x14ac:dyDescent="0.25">
      <c r="A533" s="86"/>
      <c r="B533" s="86"/>
      <c r="C533" s="88"/>
      <c r="D533" s="91"/>
      <c r="E533" s="92"/>
      <c r="F533" s="94"/>
    </row>
    <row r="534" spans="1:6" x14ac:dyDescent="0.25">
      <c r="A534" s="86"/>
      <c r="B534" s="86"/>
      <c r="C534" s="88"/>
      <c r="D534" s="91"/>
      <c r="E534" s="92"/>
      <c r="F534" s="94"/>
    </row>
    <row r="535" spans="1:6" x14ac:dyDescent="0.25">
      <c r="A535" s="86"/>
      <c r="B535" s="86"/>
      <c r="C535" s="88"/>
      <c r="D535" s="91"/>
      <c r="E535" s="92"/>
      <c r="F535" s="94"/>
    </row>
    <row r="536" spans="1:6" x14ac:dyDescent="0.25">
      <c r="A536" s="86"/>
      <c r="B536" s="86"/>
      <c r="C536" s="88"/>
      <c r="D536" s="91"/>
      <c r="E536" s="92"/>
      <c r="F536" s="94"/>
    </row>
    <row r="537" spans="1:6" x14ac:dyDescent="0.25">
      <c r="A537" s="86"/>
      <c r="B537" s="86"/>
      <c r="C537" s="88"/>
      <c r="D537" s="91"/>
      <c r="E537" s="92"/>
      <c r="F537" s="94"/>
    </row>
    <row r="538" spans="1:6" x14ac:dyDescent="0.25">
      <c r="A538" s="86"/>
      <c r="B538" s="86"/>
      <c r="C538" s="88"/>
      <c r="D538" s="91"/>
      <c r="E538" s="92"/>
      <c r="F538" s="94"/>
    </row>
    <row r="539" spans="1:6" x14ac:dyDescent="0.25">
      <c r="A539" s="86"/>
      <c r="B539" s="86"/>
      <c r="C539" s="88"/>
      <c r="D539" s="91"/>
      <c r="E539" s="92"/>
      <c r="F539" s="94"/>
    </row>
    <row r="540" spans="1:6" x14ac:dyDescent="0.25">
      <c r="A540" s="86"/>
      <c r="B540" s="86"/>
      <c r="C540" s="88"/>
      <c r="D540" s="91"/>
      <c r="E540" s="92"/>
      <c r="F540" s="94"/>
    </row>
    <row r="541" spans="1:6" x14ac:dyDescent="0.25">
      <c r="A541" s="86"/>
      <c r="B541" s="86"/>
      <c r="C541" s="88"/>
      <c r="D541" s="91"/>
      <c r="E541" s="92"/>
      <c r="F541" s="94"/>
    </row>
    <row r="542" spans="1:6" x14ac:dyDescent="0.25">
      <c r="A542" s="86"/>
      <c r="B542" s="86"/>
      <c r="C542" s="88"/>
      <c r="D542" s="91"/>
      <c r="E542" s="92"/>
      <c r="F542" s="94"/>
    </row>
    <row r="543" spans="1:6" x14ac:dyDescent="0.25">
      <c r="A543" s="86"/>
      <c r="B543" s="86"/>
      <c r="C543" s="88"/>
      <c r="D543" s="91"/>
      <c r="E543" s="92"/>
      <c r="F543" s="94"/>
    </row>
    <row r="544" spans="1:6" x14ac:dyDescent="0.25">
      <c r="A544" s="86"/>
      <c r="B544" s="86"/>
      <c r="C544" s="88"/>
      <c r="D544" s="91"/>
      <c r="E544" s="92"/>
      <c r="F544" s="94"/>
    </row>
    <row r="545" spans="1:6" x14ac:dyDescent="0.25">
      <c r="A545" s="86"/>
      <c r="B545" s="86"/>
      <c r="C545" s="88"/>
      <c r="D545" s="91"/>
      <c r="E545" s="92"/>
      <c r="F545" s="94"/>
    </row>
    <row r="546" spans="1:6" x14ac:dyDescent="0.25">
      <c r="A546" s="86"/>
      <c r="B546" s="86"/>
      <c r="C546" s="88"/>
      <c r="D546" s="91"/>
      <c r="E546" s="92"/>
      <c r="F546" s="94"/>
    </row>
    <row r="547" spans="1:6" x14ac:dyDescent="0.25">
      <c r="A547" s="86"/>
      <c r="B547" s="86"/>
      <c r="C547" s="88"/>
      <c r="D547" s="91"/>
      <c r="E547" s="92"/>
      <c r="F547" s="94"/>
    </row>
    <row r="548" spans="1:6" x14ac:dyDescent="0.25">
      <c r="A548" s="86"/>
      <c r="B548" s="86"/>
      <c r="C548" s="88"/>
      <c r="D548" s="91"/>
      <c r="E548" s="92"/>
      <c r="F548" s="94"/>
    </row>
    <row r="549" spans="1:6" x14ac:dyDescent="0.25">
      <c r="A549" s="86"/>
      <c r="B549" s="86"/>
      <c r="C549" s="88"/>
      <c r="D549" s="91"/>
      <c r="E549" s="92"/>
      <c r="F549" s="94"/>
    </row>
    <row r="550" spans="1:6" x14ac:dyDescent="0.25">
      <c r="A550" s="86"/>
      <c r="B550" s="86"/>
      <c r="C550" s="88"/>
      <c r="D550" s="91"/>
      <c r="E550" s="92"/>
      <c r="F550" s="94"/>
    </row>
    <row r="551" spans="1:6" x14ac:dyDescent="0.25">
      <c r="A551" s="86"/>
      <c r="B551" s="86"/>
      <c r="C551" s="88"/>
      <c r="D551" s="91"/>
      <c r="E551" s="92"/>
      <c r="F551" s="94"/>
    </row>
    <row r="552" spans="1:6" x14ac:dyDescent="0.25">
      <c r="A552" s="86"/>
      <c r="B552" s="86"/>
      <c r="C552" s="88"/>
      <c r="D552" s="91"/>
      <c r="E552" s="92"/>
      <c r="F552" s="94"/>
    </row>
    <row r="553" spans="1:6" x14ac:dyDescent="0.25">
      <c r="A553" s="86"/>
      <c r="B553" s="86"/>
      <c r="C553" s="88"/>
      <c r="D553" s="91"/>
      <c r="E553" s="92"/>
      <c r="F553" s="94"/>
    </row>
    <row r="554" spans="1:6" x14ac:dyDescent="0.25">
      <c r="A554" s="86"/>
      <c r="B554" s="86"/>
      <c r="C554" s="88"/>
      <c r="D554" s="91"/>
      <c r="E554" s="92"/>
      <c r="F554" s="94"/>
    </row>
    <row r="555" spans="1:6" x14ac:dyDescent="0.25">
      <c r="A555" s="86"/>
      <c r="B555" s="86"/>
      <c r="C555" s="88"/>
      <c r="D555" s="91"/>
      <c r="E555" s="92"/>
      <c r="F555" s="94"/>
    </row>
    <row r="556" spans="1:6" x14ac:dyDescent="0.25">
      <c r="A556" s="86"/>
      <c r="B556" s="86"/>
      <c r="C556" s="88"/>
      <c r="D556" s="91"/>
      <c r="E556" s="92"/>
      <c r="F556" s="94"/>
    </row>
    <row r="557" spans="1:6" x14ac:dyDescent="0.25">
      <c r="A557" s="86"/>
      <c r="B557" s="86"/>
      <c r="C557" s="88"/>
      <c r="D557" s="91"/>
      <c r="E557" s="92"/>
      <c r="F557" s="94"/>
    </row>
    <row r="558" spans="1:6" x14ac:dyDescent="0.25">
      <c r="A558" s="86"/>
      <c r="B558" s="86"/>
      <c r="C558" s="88"/>
      <c r="D558" s="91"/>
      <c r="E558" s="92"/>
      <c r="F558" s="94"/>
    </row>
    <row r="559" spans="1:6" x14ac:dyDescent="0.25">
      <c r="A559" s="86"/>
      <c r="B559" s="86"/>
      <c r="C559" s="88"/>
      <c r="D559" s="91"/>
      <c r="E559" s="92"/>
      <c r="F559" s="94"/>
    </row>
    <row r="560" spans="1:6" x14ac:dyDescent="0.25">
      <c r="A560" s="86"/>
      <c r="B560" s="86"/>
      <c r="C560" s="88"/>
      <c r="D560" s="91"/>
      <c r="E560" s="92"/>
      <c r="F560" s="94"/>
    </row>
    <row r="561" spans="1:6" x14ac:dyDescent="0.25">
      <c r="A561" s="86"/>
      <c r="B561" s="86"/>
      <c r="C561" s="88"/>
      <c r="D561" s="91"/>
      <c r="E561" s="92"/>
      <c r="F561" s="94"/>
    </row>
    <row r="562" spans="1:6" x14ac:dyDescent="0.25">
      <c r="A562" s="86"/>
      <c r="B562" s="86"/>
      <c r="C562" s="88"/>
      <c r="D562" s="91"/>
      <c r="E562" s="92"/>
      <c r="F562" s="94"/>
    </row>
    <row r="563" spans="1:6" x14ac:dyDescent="0.25">
      <c r="A563" s="86"/>
      <c r="B563" s="86"/>
      <c r="C563" s="88"/>
      <c r="D563" s="91"/>
      <c r="E563" s="92"/>
      <c r="F563" s="94"/>
    </row>
    <row r="564" spans="1:6" x14ac:dyDescent="0.25">
      <c r="A564" s="86"/>
      <c r="B564" s="86"/>
      <c r="C564" s="88"/>
      <c r="D564" s="91"/>
      <c r="E564" s="92"/>
      <c r="F564" s="94"/>
    </row>
    <row r="565" spans="1:6" x14ac:dyDescent="0.25">
      <c r="A565" s="86"/>
      <c r="B565" s="86"/>
      <c r="C565" s="88"/>
      <c r="D565" s="91"/>
      <c r="E565" s="92"/>
      <c r="F565" s="94"/>
    </row>
    <row r="566" spans="1:6" x14ac:dyDescent="0.25">
      <c r="A566" s="86"/>
      <c r="B566" s="86"/>
      <c r="C566" s="88"/>
      <c r="D566" s="91"/>
      <c r="E566" s="92"/>
      <c r="F566" s="94"/>
    </row>
    <row r="567" spans="1:6" x14ac:dyDescent="0.25">
      <c r="A567" s="86"/>
      <c r="B567" s="86"/>
      <c r="C567" s="88"/>
      <c r="D567" s="91"/>
      <c r="E567" s="92"/>
      <c r="F567" s="94"/>
    </row>
    <row r="568" spans="1:6" x14ac:dyDescent="0.25">
      <c r="A568" s="86"/>
      <c r="B568" s="86"/>
      <c r="C568" s="88"/>
      <c r="D568" s="91"/>
      <c r="E568" s="92"/>
      <c r="F568" s="94"/>
    </row>
    <row r="569" spans="1:6" x14ac:dyDescent="0.25">
      <c r="A569" s="86"/>
      <c r="B569" s="86"/>
      <c r="C569" s="88"/>
      <c r="D569" s="91"/>
      <c r="E569" s="92"/>
      <c r="F569" s="94"/>
    </row>
    <row r="570" spans="1:6" x14ac:dyDescent="0.25">
      <c r="A570" s="86"/>
      <c r="B570" s="86"/>
      <c r="C570" s="88"/>
      <c r="D570" s="91"/>
      <c r="E570" s="92"/>
      <c r="F570" s="94"/>
    </row>
    <row r="571" spans="1:6" x14ac:dyDescent="0.25">
      <c r="A571" s="86"/>
      <c r="B571" s="86"/>
      <c r="C571" s="88"/>
      <c r="D571" s="91"/>
      <c r="E571" s="92"/>
      <c r="F571" s="94"/>
    </row>
    <row r="572" spans="1:6" x14ac:dyDescent="0.25">
      <c r="A572" s="86"/>
      <c r="B572" s="86"/>
      <c r="C572" s="88"/>
      <c r="D572" s="91"/>
      <c r="E572" s="92"/>
      <c r="F572" s="94"/>
    </row>
    <row r="573" spans="1:6" x14ac:dyDescent="0.25">
      <c r="A573" s="86"/>
      <c r="B573" s="86"/>
      <c r="C573" s="88"/>
      <c r="D573" s="91"/>
      <c r="E573" s="92"/>
      <c r="F573" s="94"/>
    </row>
    <row r="574" spans="1:6" x14ac:dyDescent="0.25">
      <c r="A574" s="86"/>
      <c r="B574" s="86"/>
      <c r="C574" s="88"/>
      <c r="D574" s="91"/>
      <c r="E574" s="92"/>
      <c r="F574" s="94"/>
    </row>
    <row r="575" spans="1:6" x14ac:dyDescent="0.25">
      <c r="A575" s="86"/>
      <c r="B575" s="86"/>
      <c r="C575" s="88"/>
      <c r="D575" s="91"/>
      <c r="E575" s="92"/>
      <c r="F575" s="94"/>
    </row>
    <row r="576" spans="1:6" x14ac:dyDescent="0.25">
      <c r="A576" s="86"/>
      <c r="B576" s="86"/>
      <c r="C576" s="88"/>
      <c r="D576" s="91"/>
      <c r="E576" s="92"/>
      <c r="F576" s="94"/>
    </row>
    <row r="577" spans="1:6" x14ac:dyDescent="0.25">
      <c r="A577" s="86"/>
      <c r="B577" s="86"/>
      <c r="C577" s="88"/>
      <c r="D577" s="91"/>
      <c r="E577" s="92"/>
      <c r="F577" s="94"/>
    </row>
    <row r="578" spans="1:6" x14ac:dyDescent="0.25">
      <c r="A578" s="86"/>
      <c r="B578" s="86"/>
      <c r="C578" s="88"/>
      <c r="D578" s="91"/>
      <c r="E578" s="92"/>
      <c r="F578" s="94"/>
    </row>
    <row r="579" spans="1:6" x14ac:dyDescent="0.25">
      <c r="A579" s="86"/>
      <c r="B579" s="86"/>
      <c r="C579" s="88"/>
      <c r="D579" s="91"/>
      <c r="E579" s="92"/>
      <c r="F579" s="94"/>
    </row>
    <row r="580" spans="1:6" x14ac:dyDescent="0.25">
      <c r="A580" s="86"/>
      <c r="B580" s="86"/>
      <c r="C580" s="88"/>
      <c r="D580" s="91"/>
      <c r="E580" s="92"/>
      <c r="F580" s="94"/>
    </row>
    <row r="581" spans="1:6" x14ac:dyDescent="0.25">
      <c r="A581" s="86"/>
      <c r="B581" s="86"/>
      <c r="C581" s="88"/>
      <c r="D581" s="91"/>
      <c r="E581" s="92"/>
      <c r="F581" s="94"/>
    </row>
    <row r="582" spans="1:6" x14ac:dyDescent="0.25">
      <c r="A582" s="86"/>
      <c r="B582" s="86"/>
      <c r="C582" s="88"/>
      <c r="D582" s="91"/>
      <c r="E582" s="92"/>
      <c r="F582" s="94"/>
    </row>
    <row r="583" spans="1:6" x14ac:dyDescent="0.25">
      <c r="A583" s="86"/>
      <c r="B583" s="86"/>
      <c r="C583" s="88"/>
      <c r="D583" s="91"/>
      <c r="E583" s="92"/>
      <c r="F583" s="94"/>
    </row>
    <row r="584" spans="1:6" x14ac:dyDescent="0.25">
      <c r="A584" s="86"/>
      <c r="B584" s="86"/>
      <c r="C584" s="88"/>
      <c r="D584" s="91"/>
      <c r="E584" s="92"/>
      <c r="F584" s="94"/>
    </row>
    <row r="585" spans="1:6" x14ac:dyDescent="0.25">
      <c r="A585" s="86"/>
      <c r="B585" s="86"/>
      <c r="C585" s="88"/>
      <c r="D585" s="91"/>
      <c r="E585" s="92"/>
      <c r="F585" s="94"/>
    </row>
    <row r="586" spans="1:6" x14ac:dyDescent="0.25">
      <c r="A586" s="86"/>
      <c r="B586" s="86"/>
      <c r="C586" s="88"/>
      <c r="D586" s="91"/>
      <c r="E586" s="92"/>
      <c r="F586" s="94"/>
    </row>
    <row r="587" spans="1:6" x14ac:dyDescent="0.25">
      <c r="A587" s="86"/>
      <c r="B587" s="86"/>
      <c r="C587" s="88"/>
      <c r="D587" s="91"/>
      <c r="E587" s="92"/>
      <c r="F587" s="94"/>
    </row>
    <row r="588" spans="1:6" x14ac:dyDescent="0.25">
      <c r="A588" s="86"/>
      <c r="B588" s="86"/>
      <c r="C588" s="88"/>
      <c r="D588" s="91"/>
      <c r="E588" s="92"/>
      <c r="F588" s="94"/>
    </row>
    <row r="589" spans="1:6" x14ac:dyDescent="0.25">
      <c r="A589" s="86"/>
      <c r="B589" s="86"/>
      <c r="C589" s="88"/>
      <c r="D589" s="91"/>
      <c r="E589" s="92"/>
      <c r="F589" s="94"/>
    </row>
    <row r="590" spans="1:6" x14ac:dyDescent="0.25">
      <c r="A590" s="86"/>
      <c r="B590" s="86"/>
      <c r="C590" s="88"/>
      <c r="D590" s="91"/>
      <c r="E590" s="92"/>
      <c r="F590" s="94"/>
    </row>
    <row r="591" spans="1:6" x14ac:dyDescent="0.25">
      <c r="A591" s="86"/>
      <c r="B591" s="86"/>
      <c r="C591" s="88"/>
      <c r="D591" s="91"/>
      <c r="E591" s="92"/>
      <c r="F591" s="94"/>
    </row>
    <row r="592" spans="1:6" x14ac:dyDescent="0.25">
      <c r="A592" s="86"/>
      <c r="B592" s="86"/>
      <c r="C592" s="88"/>
      <c r="D592" s="91"/>
      <c r="E592" s="92"/>
      <c r="F592" s="94"/>
    </row>
    <row r="593" spans="1:6" x14ac:dyDescent="0.25">
      <c r="A593" s="86"/>
      <c r="B593" s="86"/>
      <c r="C593" s="88"/>
      <c r="D593" s="91"/>
      <c r="E593" s="92"/>
      <c r="F593" s="94"/>
    </row>
    <row r="594" spans="1:6" x14ac:dyDescent="0.25">
      <c r="A594" s="86"/>
      <c r="B594" s="86"/>
      <c r="C594" s="88"/>
      <c r="D594" s="91"/>
      <c r="E594" s="92"/>
      <c r="F594" s="94"/>
    </row>
    <row r="595" spans="1:6" x14ac:dyDescent="0.25">
      <c r="A595" s="86"/>
      <c r="B595" s="86"/>
      <c r="C595" s="88"/>
      <c r="D595" s="91"/>
      <c r="E595" s="92"/>
      <c r="F595" s="94"/>
    </row>
    <row r="596" spans="1:6" x14ac:dyDescent="0.25">
      <c r="A596" s="86"/>
      <c r="B596" s="86"/>
      <c r="C596" s="88"/>
      <c r="D596" s="91"/>
      <c r="E596" s="92"/>
      <c r="F596" s="94"/>
    </row>
    <row r="597" spans="1:6" x14ac:dyDescent="0.25">
      <c r="A597" s="86"/>
      <c r="B597" s="86"/>
      <c r="C597" s="88"/>
      <c r="D597" s="91"/>
      <c r="E597" s="92"/>
      <c r="F597" s="94"/>
    </row>
    <row r="598" spans="1:6" x14ac:dyDescent="0.25">
      <c r="A598" s="86"/>
      <c r="B598" s="86"/>
      <c r="C598" s="88"/>
      <c r="D598" s="91"/>
      <c r="E598" s="92"/>
      <c r="F598" s="94"/>
    </row>
    <row r="599" spans="1:6" x14ac:dyDescent="0.25">
      <c r="A599" s="86"/>
      <c r="B599" s="86"/>
      <c r="C599" s="88"/>
      <c r="D599" s="91"/>
      <c r="E599" s="92"/>
      <c r="F599" s="94"/>
    </row>
    <row r="600" spans="1:6" x14ac:dyDescent="0.25">
      <c r="A600" s="86"/>
      <c r="B600" s="86"/>
      <c r="C600" s="88"/>
      <c r="D600" s="91"/>
      <c r="E600" s="92"/>
      <c r="F600" s="94"/>
    </row>
    <row r="601" spans="1:6" x14ac:dyDescent="0.25">
      <c r="A601" s="86"/>
      <c r="B601" s="86"/>
      <c r="C601" s="88"/>
      <c r="D601" s="91"/>
      <c r="E601" s="92"/>
      <c r="F601" s="94"/>
    </row>
    <row r="602" spans="1:6" x14ac:dyDescent="0.25">
      <c r="A602" s="86"/>
      <c r="B602" s="86"/>
      <c r="C602" s="88"/>
      <c r="D602" s="91"/>
      <c r="E602" s="92"/>
      <c r="F602" s="94"/>
    </row>
    <row r="603" spans="1:6" x14ac:dyDescent="0.25">
      <c r="A603" s="86"/>
      <c r="B603" s="86"/>
      <c r="C603" s="88"/>
      <c r="D603" s="91"/>
      <c r="E603" s="92"/>
      <c r="F603" s="94"/>
    </row>
    <row r="604" spans="1:6" x14ac:dyDescent="0.25">
      <c r="A604" s="86"/>
      <c r="B604" s="86"/>
      <c r="C604" s="88"/>
      <c r="D604" s="91"/>
      <c r="E604" s="92"/>
      <c r="F604" s="94"/>
    </row>
    <row r="605" spans="1:6" x14ac:dyDescent="0.25">
      <c r="A605" s="86"/>
      <c r="B605" s="86"/>
      <c r="C605" s="88"/>
      <c r="D605" s="91"/>
      <c r="E605" s="92"/>
      <c r="F605" s="94"/>
    </row>
    <row r="606" spans="1:6" x14ac:dyDescent="0.25">
      <c r="A606" s="86"/>
      <c r="B606" s="86"/>
      <c r="C606" s="88"/>
      <c r="D606" s="91"/>
      <c r="E606" s="92"/>
      <c r="F606" s="94"/>
    </row>
    <row r="607" spans="1:6" x14ac:dyDescent="0.25">
      <c r="A607" s="86"/>
      <c r="B607" s="86"/>
      <c r="C607" s="88"/>
      <c r="D607" s="91"/>
      <c r="E607" s="92"/>
      <c r="F607" s="94"/>
    </row>
    <row r="608" spans="1:6" x14ac:dyDescent="0.25">
      <c r="A608" s="86"/>
      <c r="B608" s="86"/>
      <c r="C608" s="88"/>
      <c r="D608" s="91"/>
      <c r="E608" s="92"/>
      <c r="F608" s="94"/>
    </row>
    <row r="609" spans="1:6" x14ac:dyDescent="0.25">
      <c r="A609" s="86"/>
      <c r="B609" s="86"/>
      <c r="C609" s="88"/>
      <c r="D609" s="91"/>
      <c r="E609" s="92"/>
      <c r="F609" s="94"/>
    </row>
    <row r="610" spans="1:6" x14ac:dyDescent="0.25">
      <c r="A610" s="86"/>
      <c r="B610" s="86"/>
      <c r="C610" s="88"/>
      <c r="D610" s="91"/>
      <c r="E610" s="92"/>
      <c r="F610" s="94"/>
    </row>
    <row r="611" spans="1:6" x14ac:dyDescent="0.25">
      <c r="A611" s="86"/>
      <c r="B611" s="86"/>
      <c r="C611" s="88"/>
      <c r="D611" s="91"/>
      <c r="E611" s="92"/>
      <c r="F611" s="94"/>
    </row>
    <row r="612" spans="1:6" x14ac:dyDescent="0.25">
      <c r="A612" s="86"/>
      <c r="B612" s="86"/>
      <c r="C612" s="88"/>
      <c r="D612" s="91"/>
      <c r="E612" s="92"/>
      <c r="F612" s="94"/>
    </row>
    <row r="613" spans="1:6" x14ac:dyDescent="0.25">
      <c r="A613" s="86"/>
      <c r="B613" s="86"/>
      <c r="C613" s="88"/>
      <c r="D613" s="91"/>
      <c r="E613" s="92"/>
      <c r="F613" s="94"/>
    </row>
    <row r="614" spans="1:6" x14ac:dyDescent="0.25">
      <c r="A614" s="86"/>
      <c r="B614" s="86"/>
      <c r="C614" s="88"/>
      <c r="D614" s="91"/>
      <c r="E614" s="92"/>
      <c r="F614" s="94"/>
    </row>
    <row r="615" spans="1:6" x14ac:dyDescent="0.25">
      <c r="A615" s="86"/>
      <c r="B615" s="86"/>
      <c r="C615" s="88"/>
      <c r="D615" s="91"/>
      <c r="E615" s="92"/>
      <c r="F615" s="94"/>
    </row>
    <row r="616" spans="1:6" x14ac:dyDescent="0.25">
      <c r="A616" s="86"/>
      <c r="B616" s="86"/>
      <c r="C616" s="88"/>
      <c r="D616" s="91"/>
      <c r="E616" s="92"/>
      <c r="F616" s="94"/>
    </row>
    <row r="617" spans="1:6" x14ac:dyDescent="0.25">
      <c r="A617" s="86"/>
      <c r="B617" s="86"/>
      <c r="C617" s="88"/>
      <c r="D617" s="91"/>
      <c r="E617" s="92"/>
      <c r="F617" s="94"/>
    </row>
    <row r="618" spans="1:6" x14ac:dyDescent="0.25">
      <c r="A618" s="86"/>
      <c r="B618" s="86"/>
      <c r="C618" s="88"/>
      <c r="D618" s="91"/>
      <c r="E618" s="92"/>
      <c r="F618" s="94"/>
    </row>
    <row r="619" spans="1:6" x14ac:dyDescent="0.25">
      <c r="A619" s="86"/>
      <c r="B619" s="86"/>
      <c r="C619" s="88"/>
      <c r="D619" s="91"/>
      <c r="E619" s="92"/>
      <c r="F619" s="94"/>
    </row>
    <row r="620" spans="1:6" x14ac:dyDescent="0.25">
      <c r="A620" s="86"/>
      <c r="B620" s="86"/>
      <c r="C620" s="88"/>
      <c r="D620" s="91"/>
      <c r="E620" s="92"/>
      <c r="F620" s="94"/>
    </row>
    <row r="621" spans="1:6" x14ac:dyDescent="0.25">
      <c r="A621" s="86"/>
      <c r="B621" s="86"/>
      <c r="C621" s="88"/>
      <c r="D621" s="91"/>
      <c r="E621" s="92"/>
      <c r="F621" s="94"/>
    </row>
    <row r="622" spans="1:6" x14ac:dyDescent="0.25">
      <c r="A622" s="86"/>
      <c r="B622" s="86"/>
      <c r="C622" s="88"/>
      <c r="D622" s="91"/>
      <c r="E622" s="92"/>
      <c r="F622" s="94"/>
    </row>
    <row r="623" spans="1:6" x14ac:dyDescent="0.25">
      <c r="A623" s="86"/>
      <c r="B623" s="86"/>
      <c r="C623" s="88"/>
      <c r="D623" s="91"/>
      <c r="E623" s="92"/>
      <c r="F623" s="94"/>
    </row>
    <row r="624" spans="1:6" x14ac:dyDescent="0.25">
      <c r="A624" s="86"/>
      <c r="B624" s="86"/>
      <c r="C624" s="88"/>
      <c r="D624" s="91"/>
      <c r="E624" s="92"/>
      <c r="F624" s="94"/>
    </row>
    <row r="625" spans="1:6" x14ac:dyDescent="0.25">
      <c r="A625" s="86"/>
      <c r="B625" s="86"/>
      <c r="C625" s="88"/>
      <c r="D625" s="91"/>
      <c r="E625" s="92"/>
      <c r="F625" s="94"/>
    </row>
    <row r="626" spans="1:6" x14ac:dyDescent="0.25">
      <c r="A626" s="86"/>
      <c r="B626" s="86"/>
      <c r="C626" s="88"/>
      <c r="D626" s="91"/>
      <c r="E626" s="92"/>
      <c r="F626" s="94"/>
    </row>
    <row r="627" spans="1:6" x14ac:dyDescent="0.25">
      <c r="A627" s="86"/>
      <c r="B627" s="86"/>
      <c r="C627" s="88"/>
      <c r="D627" s="91"/>
      <c r="E627" s="92"/>
      <c r="F627" s="94"/>
    </row>
    <row r="628" spans="1:6" x14ac:dyDescent="0.25">
      <c r="A628" s="86"/>
      <c r="B628" s="86"/>
      <c r="C628" s="88"/>
      <c r="D628" s="91"/>
      <c r="E628" s="92"/>
      <c r="F628" s="94"/>
    </row>
    <row r="629" spans="1:6" x14ac:dyDescent="0.25">
      <c r="A629" s="86"/>
      <c r="B629" s="86"/>
      <c r="C629" s="88"/>
      <c r="D629" s="91"/>
      <c r="E629" s="92"/>
      <c r="F629" s="94"/>
    </row>
    <row r="630" spans="1:6" x14ac:dyDescent="0.25">
      <c r="A630" s="86"/>
      <c r="B630" s="86"/>
      <c r="C630" s="88"/>
      <c r="D630" s="91"/>
      <c r="E630" s="92"/>
      <c r="F630" s="94"/>
    </row>
    <row r="631" spans="1:6" x14ac:dyDescent="0.25">
      <c r="A631" s="86"/>
      <c r="B631" s="86"/>
      <c r="C631" s="88"/>
      <c r="D631" s="91"/>
      <c r="E631" s="92"/>
      <c r="F631" s="94"/>
    </row>
    <row r="632" spans="1:6" x14ac:dyDescent="0.25">
      <c r="A632" s="86"/>
      <c r="B632" s="86"/>
      <c r="C632" s="88"/>
      <c r="D632" s="91"/>
      <c r="E632" s="92"/>
      <c r="F632" s="94"/>
    </row>
    <row r="633" spans="1:6" x14ac:dyDescent="0.25">
      <c r="A633" s="86"/>
      <c r="B633" s="86"/>
      <c r="C633" s="88"/>
      <c r="D633" s="91"/>
      <c r="E633" s="92"/>
      <c r="F633" s="94"/>
    </row>
    <row r="634" spans="1:6" x14ac:dyDescent="0.25">
      <c r="A634" s="86"/>
      <c r="B634" s="86"/>
      <c r="C634" s="88"/>
      <c r="D634" s="91"/>
      <c r="E634" s="92"/>
      <c r="F634" s="94"/>
    </row>
    <row r="635" spans="1:6" x14ac:dyDescent="0.25">
      <c r="A635" s="86"/>
      <c r="B635" s="86"/>
      <c r="C635" s="88"/>
      <c r="D635" s="91"/>
      <c r="E635" s="92"/>
      <c r="F635" s="94"/>
    </row>
    <row r="636" spans="1:6" x14ac:dyDescent="0.25">
      <c r="A636" s="86"/>
      <c r="B636" s="86"/>
      <c r="C636" s="88"/>
      <c r="D636" s="91"/>
      <c r="E636" s="92"/>
      <c r="F636" s="94"/>
    </row>
    <row r="637" spans="1:6" x14ac:dyDescent="0.25">
      <c r="A637" s="86"/>
      <c r="B637" s="86"/>
      <c r="C637" s="88"/>
      <c r="D637" s="91"/>
      <c r="E637" s="92"/>
      <c r="F637" s="94"/>
    </row>
    <row r="638" spans="1:6" x14ac:dyDescent="0.25">
      <c r="A638" s="86"/>
      <c r="B638" s="86"/>
      <c r="C638" s="88"/>
      <c r="D638" s="91"/>
      <c r="E638" s="92"/>
      <c r="F638" s="94"/>
    </row>
    <row r="639" spans="1:6" x14ac:dyDescent="0.25">
      <c r="A639" s="86"/>
      <c r="B639" s="86"/>
      <c r="C639" s="88"/>
      <c r="D639" s="91"/>
      <c r="E639" s="92"/>
      <c r="F639" s="94"/>
    </row>
    <row r="640" spans="1:6" x14ac:dyDescent="0.25">
      <c r="A640" s="86"/>
      <c r="B640" s="86"/>
      <c r="C640" s="88"/>
      <c r="D640" s="91"/>
      <c r="E640" s="92"/>
      <c r="F640" s="94"/>
    </row>
    <row r="641" spans="1:6" x14ac:dyDescent="0.25">
      <c r="A641" s="86"/>
      <c r="B641" s="86"/>
      <c r="C641" s="88"/>
      <c r="D641" s="91"/>
      <c r="E641" s="92"/>
      <c r="F641" s="94"/>
    </row>
    <row r="642" spans="1:6" x14ac:dyDescent="0.25">
      <c r="A642" s="86"/>
      <c r="B642" s="86"/>
      <c r="C642" s="88"/>
      <c r="D642" s="91"/>
      <c r="E642" s="92"/>
      <c r="F642" s="94"/>
    </row>
    <row r="643" spans="1:6" x14ac:dyDescent="0.25">
      <c r="A643" s="86"/>
      <c r="B643" s="86"/>
      <c r="C643" s="88"/>
      <c r="D643" s="91"/>
      <c r="E643" s="92"/>
      <c r="F643" s="94"/>
    </row>
    <row r="644" spans="1:6" x14ac:dyDescent="0.25">
      <c r="A644" s="86"/>
      <c r="B644" s="86"/>
      <c r="C644" s="88"/>
      <c r="D644" s="91"/>
      <c r="E644" s="92"/>
      <c r="F644" s="94"/>
    </row>
    <row r="645" spans="1:6" x14ac:dyDescent="0.25">
      <c r="A645" s="86"/>
      <c r="B645" s="86"/>
      <c r="C645" s="88"/>
      <c r="D645" s="91"/>
      <c r="E645" s="92"/>
      <c r="F645" s="94"/>
    </row>
    <row r="646" spans="1:6" x14ac:dyDescent="0.25">
      <c r="A646" s="86"/>
      <c r="B646" s="86"/>
      <c r="C646" s="88"/>
      <c r="D646" s="91"/>
      <c r="E646" s="92"/>
      <c r="F646" s="94"/>
    </row>
    <row r="647" spans="1:6" x14ac:dyDescent="0.25">
      <c r="A647" s="86"/>
      <c r="B647" s="86"/>
      <c r="C647" s="88"/>
      <c r="D647" s="91"/>
      <c r="E647" s="92"/>
      <c r="F647" s="94"/>
    </row>
    <row r="648" spans="1:6" x14ac:dyDescent="0.25">
      <c r="A648" s="86"/>
      <c r="B648" s="86"/>
      <c r="C648" s="88"/>
      <c r="D648" s="91"/>
      <c r="E648" s="92"/>
      <c r="F648" s="94"/>
    </row>
    <row r="649" spans="1:6" x14ac:dyDescent="0.25">
      <c r="A649" s="86"/>
      <c r="B649" s="86"/>
      <c r="C649" s="88"/>
      <c r="D649" s="91"/>
      <c r="E649" s="92"/>
      <c r="F649" s="94"/>
    </row>
    <row r="650" spans="1:6" x14ac:dyDescent="0.25">
      <c r="A650" s="86"/>
      <c r="B650" s="86"/>
      <c r="C650" s="88"/>
      <c r="D650" s="91"/>
      <c r="E650" s="92"/>
      <c r="F650" s="94"/>
    </row>
    <row r="651" spans="1:6" x14ac:dyDescent="0.25">
      <c r="A651" s="86"/>
      <c r="B651" s="86"/>
      <c r="C651" s="88"/>
      <c r="D651" s="91"/>
      <c r="E651" s="92"/>
      <c r="F651" s="94"/>
    </row>
    <row r="652" spans="1:6" x14ac:dyDescent="0.25">
      <c r="A652" s="86"/>
      <c r="B652" s="86"/>
      <c r="C652" s="88"/>
      <c r="D652" s="91"/>
      <c r="E652" s="92"/>
      <c r="F652" s="94"/>
    </row>
    <row r="653" spans="1:6" x14ac:dyDescent="0.25">
      <c r="A653" s="86"/>
      <c r="B653" s="86"/>
      <c r="C653" s="88"/>
      <c r="D653" s="91"/>
      <c r="E653" s="92"/>
      <c r="F653" s="94"/>
    </row>
    <row r="654" spans="1:6" x14ac:dyDescent="0.25">
      <c r="A654" s="86"/>
      <c r="B654" s="86"/>
      <c r="C654" s="88"/>
      <c r="D654" s="91"/>
      <c r="E654" s="92"/>
      <c r="F654" s="94"/>
    </row>
    <row r="655" spans="1:6" x14ac:dyDescent="0.25">
      <c r="A655" s="86"/>
      <c r="B655" s="86"/>
      <c r="C655" s="88"/>
      <c r="D655" s="91"/>
      <c r="E655" s="92"/>
      <c r="F655" s="94"/>
    </row>
    <row r="656" spans="1:6" x14ac:dyDescent="0.25">
      <c r="A656" s="86"/>
      <c r="B656" s="86"/>
      <c r="C656" s="88"/>
      <c r="D656" s="91"/>
      <c r="E656" s="92"/>
      <c r="F656" s="94"/>
    </row>
    <row r="657" spans="1:6" x14ac:dyDescent="0.25">
      <c r="A657" s="86"/>
      <c r="B657" s="86"/>
      <c r="C657" s="88"/>
      <c r="D657" s="91"/>
      <c r="E657" s="92"/>
      <c r="F657" s="94"/>
    </row>
    <row r="658" spans="1:6" x14ac:dyDescent="0.25">
      <c r="A658" s="86"/>
      <c r="B658" s="86"/>
      <c r="C658" s="88"/>
      <c r="D658" s="91"/>
      <c r="E658" s="92"/>
      <c r="F658" s="94"/>
    </row>
    <row r="659" spans="1:6" x14ac:dyDescent="0.25">
      <c r="A659" s="86"/>
      <c r="B659" s="86"/>
      <c r="C659" s="88"/>
      <c r="D659" s="91"/>
      <c r="E659" s="92"/>
      <c r="F659" s="94"/>
    </row>
    <row r="660" spans="1:6" x14ac:dyDescent="0.25">
      <c r="A660" s="86"/>
      <c r="B660" s="86"/>
      <c r="C660" s="88"/>
      <c r="D660" s="91"/>
      <c r="E660" s="92"/>
      <c r="F660" s="94"/>
    </row>
    <row r="661" spans="1:6" x14ac:dyDescent="0.25">
      <c r="A661" s="86"/>
      <c r="B661" s="86"/>
      <c r="C661" s="88"/>
      <c r="D661" s="91"/>
      <c r="E661" s="92"/>
      <c r="F661" s="94"/>
    </row>
    <row r="662" spans="1:6" x14ac:dyDescent="0.25">
      <c r="A662" s="86"/>
      <c r="B662" s="86"/>
      <c r="C662" s="88"/>
      <c r="D662" s="91"/>
      <c r="E662" s="92"/>
      <c r="F662" s="94"/>
    </row>
    <row r="663" spans="1:6" x14ac:dyDescent="0.25">
      <c r="A663" s="86"/>
      <c r="B663" s="86"/>
      <c r="C663" s="88"/>
      <c r="D663" s="91"/>
      <c r="E663" s="92"/>
      <c r="F663" s="94"/>
    </row>
    <row r="664" spans="1:6" x14ac:dyDescent="0.25">
      <c r="A664" s="86"/>
      <c r="B664" s="86"/>
      <c r="C664" s="88"/>
      <c r="D664" s="91"/>
      <c r="E664" s="92"/>
      <c r="F664" s="94"/>
    </row>
    <row r="665" spans="1:6" x14ac:dyDescent="0.25">
      <c r="A665" s="86"/>
      <c r="B665" s="86"/>
      <c r="C665" s="88"/>
      <c r="D665" s="91"/>
      <c r="E665" s="92"/>
      <c r="F665" s="94"/>
    </row>
    <row r="666" spans="1:6" x14ac:dyDescent="0.25">
      <c r="A666" s="86"/>
      <c r="B666" s="86"/>
      <c r="C666" s="88"/>
      <c r="D666" s="91"/>
      <c r="E666" s="92"/>
      <c r="F666" s="94"/>
    </row>
    <row r="667" spans="1:6" x14ac:dyDescent="0.25">
      <c r="A667" s="86"/>
      <c r="B667" s="86"/>
      <c r="C667" s="88"/>
      <c r="D667" s="91"/>
      <c r="E667" s="92"/>
      <c r="F667" s="94"/>
    </row>
    <row r="668" spans="1:6" x14ac:dyDescent="0.25">
      <c r="A668" s="86"/>
      <c r="B668" s="86"/>
      <c r="C668" s="88"/>
      <c r="D668" s="91"/>
      <c r="E668" s="92"/>
      <c r="F668" s="94"/>
    </row>
    <row r="669" spans="1:6" x14ac:dyDescent="0.25">
      <c r="A669" s="86"/>
      <c r="B669" s="86"/>
      <c r="C669" s="88"/>
      <c r="D669" s="91"/>
      <c r="E669" s="92"/>
      <c r="F669" s="94"/>
    </row>
    <row r="670" spans="1:6" x14ac:dyDescent="0.25">
      <c r="A670" s="86"/>
      <c r="B670" s="86"/>
      <c r="C670" s="88"/>
      <c r="D670" s="91"/>
      <c r="E670" s="92"/>
      <c r="F670" s="94"/>
    </row>
    <row r="671" spans="1:6" x14ac:dyDescent="0.25">
      <c r="A671" s="86"/>
      <c r="B671" s="86"/>
      <c r="C671" s="88"/>
      <c r="D671" s="91"/>
      <c r="E671" s="92"/>
      <c r="F671" s="94"/>
    </row>
    <row r="672" spans="1:6" x14ac:dyDescent="0.25">
      <c r="A672" s="86"/>
      <c r="B672" s="86"/>
      <c r="C672" s="88"/>
      <c r="D672" s="91"/>
      <c r="E672" s="92"/>
      <c r="F672" s="94"/>
    </row>
    <row r="673" spans="1:6" x14ac:dyDescent="0.25">
      <c r="A673" s="86"/>
      <c r="B673" s="86"/>
      <c r="C673" s="88"/>
      <c r="D673" s="91"/>
      <c r="E673" s="92"/>
      <c r="F673" s="94"/>
    </row>
    <row r="674" spans="1:6" x14ac:dyDescent="0.25">
      <c r="A674" s="86"/>
      <c r="B674" s="86"/>
      <c r="C674" s="88"/>
      <c r="D674" s="91"/>
      <c r="E674" s="92"/>
      <c r="F674" s="94"/>
    </row>
    <row r="675" spans="1:6" x14ac:dyDescent="0.25">
      <c r="A675" s="86"/>
      <c r="B675" s="86"/>
      <c r="C675" s="88"/>
      <c r="D675" s="91"/>
      <c r="E675" s="92"/>
      <c r="F675" s="94"/>
    </row>
    <row r="676" spans="1:6" x14ac:dyDescent="0.25">
      <c r="A676" s="86"/>
      <c r="B676" s="86"/>
      <c r="C676" s="88"/>
      <c r="D676" s="91"/>
      <c r="E676" s="92"/>
      <c r="F676" s="94"/>
    </row>
    <row r="677" spans="1:6" x14ac:dyDescent="0.25">
      <c r="A677" s="86"/>
      <c r="B677" s="86"/>
      <c r="C677" s="88"/>
      <c r="D677" s="91"/>
      <c r="E677" s="92"/>
      <c r="F677" s="94"/>
    </row>
    <row r="678" spans="1:6" x14ac:dyDescent="0.25">
      <c r="A678" s="86"/>
      <c r="B678" s="86"/>
      <c r="C678" s="88"/>
      <c r="D678" s="91"/>
      <c r="E678" s="92"/>
      <c r="F678" s="94"/>
    </row>
    <row r="679" spans="1:6" x14ac:dyDescent="0.25">
      <c r="A679" s="86"/>
      <c r="B679" s="86"/>
      <c r="C679" s="88"/>
      <c r="D679" s="91"/>
      <c r="E679" s="92"/>
      <c r="F679" s="94"/>
    </row>
    <row r="680" spans="1:6" x14ac:dyDescent="0.25">
      <c r="A680" s="86"/>
      <c r="B680" s="86"/>
      <c r="C680" s="88"/>
      <c r="D680" s="91"/>
      <c r="E680" s="92"/>
      <c r="F680" s="94"/>
    </row>
    <row r="681" spans="1:6" x14ac:dyDescent="0.25">
      <c r="A681" s="86"/>
      <c r="B681" s="86"/>
      <c r="C681" s="88"/>
      <c r="D681" s="91"/>
      <c r="E681" s="92"/>
      <c r="F681" s="94"/>
    </row>
    <row r="682" spans="1:6" x14ac:dyDescent="0.25">
      <c r="A682" s="86"/>
      <c r="B682" s="86"/>
      <c r="C682" s="88"/>
      <c r="D682" s="91"/>
      <c r="E682" s="92"/>
      <c r="F682" s="94"/>
    </row>
    <row r="683" spans="1:6" x14ac:dyDescent="0.25">
      <c r="A683" s="86"/>
      <c r="B683" s="86"/>
      <c r="C683" s="88"/>
      <c r="D683" s="91"/>
      <c r="E683" s="92"/>
      <c r="F683" s="94"/>
    </row>
    <row r="684" spans="1:6" x14ac:dyDescent="0.25">
      <c r="A684" s="86"/>
      <c r="B684" s="86"/>
      <c r="C684" s="88"/>
      <c r="D684" s="91"/>
      <c r="E684" s="92"/>
      <c r="F684" s="94"/>
    </row>
    <row r="685" spans="1:6" x14ac:dyDescent="0.25">
      <c r="A685" s="86"/>
      <c r="B685" s="86"/>
      <c r="C685" s="88"/>
      <c r="D685" s="91"/>
      <c r="E685" s="92"/>
      <c r="F685" s="94"/>
    </row>
    <row r="686" spans="1:6" x14ac:dyDescent="0.25">
      <c r="A686" s="86"/>
      <c r="B686" s="86"/>
      <c r="C686" s="88"/>
      <c r="D686" s="91"/>
      <c r="E686" s="92"/>
      <c r="F686" s="94"/>
    </row>
    <row r="687" spans="1:6" x14ac:dyDescent="0.25">
      <c r="A687" s="86"/>
      <c r="B687" s="86"/>
      <c r="C687" s="88"/>
      <c r="D687" s="91"/>
      <c r="E687" s="92"/>
      <c r="F687" s="94"/>
    </row>
    <row r="688" spans="1:6" x14ac:dyDescent="0.25">
      <c r="A688" s="86"/>
      <c r="B688" s="86"/>
      <c r="C688" s="88"/>
      <c r="D688" s="91"/>
      <c r="E688" s="92"/>
      <c r="F688" s="94"/>
    </row>
    <row r="689" spans="1:6" x14ac:dyDescent="0.25">
      <c r="A689" s="86"/>
      <c r="B689" s="86"/>
      <c r="C689" s="88"/>
      <c r="D689" s="91"/>
      <c r="E689" s="92"/>
      <c r="F689" s="94"/>
    </row>
    <row r="690" spans="1:6" x14ac:dyDescent="0.25">
      <c r="A690" s="86"/>
      <c r="B690" s="86"/>
      <c r="C690" s="88"/>
      <c r="D690" s="91"/>
      <c r="E690" s="92"/>
      <c r="F690" s="94"/>
    </row>
    <row r="691" spans="1:6" x14ac:dyDescent="0.25">
      <c r="A691" s="86"/>
      <c r="B691" s="86"/>
      <c r="C691" s="88"/>
      <c r="D691" s="91"/>
      <c r="E691" s="92"/>
      <c r="F691" s="94"/>
    </row>
    <row r="692" spans="1:6" x14ac:dyDescent="0.25">
      <c r="A692" s="86"/>
      <c r="B692" s="86"/>
      <c r="C692" s="88"/>
      <c r="D692" s="91"/>
      <c r="E692" s="92"/>
      <c r="F692" s="94"/>
    </row>
    <row r="693" spans="1:6" x14ac:dyDescent="0.25">
      <c r="A693" s="86"/>
      <c r="B693" s="86"/>
      <c r="C693" s="88"/>
      <c r="D693" s="91"/>
      <c r="E693" s="92"/>
      <c r="F693" s="94"/>
    </row>
    <row r="694" spans="1:6" x14ac:dyDescent="0.25">
      <c r="A694" s="86"/>
      <c r="B694" s="86"/>
      <c r="C694" s="88"/>
      <c r="D694" s="91"/>
      <c r="E694" s="92"/>
      <c r="F694" s="94"/>
    </row>
    <row r="695" spans="1:6" x14ac:dyDescent="0.25">
      <c r="A695" s="86"/>
      <c r="B695" s="86"/>
      <c r="C695" s="88"/>
      <c r="D695" s="91"/>
      <c r="E695" s="92"/>
      <c r="F695" s="94"/>
    </row>
    <row r="696" spans="1:6" x14ac:dyDescent="0.25">
      <c r="A696" s="86"/>
      <c r="B696" s="86"/>
      <c r="C696" s="88"/>
      <c r="D696" s="91"/>
      <c r="E696" s="92"/>
      <c r="F696" s="94"/>
    </row>
    <row r="697" spans="1:6" x14ac:dyDescent="0.25">
      <c r="A697" s="86"/>
      <c r="B697" s="86"/>
      <c r="C697" s="88"/>
      <c r="D697" s="91"/>
      <c r="E697" s="92"/>
      <c r="F697" s="94"/>
    </row>
    <row r="698" spans="1:6" x14ac:dyDescent="0.25">
      <c r="A698" s="86"/>
      <c r="B698" s="86"/>
      <c r="C698" s="88"/>
      <c r="D698" s="91"/>
      <c r="E698" s="92"/>
      <c r="F698" s="94"/>
    </row>
    <row r="699" spans="1:6" x14ac:dyDescent="0.25">
      <c r="A699" s="86"/>
      <c r="B699" s="86"/>
      <c r="C699" s="88"/>
      <c r="D699" s="91"/>
      <c r="E699" s="92"/>
      <c r="F699" s="94"/>
    </row>
    <row r="700" spans="1:6" x14ac:dyDescent="0.25">
      <c r="A700" s="86"/>
      <c r="B700" s="86"/>
      <c r="C700" s="88"/>
      <c r="D700" s="91"/>
      <c r="E700" s="92"/>
      <c r="F700" s="94"/>
    </row>
    <row r="701" spans="1:6" x14ac:dyDescent="0.25">
      <c r="A701" s="86"/>
      <c r="B701" s="86"/>
      <c r="C701" s="88"/>
      <c r="D701" s="91"/>
      <c r="E701" s="92"/>
      <c r="F701" s="94"/>
    </row>
    <row r="702" spans="1:6" x14ac:dyDescent="0.25">
      <c r="A702" s="86"/>
      <c r="B702" s="86"/>
      <c r="C702" s="88"/>
      <c r="D702" s="91"/>
      <c r="E702" s="92"/>
      <c r="F702" s="94"/>
    </row>
    <row r="703" spans="1:6" x14ac:dyDescent="0.25">
      <c r="A703" s="86"/>
      <c r="B703" s="86"/>
      <c r="C703" s="88"/>
      <c r="D703" s="91"/>
      <c r="E703" s="92"/>
      <c r="F703" s="94"/>
    </row>
    <row r="704" spans="1:6" x14ac:dyDescent="0.25">
      <c r="A704" s="86"/>
      <c r="B704" s="86"/>
      <c r="C704" s="88"/>
      <c r="D704" s="91"/>
      <c r="E704" s="92"/>
      <c r="F704" s="94"/>
    </row>
    <row r="705" spans="1:6" x14ac:dyDescent="0.25">
      <c r="A705" s="86"/>
      <c r="B705" s="86"/>
      <c r="C705" s="88"/>
      <c r="D705" s="91"/>
      <c r="E705" s="92"/>
      <c r="F705" s="94"/>
    </row>
    <row r="706" spans="1:6" x14ac:dyDescent="0.25">
      <c r="A706" s="86"/>
      <c r="B706" s="86"/>
      <c r="C706" s="88"/>
      <c r="D706" s="91"/>
      <c r="E706" s="92"/>
      <c r="F706" s="94"/>
    </row>
    <row r="707" spans="1:6" x14ac:dyDescent="0.25">
      <c r="A707" s="86"/>
      <c r="B707" s="86"/>
      <c r="C707" s="88"/>
      <c r="D707" s="91"/>
      <c r="E707" s="92"/>
      <c r="F707" s="94"/>
    </row>
    <row r="708" spans="1:6" x14ac:dyDescent="0.25">
      <c r="A708" s="86"/>
      <c r="B708" s="86"/>
      <c r="C708" s="88"/>
      <c r="D708" s="91"/>
      <c r="E708" s="92"/>
      <c r="F708" s="94"/>
    </row>
    <row r="709" spans="1:6" x14ac:dyDescent="0.25">
      <c r="A709" s="86"/>
      <c r="B709" s="86"/>
      <c r="C709" s="88"/>
      <c r="D709" s="91"/>
      <c r="E709" s="92"/>
      <c r="F709" s="94"/>
    </row>
    <row r="710" spans="1:6" x14ac:dyDescent="0.25">
      <c r="A710" s="86"/>
      <c r="B710" s="86"/>
      <c r="C710" s="88"/>
      <c r="D710" s="91"/>
      <c r="E710" s="92"/>
      <c r="F710" s="94"/>
    </row>
    <row r="711" spans="1:6" x14ac:dyDescent="0.25">
      <c r="A711" s="86"/>
      <c r="B711" s="86"/>
      <c r="C711" s="88"/>
      <c r="D711" s="91"/>
      <c r="E711" s="92"/>
      <c r="F711" s="94"/>
    </row>
    <row r="712" spans="1:6" x14ac:dyDescent="0.25">
      <c r="A712" s="86"/>
      <c r="B712" s="86"/>
      <c r="C712" s="88"/>
      <c r="D712" s="91"/>
      <c r="E712" s="92"/>
      <c r="F712" s="94"/>
    </row>
    <row r="713" spans="1:6" x14ac:dyDescent="0.25">
      <c r="A713" s="86"/>
      <c r="B713" s="86"/>
      <c r="C713" s="88"/>
      <c r="D713" s="91"/>
      <c r="E713" s="92"/>
      <c r="F713" s="94"/>
    </row>
    <row r="714" spans="1:6" x14ac:dyDescent="0.25">
      <c r="A714" s="86"/>
      <c r="B714" s="86"/>
      <c r="C714" s="88"/>
      <c r="D714" s="91"/>
      <c r="E714" s="92"/>
      <c r="F714" s="94"/>
    </row>
    <row r="715" spans="1:6" x14ac:dyDescent="0.25">
      <c r="A715" s="86"/>
      <c r="B715" s="86"/>
      <c r="C715" s="88"/>
      <c r="D715" s="91"/>
      <c r="E715" s="92"/>
      <c r="F715" s="94"/>
    </row>
    <row r="716" spans="1:6" x14ac:dyDescent="0.25">
      <c r="A716" s="86"/>
      <c r="B716" s="86"/>
      <c r="C716" s="88"/>
      <c r="D716" s="91"/>
      <c r="E716" s="92"/>
      <c r="F716" s="94"/>
    </row>
    <row r="717" spans="1:6" x14ac:dyDescent="0.25">
      <c r="A717" s="86"/>
      <c r="B717" s="86"/>
      <c r="C717" s="88"/>
      <c r="D717" s="91"/>
      <c r="E717" s="92"/>
      <c r="F717" s="94"/>
    </row>
    <row r="718" spans="1:6" x14ac:dyDescent="0.25">
      <c r="A718" s="86"/>
      <c r="B718" s="86"/>
      <c r="C718" s="88"/>
      <c r="D718" s="91"/>
      <c r="E718" s="92"/>
      <c r="F718" s="94"/>
    </row>
    <row r="719" spans="1:6" x14ac:dyDescent="0.25">
      <c r="A719" s="86"/>
      <c r="B719" s="86"/>
      <c r="C719" s="88"/>
      <c r="D719" s="91"/>
      <c r="E719" s="92"/>
      <c r="F719" s="94"/>
    </row>
    <row r="720" spans="1:6" x14ac:dyDescent="0.25">
      <c r="A720" s="86"/>
      <c r="B720" s="86"/>
      <c r="C720" s="88"/>
      <c r="D720" s="91"/>
      <c r="E720" s="92"/>
      <c r="F720" s="94"/>
    </row>
    <row r="721" spans="1:6" x14ac:dyDescent="0.25">
      <c r="A721" s="86"/>
      <c r="B721" s="86"/>
      <c r="C721" s="88"/>
      <c r="D721" s="91"/>
      <c r="E721" s="92"/>
      <c r="F721" s="94"/>
    </row>
    <row r="722" spans="1:6" x14ac:dyDescent="0.25">
      <c r="A722" s="86"/>
      <c r="B722" s="86"/>
      <c r="C722" s="88"/>
      <c r="D722" s="91"/>
      <c r="E722" s="92"/>
      <c r="F722" s="94"/>
    </row>
    <row r="723" spans="1:6" x14ac:dyDescent="0.25">
      <c r="A723" s="86"/>
      <c r="B723" s="86"/>
      <c r="C723" s="88"/>
      <c r="D723" s="91"/>
      <c r="E723" s="92"/>
      <c r="F723" s="94"/>
    </row>
    <row r="724" spans="1:6" x14ac:dyDescent="0.25">
      <c r="A724" s="86"/>
      <c r="B724" s="86"/>
      <c r="C724" s="88"/>
      <c r="D724" s="91"/>
      <c r="E724" s="92"/>
      <c r="F724" s="94"/>
    </row>
    <row r="725" spans="1:6" x14ac:dyDescent="0.25">
      <c r="A725" s="86"/>
      <c r="B725" s="86"/>
      <c r="C725" s="88"/>
      <c r="D725" s="91"/>
      <c r="E725" s="92"/>
      <c r="F725" s="94"/>
    </row>
    <row r="726" spans="1:6" x14ac:dyDescent="0.25">
      <c r="A726" s="86"/>
      <c r="B726" s="86"/>
      <c r="C726" s="88"/>
      <c r="D726" s="91"/>
      <c r="E726" s="92"/>
      <c r="F726" s="94"/>
    </row>
    <row r="727" spans="1:6" x14ac:dyDescent="0.25">
      <c r="A727" s="86"/>
      <c r="B727" s="86"/>
      <c r="C727" s="88"/>
      <c r="D727" s="91"/>
      <c r="E727" s="92"/>
      <c r="F727" s="94"/>
    </row>
    <row r="728" spans="1:6" x14ac:dyDescent="0.25">
      <c r="A728" s="86"/>
      <c r="B728" s="86"/>
      <c r="C728" s="88"/>
      <c r="D728" s="91"/>
      <c r="E728" s="92"/>
      <c r="F728" s="94"/>
    </row>
    <row r="729" spans="1:6" x14ac:dyDescent="0.25">
      <c r="A729" s="86"/>
      <c r="B729" s="86"/>
      <c r="C729" s="88"/>
      <c r="D729" s="91"/>
      <c r="E729" s="92"/>
      <c r="F729" s="94"/>
    </row>
    <row r="730" spans="1:6" x14ac:dyDescent="0.25">
      <c r="A730" s="86"/>
      <c r="B730" s="86"/>
      <c r="C730" s="88"/>
      <c r="D730" s="91"/>
      <c r="E730" s="92"/>
      <c r="F730" s="94"/>
    </row>
    <row r="731" spans="1:6" x14ac:dyDescent="0.25">
      <c r="A731" s="86"/>
      <c r="B731" s="86"/>
      <c r="C731" s="88"/>
      <c r="D731" s="91"/>
      <c r="E731" s="92"/>
      <c r="F731" s="94"/>
    </row>
    <row r="732" spans="1:6" x14ac:dyDescent="0.25">
      <c r="A732" s="86"/>
      <c r="B732" s="86"/>
      <c r="C732" s="88"/>
      <c r="D732" s="91"/>
      <c r="E732" s="92"/>
      <c r="F732" s="94"/>
    </row>
    <row r="733" spans="1:6" x14ac:dyDescent="0.25">
      <c r="A733" s="86"/>
      <c r="B733" s="86"/>
      <c r="C733" s="88"/>
      <c r="D733" s="91"/>
      <c r="E733" s="92"/>
      <c r="F733" s="94"/>
    </row>
    <row r="734" spans="1:6" x14ac:dyDescent="0.25">
      <c r="A734" s="86"/>
      <c r="B734" s="86"/>
      <c r="C734" s="88"/>
      <c r="D734" s="91"/>
      <c r="E734" s="92"/>
      <c r="F734" s="94"/>
    </row>
    <row r="735" spans="1:6" x14ac:dyDescent="0.25">
      <c r="A735" s="86"/>
      <c r="B735" s="86"/>
      <c r="C735" s="88"/>
      <c r="D735" s="91"/>
      <c r="E735" s="92"/>
      <c r="F735" s="94"/>
    </row>
    <row r="736" spans="1:6" x14ac:dyDescent="0.25">
      <c r="A736" s="86"/>
      <c r="B736" s="86"/>
      <c r="C736" s="88"/>
      <c r="D736" s="91"/>
      <c r="E736" s="92"/>
      <c r="F736" s="94"/>
    </row>
    <row r="737" spans="1:6" x14ac:dyDescent="0.25">
      <c r="A737" s="86"/>
      <c r="B737" s="86"/>
      <c r="C737" s="88"/>
      <c r="D737" s="91"/>
      <c r="E737" s="92"/>
      <c r="F737" s="94"/>
    </row>
    <row r="738" spans="1:6" x14ac:dyDescent="0.25">
      <c r="A738" s="86"/>
      <c r="B738" s="86"/>
      <c r="C738" s="88"/>
      <c r="D738" s="91"/>
      <c r="E738" s="92"/>
      <c r="F738" s="94"/>
    </row>
    <row r="739" spans="1:6" x14ac:dyDescent="0.25">
      <c r="A739" s="86"/>
      <c r="B739" s="86"/>
      <c r="C739" s="88"/>
      <c r="D739" s="91"/>
      <c r="E739" s="92"/>
      <c r="F739" s="94"/>
    </row>
    <row r="740" spans="1:6" x14ac:dyDescent="0.25">
      <c r="A740" s="86"/>
      <c r="B740" s="86"/>
      <c r="C740" s="88"/>
      <c r="D740" s="91"/>
      <c r="E740" s="92"/>
      <c r="F740" s="94"/>
    </row>
    <row r="741" spans="1:6" x14ac:dyDescent="0.25">
      <c r="A741" s="86"/>
      <c r="B741" s="86"/>
      <c r="C741" s="88"/>
      <c r="D741" s="91"/>
      <c r="E741" s="92"/>
      <c r="F741" s="94"/>
    </row>
    <row r="742" spans="1:6" x14ac:dyDescent="0.25">
      <c r="A742" s="86"/>
      <c r="B742" s="86"/>
      <c r="C742" s="88"/>
      <c r="D742" s="91"/>
      <c r="E742" s="92"/>
      <c r="F742" s="94"/>
    </row>
    <row r="743" spans="1:6" x14ac:dyDescent="0.25">
      <c r="A743" s="86"/>
      <c r="B743" s="86"/>
      <c r="C743" s="88"/>
      <c r="D743" s="91"/>
      <c r="E743" s="92"/>
      <c r="F743" s="94"/>
    </row>
    <row r="744" spans="1:6" x14ac:dyDescent="0.25">
      <c r="A744" s="86"/>
      <c r="B744" s="86"/>
      <c r="C744" s="88"/>
      <c r="D744" s="91"/>
      <c r="E744" s="92"/>
      <c r="F744" s="94"/>
    </row>
    <row r="745" spans="1:6" x14ac:dyDescent="0.25">
      <c r="A745" s="86"/>
      <c r="B745" s="86"/>
      <c r="C745" s="88"/>
      <c r="D745" s="91"/>
      <c r="E745" s="92"/>
      <c r="F745" s="94"/>
    </row>
    <row r="746" spans="1:6" x14ac:dyDescent="0.25">
      <c r="A746" s="86"/>
      <c r="B746" s="86"/>
      <c r="C746" s="88"/>
      <c r="D746" s="91"/>
      <c r="E746" s="92"/>
      <c r="F746" s="94"/>
    </row>
    <row r="747" spans="1:6" x14ac:dyDescent="0.25">
      <c r="A747" s="86"/>
      <c r="B747" s="86"/>
      <c r="C747" s="88"/>
      <c r="D747" s="91"/>
      <c r="E747" s="92"/>
      <c r="F747" s="94"/>
    </row>
    <row r="748" spans="1:6" x14ac:dyDescent="0.25">
      <c r="A748" s="86"/>
      <c r="B748" s="86"/>
      <c r="C748" s="88"/>
      <c r="D748" s="91"/>
      <c r="E748" s="92"/>
      <c r="F748" s="94"/>
    </row>
    <row r="749" spans="1:6" x14ac:dyDescent="0.25">
      <c r="A749" s="86"/>
      <c r="B749" s="86"/>
      <c r="C749" s="88"/>
      <c r="D749" s="91"/>
      <c r="E749" s="92"/>
      <c r="F749" s="94"/>
    </row>
    <row r="750" spans="1:6" x14ac:dyDescent="0.25">
      <c r="A750" s="86"/>
      <c r="B750" s="86"/>
      <c r="C750" s="88"/>
      <c r="D750" s="91"/>
      <c r="E750" s="92"/>
      <c r="F750" s="94"/>
    </row>
    <row r="751" spans="1:6" x14ac:dyDescent="0.25">
      <c r="A751" s="86"/>
      <c r="B751" s="86"/>
      <c r="C751" s="88"/>
      <c r="D751" s="91"/>
      <c r="E751" s="92"/>
      <c r="F751" s="94"/>
    </row>
    <row r="752" spans="1:6" x14ac:dyDescent="0.25">
      <c r="A752" s="86"/>
      <c r="B752" s="86"/>
      <c r="C752" s="88"/>
      <c r="D752" s="91"/>
      <c r="E752" s="92"/>
      <c r="F752" s="94"/>
    </row>
    <row r="753" spans="1:6" x14ac:dyDescent="0.25">
      <c r="A753" s="86"/>
      <c r="B753" s="86"/>
      <c r="C753" s="88"/>
      <c r="D753" s="91"/>
      <c r="E753" s="92"/>
      <c r="F753" s="94"/>
    </row>
    <row r="754" spans="1:6" x14ac:dyDescent="0.25">
      <c r="A754" s="86"/>
      <c r="B754" s="86"/>
      <c r="C754" s="88"/>
      <c r="D754" s="91"/>
      <c r="E754" s="92"/>
      <c r="F754" s="94"/>
    </row>
    <row r="755" spans="1:6" x14ac:dyDescent="0.25">
      <c r="A755" s="86"/>
      <c r="B755" s="86"/>
      <c r="C755" s="88"/>
      <c r="D755" s="91"/>
      <c r="E755" s="92"/>
      <c r="F755" s="94"/>
    </row>
    <row r="756" spans="1:6" x14ac:dyDescent="0.25">
      <c r="A756" s="86"/>
      <c r="B756" s="86"/>
      <c r="C756" s="88"/>
      <c r="D756" s="91"/>
      <c r="E756" s="92"/>
      <c r="F756" s="94"/>
    </row>
    <row r="757" spans="1:6" x14ac:dyDescent="0.25">
      <c r="A757" s="86"/>
      <c r="B757" s="86"/>
      <c r="C757" s="88"/>
      <c r="D757" s="91"/>
      <c r="E757" s="92"/>
      <c r="F757" s="94"/>
    </row>
    <row r="758" spans="1:6" x14ac:dyDescent="0.25">
      <c r="A758" s="86"/>
      <c r="B758" s="86"/>
      <c r="C758" s="88"/>
      <c r="D758" s="91"/>
      <c r="E758" s="92"/>
      <c r="F758" s="94"/>
    </row>
    <row r="759" spans="1:6" x14ac:dyDescent="0.25">
      <c r="A759" s="86"/>
      <c r="B759" s="86"/>
      <c r="C759" s="88"/>
      <c r="D759" s="91"/>
      <c r="E759" s="92"/>
      <c r="F759" s="94"/>
    </row>
    <row r="760" spans="1:6" x14ac:dyDescent="0.25">
      <c r="A760" s="86"/>
      <c r="B760" s="86"/>
      <c r="C760" s="88"/>
      <c r="D760" s="91"/>
      <c r="E760" s="92"/>
      <c r="F760" s="94"/>
    </row>
    <row r="761" spans="1:6" x14ac:dyDescent="0.25">
      <c r="A761" s="86"/>
      <c r="B761" s="86"/>
      <c r="C761" s="88"/>
      <c r="D761" s="91"/>
      <c r="E761" s="92"/>
      <c r="F761" s="94"/>
    </row>
    <row r="762" spans="1:6" x14ac:dyDescent="0.25">
      <c r="A762" s="86"/>
      <c r="B762" s="86"/>
      <c r="C762" s="88"/>
      <c r="D762" s="91"/>
      <c r="E762" s="92"/>
      <c r="F762" s="94"/>
    </row>
    <row r="763" spans="1:6" x14ac:dyDescent="0.25">
      <c r="A763" s="86"/>
      <c r="B763" s="86"/>
      <c r="C763" s="88"/>
      <c r="D763" s="91"/>
      <c r="E763" s="92"/>
      <c r="F763" s="94"/>
    </row>
    <row r="764" spans="1:6" x14ac:dyDescent="0.25">
      <c r="A764" s="86"/>
      <c r="B764" s="86"/>
      <c r="C764" s="88"/>
      <c r="D764" s="91"/>
      <c r="E764" s="92"/>
      <c r="F764" s="94"/>
    </row>
    <row r="765" spans="1:6" x14ac:dyDescent="0.25">
      <c r="A765" s="86"/>
      <c r="B765" s="86"/>
      <c r="C765" s="88"/>
      <c r="D765" s="91"/>
      <c r="E765" s="92"/>
      <c r="F765" s="94"/>
    </row>
    <row r="766" spans="1:6" x14ac:dyDescent="0.25">
      <c r="A766" s="86"/>
      <c r="B766" s="86"/>
      <c r="C766" s="88"/>
      <c r="D766" s="91"/>
      <c r="E766" s="92"/>
      <c r="F766" s="94"/>
    </row>
    <row r="767" spans="1:6" x14ac:dyDescent="0.25">
      <c r="A767" s="86"/>
      <c r="B767" s="86"/>
      <c r="C767" s="88"/>
      <c r="D767" s="91"/>
      <c r="E767" s="92"/>
      <c r="F767" s="94"/>
    </row>
    <row r="768" spans="1:6" x14ac:dyDescent="0.25">
      <c r="A768" s="86"/>
      <c r="B768" s="86"/>
      <c r="C768" s="88"/>
      <c r="D768" s="91"/>
      <c r="E768" s="92"/>
      <c r="F768" s="94"/>
    </row>
    <row r="769" spans="1:6" x14ac:dyDescent="0.25">
      <c r="A769" s="86"/>
      <c r="B769" s="86"/>
      <c r="C769" s="88"/>
      <c r="D769" s="91"/>
      <c r="E769" s="92"/>
      <c r="F769" s="94"/>
    </row>
    <row r="770" spans="1:6" x14ac:dyDescent="0.25">
      <c r="A770" s="86"/>
      <c r="B770" s="86"/>
      <c r="C770" s="88"/>
      <c r="D770" s="91"/>
      <c r="E770" s="92"/>
      <c r="F770" s="94"/>
    </row>
    <row r="771" spans="1:6" x14ac:dyDescent="0.25">
      <c r="A771" s="86"/>
      <c r="B771" s="86"/>
      <c r="C771" s="88"/>
      <c r="D771" s="91"/>
      <c r="E771" s="92"/>
      <c r="F771" s="94"/>
    </row>
    <row r="772" spans="1:6" x14ac:dyDescent="0.25">
      <c r="A772" s="86"/>
      <c r="B772" s="86"/>
      <c r="C772" s="88"/>
      <c r="D772" s="91"/>
      <c r="E772" s="92"/>
      <c r="F772" s="94"/>
    </row>
    <row r="773" spans="1:6" x14ac:dyDescent="0.25">
      <c r="A773" s="86"/>
      <c r="B773" s="86"/>
      <c r="C773" s="88"/>
      <c r="D773" s="91"/>
      <c r="E773" s="92"/>
      <c r="F773" s="94"/>
    </row>
    <row r="774" spans="1:6" x14ac:dyDescent="0.25">
      <c r="A774" s="86"/>
      <c r="B774" s="86"/>
      <c r="C774" s="88"/>
      <c r="D774" s="91"/>
      <c r="E774" s="92"/>
      <c r="F774" s="94"/>
    </row>
    <row r="775" spans="1:6" x14ac:dyDescent="0.25">
      <c r="A775" s="86"/>
      <c r="B775" s="86"/>
      <c r="C775" s="88"/>
      <c r="D775" s="91"/>
      <c r="E775" s="92"/>
      <c r="F775" s="94"/>
    </row>
    <row r="776" spans="1:6" x14ac:dyDescent="0.25">
      <c r="A776" s="86"/>
      <c r="B776" s="86"/>
      <c r="C776" s="88"/>
      <c r="D776" s="91"/>
      <c r="E776" s="92"/>
      <c r="F776" s="94"/>
    </row>
    <row r="777" spans="1:6" x14ac:dyDescent="0.25">
      <c r="A777" s="86"/>
      <c r="B777" s="86"/>
      <c r="C777" s="88"/>
      <c r="D777" s="91"/>
      <c r="E777" s="92"/>
      <c r="F777" s="94"/>
    </row>
    <row r="778" spans="1:6" x14ac:dyDescent="0.25">
      <c r="A778" s="86"/>
      <c r="B778" s="86"/>
      <c r="C778" s="88"/>
      <c r="D778" s="91"/>
      <c r="E778" s="92"/>
      <c r="F778" s="94"/>
    </row>
    <row r="779" spans="1:6" x14ac:dyDescent="0.25">
      <c r="A779" s="86"/>
      <c r="B779" s="86"/>
      <c r="C779" s="88"/>
      <c r="D779" s="91"/>
      <c r="E779" s="92"/>
      <c r="F779" s="94"/>
    </row>
    <row r="780" spans="1:6" x14ac:dyDescent="0.25">
      <c r="A780" s="86"/>
      <c r="B780" s="86"/>
      <c r="C780" s="88"/>
      <c r="D780" s="91"/>
      <c r="E780" s="92"/>
      <c r="F780" s="94"/>
    </row>
    <row r="781" spans="1:6" x14ac:dyDescent="0.25">
      <c r="A781" s="86"/>
      <c r="B781" s="86"/>
      <c r="C781" s="88"/>
      <c r="D781" s="91"/>
      <c r="E781" s="92"/>
      <c r="F781" s="94"/>
    </row>
    <row r="782" spans="1:6" x14ac:dyDescent="0.25">
      <c r="A782" s="86"/>
      <c r="B782" s="86"/>
      <c r="C782" s="88"/>
      <c r="D782" s="91"/>
      <c r="E782" s="92"/>
      <c r="F782" s="94"/>
    </row>
    <row r="783" spans="1:6" x14ac:dyDescent="0.25">
      <c r="A783" s="86"/>
      <c r="B783" s="86"/>
      <c r="C783" s="88"/>
      <c r="D783" s="91"/>
      <c r="E783" s="92"/>
      <c r="F783" s="94"/>
    </row>
    <row r="784" spans="1:6" x14ac:dyDescent="0.25">
      <c r="A784" s="86"/>
      <c r="B784" s="86"/>
      <c r="C784" s="88"/>
      <c r="D784" s="91"/>
      <c r="E784" s="92"/>
      <c r="F784" s="94"/>
    </row>
    <row r="785" spans="1:6" x14ac:dyDescent="0.25">
      <c r="A785" s="86"/>
      <c r="B785" s="86"/>
      <c r="C785" s="88"/>
      <c r="D785" s="91"/>
      <c r="E785" s="92"/>
      <c r="F785" s="94"/>
    </row>
    <row r="786" spans="1:6" x14ac:dyDescent="0.25">
      <c r="A786" s="86"/>
      <c r="B786" s="86"/>
      <c r="C786" s="88"/>
      <c r="D786" s="91"/>
      <c r="E786" s="92"/>
      <c r="F786" s="94"/>
    </row>
    <row r="787" spans="1:6" x14ac:dyDescent="0.25">
      <c r="A787" s="86"/>
      <c r="B787" s="86"/>
      <c r="C787" s="88"/>
      <c r="D787" s="91"/>
      <c r="E787" s="92"/>
      <c r="F787" s="94"/>
    </row>
    <row r="788" spans="1:6" x14ac:dyDescent="0.25">
      <c r="A788" s="86"/>
      <c r="B788" s="86"/>
      <c r="C788" s="88"/>
      <c r="D788" s="91"/>
      <c r="E788" s="92"/>
      <c r="F788" s="94"/>
    </row>
    <row r="789" spans="1:6" x14ac:dyDescent="0.25">
      <c r="A789" s="86"/>
      <c r="B789" s="86"/>
      <c r="C789" s="88"/>
      <c r="D789" s="91"/>
      <c r="E789" s="92"/>
      <c r="F789" s="94"/>
    </row>
    <row r="790" spans="1:6" x14ac:dyDescent="0.25">
      <c r="A790" s="86"/>
      <c r="B790" s="86"/>
      <c r="C790" s="88"/>
      <c r="D790" s="91"/>
      <c r="E790" s="92"/>
      <c r="F790" s="94"/>
    </row>
    <row r="791" spans="1:6" x14ac:dyDescent="0.25">
      <c r="A791" s="86"/>
      <c r="B791" s="86"/>
      <c r="C791" s="88"/>
      <c r="D791" s="91"/>
      <c r="E791" s="92"/>
      <c r="F791" s="94"/>
    </row>
    <row r="792" spans="1:6" x14ac:dyDescent="0.25">
      <c r="A792" s="86"/>
      <c r="B792" s="86"/>
      <c r="C792" s="88"/>
      <c r="D792" s="91"/>
      <c r="E792" s="92"/>
      <c r="F792" s="94"/>
    </row>
    <row r="793" spans="1:6" x14ac:dyDescent="0.25">
      <c r="A793" s="86"/>
      <c r="B793" s="86"/>
      <c r="C793" s="88"/>
      <c r="D793" s="91"/>
      <c r="E793" s="92"/>
      <c r="F793" s="94"/>
    </row>
    <row r="794" spans="1:6" x14ac:dyDescent="0.25">
      <c r="A794" s="86"/>
      <c r="B794" s="86"/>
      <c r="C794" s="88"/>
      <c r="D794" s="91"/>
      <c r="E794" s="92"/>
      <c r="F794" s="94"/>
    </row>
    <row r="795" spans="1:6" x14ac:dyDescent="0.25">
      <c r="A795" s="86"/>
      <c r="B795" s="86"/>
      <c r="C795" s="88"/>
      <c r="D795" s="91"/>
      <c r="E795" s="92"/>
      <c r="F795" s="94"/>
    </row>
    <row r="796" spans="1:6" x14ac:dyDescent="0.25">
      <c r="A796" s="86"/>
      <c r="B796" s="86"/>
      <c r="C796" s="88"/>
      <c r="D796" s="91"/>
      <c r="E796" s="92"/>
      <c r="F796" s="94"/>
    </row>
    <row r="797" spans="1:6" x14ac:dyDescent="0.25">
      <c r="A797" s="86"/>
      <c r="B797" s="86"/>
      <c r="C797" s="88"/>
      <c r="D797" s="91"/>
      <c r="E797" s="92"/>
      <c r="F797" s="94"/>
    </row>
    <row r="798" spans="1:6" x14ac:dyDescent="0.25">
      <c r="A798" s="86"/>
      <c r="B798" s="86"/>
      <c r="C798" s="88"/>
      <c r="D798" s="91"/>
      <c r="E798" s="92"/>
      <c r="F798" s="94"/>
    </row>
    <row r="799" spans="1:6" x14ac:dyDescent="0.25">
      <c r="A799" s="86"/>
      <c r="B799" s="86"/>
      <c r="C799" s="88"/>
      <c r="D799" s="91"/>
      <c r="E799" s="92"/>
      <c r="F799" s="94"/>
    </row>
    <row r="800" spans="1:6" x14ac:dyDescent="0.25">
      <c r="A800" s="86"/>
      <c r="B800" s="86"/>
      <c r="C800" s="88"/>
      <c r="D800" s="91"/>
      <c r="E800" s="92"/>
      <c r="F800" s="94"/>
    </row>
    <row r="801" spans="1:6" x14ac:dyDescent="0.25">
      <c r="A801" s="86"/>
      <c r="B801" s="86"/>
      <c r="C801" s="88"/>
      <c r="D801" s="91"/>
      <c r="E801" s="92"/>
      <c r="F801" s="94"/>
    </row>
    <row r="802" spans="1:6" x14ac:dyDescent="0.25">
      <c r="A802" s="86"/>
      <c r="B802" s="86"/>
      <c r="C802" s="88"/>
      <c r="D802" s="91"/>
      <c r="E802" s="92"/>
      <c r="F802" s="94"/>
    </row>
    <row r="803" spans="1:6" x14ac:dyDescent="0.25">
      <c r="A803" s="86"/>
      <c r="B803" s="86"/>
      <c r="C803" s="88"/>
      <c r="D803" s="91"/>
      <c r="E803" s="92"/>
      <c r="F803" s="94"/>
    </row>
    <row r="804" spans="1:6" x14ac:dyDescent="0.25">
      <c r="A804" s="86"/>
      <c r="B804" s="86"/>
      <c r="C804" s="88"/>
      <c r="D804" s="91"/>
      <c r="E804" s="92"/>
      <c r="F804" s="94"/>
    </row>
    <row r="805" spans="1:6" x14ac:dyDescent="0.25">
      <c r="A805" s="86"/>
      <c r="B805" s="86"/>
      <c r="C805" s="88"/>
      <c r="D805" s="91"/>
      <c r="E805" s="92"/>
      <c r="F805" s="94"/>
    </row>
    <row r="806" spans="1:6" x14ac:dyDescent="0.25">
      <c r="A806" s="86"/>
      <c r="B806" s="86"/>
      <c r="C806" s="88"/>
      <c r="D806" s="91"/>
      <c r="E806" s="92"/>
      <c r="F806" s="94"/>
    </row>
    <row r="807" spans="1:6" x14ac:dyDescent="0.25">
      <c r="A807" s="86"/>
      <c r="B807" s="86"/>
      <c r="C807" s="88"/>
      <c r="D807" s="91"/>
      <c r="E807" s="92"/>
      <c r="F807" s="94"/>
    </row>
    <row r="808" spans="1:6" x14ac:dyDescent="0.25">
      <c r="A808" s="86"/>
      <c r="B808" s="86"/>
      <c r="C808" s="88"/>
      <c r="D808" s="91"/>
      <c r="E808" s="92"/>
      <c r="F808" s="94"/>
    </row>
    <row r="809" spans="1:6" x14ac:dyDescent="0.25">
      <c r="A809" s="86"/>
      <c r="B809" s="86"/>
      <c r="C809" s="88"/>
      <c r="D809" s="91"/>
      <c r="E809" s="92"/>
      <c r="F809" s="94"/>
    </row>
    <row r="810" spans="1:6" x14ac:dyDescent="0.25">
      <c r="A810" s="86"/>
      <c r="B810" s="86"/>
      <c r="C810" s="88"/>
      <c r="D810" s="91"/>
      <c r="E810" s="92"/>
      <c r="F810" s="94"/>
    </row>
    <row r="811" spans="1:6" x14ac:dyDescent="0.25">
      <c r="A811" s="86"/>
      <c r="B811" s="86"/>
      <c r="C811" s="88"/>
      <c r="D811" s="91"/>
      <c r="E811" s="92"/>
      <c r="F811" s="94"/>
    </row>
    <row r="812" spans="1:6" x14ac:dyDescent="0.25">
      <c r="A812" s="86"/>
      <c r="B812" s="86"/>
      <c r="C812" s="88"/>
      <c r="D812" s="91"/>
      <c r="E812" s="92"/>
      <c r="F812" s="94"/>
    </row>
    <row r="813" spans="1:6" x14ac:dyDescent="0.25">
      <c r="A813" s="86"/>
      <c r="B813" s="86"/>
      <c r="C813" s="88"/>
      <c r="D813" s="91"/>
      <c r="E813" s="92"/>
      <c r="F813" s="94"/>
    </row>
    <row r="814" spans="1:6" x14ac:dyDescent="0.25">
      <c r="A814" s="86"/>
      <c r="B814" s="86"/>
      <c r="C814" s="88"/>
      <c r="D814" s="91"/>
      <c r="E814" s="92"/>
      <c r="F814" s="94"/>
    </row>
    <row r="815" spans="1:6" x14ac:dyDescent="0.25">
      <c r="A815" s="86"/>
      <c r="B815" s="86"/>
      <c r="C815" s="88"/>
      <c r="D815" s="91"/>
      <c r="E815" s="92"/>
      <c r="F815" s="94"/>
    </row>
    <row r="816" spans="1:6" x14ac:dyDescent="0.25">
      <c r="A816" s="86"/>
      <c r="B816" s="86"/>
      <c r="C816" s="88"/>
      <c r="D816" s="91"/>
      <c r="E816" s="92"/>
      <c r="F816" s="94"/>
    </row>
    <row r="817" spans="1:6" x14ac:dyDescent="0.25">
      <c r="A817" s="86"/>
      <c r="B817" s="86"/>
      <c r="C817" s="88"/>
      <c r="D817" s="91"/>
      <c r="E817" s="92"/>
      <c r="F817" s="94"/>
    </row>
    <row r="818" spans="1:6" x14ac:dyDescent="0.25">
      <c r="A818" s="86"/>
      <c r="B818" s="86"/>
      <c r="C818" s="88"/>
      <c r="D818" s="91"/>
      <c r="E818" s="92"/>
      <c r="F818" s="94"/>
    </row>
    <row r="819" spans="1:6" x14ac:dyDescent="0.25">
      <c r="A819" s="86"/>
      <c r="B819" s="86"/>
      <c r="C819" s="88"/>
      <c r="D819" s="91"/>
      <c r="E819" s="92"/>
      <c r="F819" s="94"/>
    </row>
    <row r="820" spans="1:6" x14ac:dyDescent="0.25">
      <c r="A820" s="86"/>
      <c r="B820" s="86"/>
      <c r="C820" s="88"/>
      <c r="D820" s="91"/>
      <c r="E820" s="92"/>
      <c r="F820" s="94"/>
    </row>
    <row r="821" spans="1:6" x14ac:dyDescent="0.25">
      <c r="A821" s="86"/>
      <c r="B821" s="86"/>
      <c r="C821" s="88"/>
      <c r="D821" s="91"/>
      <c r="E821" s="92"/>
      <c r="F821" s="94"/>
    </row>
    <row r="822" spans="1:6" x14ac:dyDescent="0.25">
      <c r="A822" s="86"/>
      <c r="B822" s="86"/>
      <c r="C822" s="88"/>
      <c r="D822" s="91"/>
      <c r="E822" s="92"/>
      <c r="F822" s="94"/>
    </row>
    <row r="823" spans="1:6" x14ac:dyDescent="0.25">
      <c r="A823" s="86"/>
      <c r="B823" s="86"/>
      <c r="C823" s="88"/>
      <c r="D823" s="91"/>
      <c r="E823" s="92"/>
      <c r="F823" s="94"/>
    </row>
    <row r="824" spans="1:6" x14ac:dyDescent="0.25">
      <c r="A824" s="86"/>
      <c r="B824" s="86"/>
      <c r="C824" s="88"/>
      <c r="D824" s="91"/>
      <c r="E824" s="92"/>
      <c r="F824" s="94"/>
    </row>
    <row r="825" spans="1:6" x14ac:dyDescent="0.25">
      <c r="A825" s="86"/>
      <c r="B825" s="86"/>
      <c r="C825" s="88"/>
      <c r="D825" s="91"/>
      <c r="E825" s="92"/>
      <c r="F825" s="94"/>
    </row>
    <row r="826" spans="1:6" x14ac:dyDescent="0.25">
      <c r="A826" s="86"/>
      <c r="B826" s="86"/>
      <c r="C826" s="88"/>
      <c r="D826" s="91"/>
      <c r="E826" s="92"/>
      <c r="F826" s="94"/>
    </row>
    <row r="827" spans="1:6" x14ac:dyDescent="0.25">
      <c r="A827" s="86"/>
      <c r="B827" s="86"/>
      <c r="C827" s="88"/>
      <c r="D827" s="91"/>
      <c r="E827" s="92"/>
      <c r="F827" s="94"/>
    </row>
    <row r="828" spans="1:6" x14ac:dyDescent="0.25">
      <c r="A828" s="86"/>
      <c r="B828" s="86"/>
      <c r="C828" s="88"/>
      <c r="D828" s="91"/>
      <c r="E828" s="92"/>
      <c r="F828" s="94"/>
    </row>
    <row r="829" spans="1:6" x14ac:dyDescent="0.25">
      <c r="A829" s="86"/>
      <c r="B829" s="86"/>
      <c r="C829" s="88"/>
      <c r="D829" s="91"/>
      <c r="E829" s="92"/>
      <c r="F829" s="94"/>
    </row>
    <row r="830" spans="1:6" x14ac:dyDescent="0.25">
      <c r="A830" s="86"/>
      <c r="B830" s="86"/>
      <c r="C830" s="88"/>
      <c r="D830" s="91"/>
      <c r="E830" s="92"/>
      <c r="F830" s="94"/>
    </row>
    <row r="831" spans="1:6" x14ac:dyDescent="0.25">
      <c r="A831" s="86"/>
      <c r="B831" s="86"/>
      <c r="C831" s="88"/>
      <c r="D831" s="91"/>
      <c r="E831" s="92"/>
      <c r="F831" s="94"/>
    </row>
    <row r="832" spans="1:6" x14ac:dyDescent="0.25">
      <c r="A832" s="86"/>
      <c r="B832" s="86"/>
      <c r="C832" s="88"/>
      <c r="D832" s="91"/>
      <c r="E832" s="92"/>
      <c r="F832" s="94"/>
    </row>
    <row r="833" spans="1:6" x14ac:dyDescent="0.25">
      <c r="A833" s="86"/>
      <c r="B833" s="86"/>
      <c r="C833" s="88"/>
      <c r="D833" s="91"/>
      <c r="E833" s="92"/>
      <c r="F833" s="94"/>
    </row>
    <row r="834" spans="1:6" x14ac:dyDescent="0.25">
      <c r="A834" s="86"/>
      <c r="B834" s="86"/>
      <c r="C834" s="88"/>
      <c r="D834" s="91"/>
      <c r="E834" s="92"/>
      <c r="F834" s="94"/>
    </row>
    <row r="835" spans="1:6" x14ac:dyDescent="0.25">
      <c r="A835" s="86"/>
      <c r="B835" s="86"/>
      <c r="C835" s="88"/>
      <c r="D835" s="91"/>
      <c r="E835" s="92"/>
      <c r="F835" s="94"/>
    </row>
    <row r="836" spans="1:6" x14ac:dyDescent="0.25">
      <c r="A836" s="86"/>
      <c r="B836" s="86"/>
      <c r="C836" s="88"/>
      <c r="D836" s="91"/>
      <c r="E836" s="92"/>
      <c r="F836" s="94"/>
    </row>
    <row r="837" spans="1:6" x14ac:dyDescent="0.25">
      <c r="A837" s="86"/>
      <c r="B837" s="86"/>
      <c r="C837" s="88"/>
      <c r="D837" s="91"/>
      <c r="E837" s="92"/>
      <c r="F837" s="94"/>
    </row>
    <row r="838" spans="1:6" x14ac:dyDescent="0.25">
      <c r="A838" s="86"/>
      <c r="B838" s="86"/>
      <c r="C838" s="88"/>
      <c r="D838" s="91"/>
      <c r="E838" s="92"/>
      <c r="F838" s="94"/>
    </row>
    <row r="839" spans="1:6" x14ac:dyDescent="0.25">
      <c r="A839" s="86"/>
      <c r="B839" s="86"/>
      <c r="C839" s="88"/>
      <c r="D839" s="91"/>
      <c r="E839" s="92"/>
      <c r="F839" s="94"/>
    </row>
    <row r="840" spans="1:6" x14ac:dyDescent="0.25">
      <c r="A840" s="86"/>
      <c r="B840" s="86"/>
      <c r="C840" s="88"/>
      <c r="D840" s="91"/>
      <c r="E840" s="92"/>
      <c r="F840" s="94"/>
    </row>
    <row r="841" spans="1:6" x14ac:dyDescent="0.25">
      <c r="A841" s="86"/>
      <c r="B841" s="86"/>
      <c r="C841" s="88"/>
      <c r="D841" s="91"/>
      <c r="E841" s="92"/>
      <c r="F841" s="94"/>
    </row>
    <row r="842" spans="1:6" x14ac:dyDescent="0.25">
      <c r="A842" s="86"/>
      <c r="B842" s="86"/>
      <c r="C842" s="88"/>
      <c r="D842" s="91"/>
      <c r="E842" s="92"/>
      <c r="F842" s="94"/>
    </row>
    <row r="843" spans="1:6" x14ac:dyDescent="0.25">
      <c r="A843" s="86"/>
      <c r="B843" s="86"/>
      <c r="C843" s="88"/>
      <c r="D843" s="91"/>
      <c r="E843" s="92"/>
      <c r="F843" s="94"/>
    </row>
    <row r="844" spans="1:6" x14ac:dyDescent="0.25">
      <c r="A844" s="86"/>
      <c r="B844" s="86"/>
      <c r="C844" s="88"/>
      <c r="D844" s="91"/>
      <c r="E844" s="92"/>
      <c r="F844" s="94"/>
    </row>
    <row r="845" spans="1:6" x14ac:dyDescent="0.25">
      <c r="A845" s="86"/>
      <c r="B845" s="86"/>
      <c r="C845" s="88"/>
      <c r="D845" s="91"/>
      <c r="E845" s="92"/>
      <c r="F845" s="94"/>
    </row>
    <row r="846" spans="1:6" x14ac:dyDescent="0.25">
      <c r="A846" s="86"/>
      <c r="B846" s="86"/>
      <c r="C846" s="88"/>
      <c r="D846" s="91"/>
      <c r="E846" s="92"/>
      <c r="F846" s="94"/>
    </row>
    <row r="847" spans="1:6" x14ac:dyDescent="0.25">
      <c r="A847" s="86"/>
      <c r="B847" s="86"/>
      <c r="C847" s="88"/>
      <c r="D847" s="91"/>
      <c r="E847" s="92"/>
      <c r="F847" s="94"/>
    </row>
    <row r="848" spans="1:6" x14ac:dyDescent="0.25">
      <c r="A848" s="86"/>
      <c r="B848" s="86"/>
      <c r="C848" s="88"/>
      <c r="D848" s="91"/>
      <c r="E848" s="92"/>
      <c r="F848" s="94"/>
    </row>
    <row r="849" spans="1:6" x14ac:dyDescent="0.25">
      <c r="A849" s="86"/>
      <c r="B849" s="86"/>
      <c r="C849" s="88"/>
      <c r="D849" s="91"/>
      <c r="E849" s="92"/>
      <c r="F849" s="94"/>
    </row>
    <row r="850" spans="1:6" x14ac:dyDescent="0.25">
      <c r="A850" s="86"/>
      <c r="B850" s="86"/>
      <c r="C850" s="88"/>
      <c r="D850" s="91"/>
      <c r="E850" s="92"/>
      <c r="F850" s="94"/>
    </row>
    <row r="851" spans="1:6" x14ac:dyDescent="0.25">
      <c r="A851" s="86"/>
      <c r="B851" s="86"/>
      <c r="C851" s="88"/>
      <c r="D851" s="91"/>
      <c r="E851" s="92"/>
      <c r="F851" s="94"/>
    </row>
    <row r="852" spans="1:6" x14ac:dyDescent="0.25">
      <c r="A852" s="86"/>
      <c r="B852" s="86"/>
      <c r="C852" s="88"/>
      <c r="D852" s="91"/>
      <c r="E852" s="92"/>
      <c r="F852" s="94"/>
    </row>
    <row r="853" spans="1:6" x14ac:dyDescent="0.25">
      <c r="A853" s="86"/>
      <c r="B853" s="86"/>
      <c r="C853" s="88"/>
      <c r="D853" s="91"/>
      <c r="E853" s="92"/>
      <c r="F853" s="94"/>
    </row>
    <row r="854" spans="1:6" x14ac:dyDescent="0.25">
      <c r="A854" s="86"/>
      <c r="B854" s="86"/>
      <c r="C854" s="88"/>
      <c r="D854" s="91"/>
      <c r="E854" s="92"/>
      <c r="F854" s="94"/>
    </row>
    <row r="855" spans="1:6" x14ac:dyDescent="0.25">
      <c r="A855" s="86"/>
      <c r="B855" s="86"/>
      <c r="C855" s="88"/>
      <c r="D855" s="91"/>
      <c r="E855" s="92"/>
      <c r="F855" s="94"/>
    </row>
    <row r="856" spans="1:6" x14ac:dyDescent="0.25">
      <c r="A856" s="86"/>
      <c r="B856" s="86"/>
      <c r="C856" s="88"/>
      <c r="D856" s="91"/>
      <c r="E856" s="92"/>
      <c r="F856" s="94"/>
    </row>
    <row r="857" spans="1:6" x14ac:dyDescent="0.25">
      <c r="A857" s="86"/>
      <c r="B857" s="86"/>
      <c r="C857" s="88"/>
      <c r="D857" s="91"/>
      <c r="E857" s="92"/>
      <c r="F857" s="94"/>
    </row>
    <row r="858" spans="1:6" x14ac:dyDescent="0.25">
      <c r="A858" s="86"/>
      <c r="B858" s="86"/>
      <c r="C858" s="88"/>
      <c r="D858" s="91"/>
      <c r="E858" s="92"/>
      <c r="F858" s="94"/>
    </row>
    <row r="859" spans="1:6" x14ac:dyDescent="0.25">
      <c r="A859" s="86"/>
      <c r="B859" s="86"/>
      <c r="C859" s="88"/>
      <c r="D859" s="91"/>
      <c r="E859" s="92"/>
      <c r="F859" s="94"/>
    </row>
    <row r="860" spans="1:6" x14ac:dyDescent="0.25">
      <c r="A860" s="86"/>
      <c r="B860" s="86"/>
      <c r="C860" s="88"/>
      <c r="D860" s="91"/>
      <c r="E860" s="92"/>
      <c r="F860" s="94"/>
    </row>
    <row r="861" spans="1:6" x14ac:dyDescent="0.25">
      <c r="A861" s="86"/>
      <c r="B861" s="86"/>
      <c r="C861" s="88"/>
      <c r="D861" s="91"/>
      <c r="E861" s="92"/>
      <c r="F861" s="94"/>
    </row>
    <row r="862" spans="1:6" x14ac:dyDescent="0.25">
      <c r="A862" s="86"/>
      <c r="B862" s="86"/>
      <c r="C862" s="88"/>
      <c r="D862" s="91"/>
      <c r="E862" s="92"/>
      <c r="F862" s="94"/>
    </row>
    <row r="863" spans="1:6" x14ac:dyDescent="0.25">
      <c r="A863" s="86"/>
      <c r="B863" s="86"/>
      <c r="C863" s="88"/>
      <c r="D863" s="91"/>
      <c r="E863" s="92"/>
      <c r="F863" s="94"/>
    </row>
    <row r="864" spans="1:6" x14ac:dyDescent="0.25">
      <c r="A864" s="86"/>
      <c r="B864" s="86"/>
      <c r="C864" s="88"/>
      <c r="D864" s="91"/>
      <c r="E864" s="92"/>
      <c r="F864" s="94"/>
    </row>
    <row r="865" spans="1:6" x14ac:dyDescent="0.25">
      <c r="A865" s="86"/>
      <c r="B865" s="86"/>
      <c r="C865" s="88"/>
      <c r="D865" s="91"/>
      <c r="E865" s="92"/>
      <c r="F865" s="94"/>
    </row>
    <row r="866" spans="1:6" x14ac:dyDescent="0.25">
      <c r="A866" s="86"/>
      <c r="B866" s="86"/>
      <c r="C866" s="88"/>
      <c r="D866" s="91"/>
      <c r="E866" s="92"/>
      <c r="F866" s="94"/>
    </row>
    <row r="867" spans="1:6" x14ac:dyDescent="0.25">
      <c r="A867" s="86"/>
      <c r="B867" s="86"/>
      <c r="C867" s="88"/>
      <c r="D867" s="91"/>
      <c r="E867" s="92"/>
      <c r="F867" s="94"/>
    </row>
    <row r="868" spans="1:6" x14ac:dyDescent="0.25">
      <c r="A868" s="86"/>
      <c r="B868" s="86"/>
      <c r="C868" s="88"/>
      <c r="D868" s="91"/>
      <c r="E868" s="92"/>
      <c r="F868" s="94"/>
    </row>
    <row r="869" spans="1:6" x14ac:dyDescent="0.25">
      <c r="A869" s="86"/>
      <c r="B869" s="86"/>
      <c r="C869" s="88"/>
      <c r="D869" s="91"/>
      <c r="E869" s="92"/>
      <c r="F869" s="94"/>
    </row>
    <row r="870" spans="1:6" x14ac:dyDescent="0.25">
      <c r="A870" s="86"/>
      <c r="B870" s="86"/>
      <c r="C870" s="88"/>
      <c r="D870" s="91"/>
      <c r="E870" s="92"/>
      <c r="F870" s="94"/>
    </row>
    <row r="871" spans="1:6" x14ac:dyDescent="0.25">
      <c r="A871" s="86"/>
      <c r="B871" s="86"/>
      <c r="C871" s="88"/>
      <c r="D871" s="91"/>
      <c r="E871" s="92"/>
      <c r="F871" s="94"/>
    </row>
    <row r="872" spans="1:6" x14ac:dyDescent="0.25">
      <c r="A872" s="86"/>
      <c r="B872" s="86"/>
      <c r="C872" s="88"/>
      <c r="D872" s="91"/>
      <c r="E872" s="92"/>
      <c r="F872" s="94"/>
    </row>
    <row r="873" spans="1:6" x14ac:dyDescent="0.25">
      <c r="A873" s="86"/>
      <c r="B873" s="86"/>
      <c r="C873" s="88"/>
      <c r="D873" s="91"/>
      <c r="E873" s="92"/>
      <c r="F873" s="94"/>
    </row>
    <row r="874" spans="1:6" x14ac:dyDescent="0.25">
      <c r="A874" s="86"/>
      <c r="B874" s="86"/>
      <c r="C874" s="88"/>
      <c r="D874" s="91"/>
      <c r="E874" s="92"/>
      <c r="F874" s="94"/>
    </row>
    <row r="875" spans="1:6" x14ac:dyDescent="0.25">
      <c r="A875" s="86"/>
      <c r="B875" s="86"/>
      <c r="C875" s="88"/>
      <c r="D875" s="91"/>
      <c r="E875" s="92"/>
      <c r="F875" s="94"/>
    </row>
    <row r="876" spans="1:6" x14ac:dyDescent="0.25">
      <c r="A876" s="86"/>
      <c r="B876" s="86"/>
      <c r="C876" s="88"/>
      <c r="D876" s="91"/>
      <c r="E876" s="92"/>
      <c r="F876" s="94"/>
    </row>
    <row r="877" spans="1:6" x14ac:dyDescent="0.25">
      <c r="A877" s="86"/>
      <c r="B877" s="86"/>
      <c r="C877" s="88"/>
      <c r="D877" s="91"/>
      <c r="E877" s="92"/>
      <c r="F877" s="94"/>
    </row>
    <row r="878" spans="1:6" x14ac:dyDescent="0.25">
      <c r="A878" s="86"/>
      <c r="B878" s="86"/>
      <c r="C878" s="88"/>
      <c r="D878" s="91"/>
      <c r="E878" s="92"/>
      <c r="F878" s="94"/>
    </row>
    <row r="879" spans="1:6" x14ac:dyDescent="0.25">
      <c r="A879" s="86"/>
      <c r="B879" s="86"/>
      <c r="C879" s="88"/>
      <c r="D879" s="91"/>
      <c r="E879" s="92"/>
      <c r="F879" s="94"/>
    </row>
    <row r="880" spans="1:6" x14ac:dyDescent="0.25">
      <c r="A880" s="86"/>
      <c r="B880" s="86"/>
      <c r="C880" s="88"/>
      <c r="D880" s="91"/>
      <c r="E880" s="92"/>
      <c r="F880" s="94"/>
    </row>
    <row r="881" spans="1:6" x14ac:dyDescent="0.25">
      <c r="A881" s="86"/>
      <c r="B881" s="86"/>
      <c r="C881" s="88"/>
      <c r="D881" s="91"/>
      <c r="E881" s="92"/>
      <c r="F881" s="94"/>
    </row>
    <row r="882" spans="1:6" x14ac:dyDescent="0.25">
      <c r="A882" s="86"/>
      <c r="B882" s="86"/>
      <c r="C882" s="88"/>
      <c r="D882" s="91"/>
      <c r="E882" s="92"/>
      <c r="F882" s="94"/>
    </row>
    <row r="883" spans="1:6" x14ac:dyDescent="0.25">
      <c r="A883" s="86"/>
      <c r="B883" s="86"/>
      <c r="C883" s="88"/>
      <c r="D883" s="91"/>
      <c r="E883" s="92"/>
      <c r="F883" s="94"/>
    </row>
    <row r="884" spans="1:6" x14ac:dyDescent="0.25">
      <c r="A884" s="86"/>
      <c r="B884" s="86"/>
      <c r="C884" s="88"/>
      <c r="D884" s="91"/>
      <c r="E884" s="92"/>
      <c r="F884" s="94"/>
    </row>
    <row r="885" spans="1:6" x14ac:dyDescent="0.25">
      <c r="A885" s="86"/>
      <c r="B885" s="86"/>
      <c r="C885" s="88"/>
      <c r="D885" s="91"/>
      <c r="E885" s="92"/>
      <c r="F885" s="94"/>
    </row>
    <row r="886" spans="1:6" x14ac:dyDescent="0.25">
      <c r="A886" s="86"/>
      <c r="B886" s="86"/>
      <c r="C886" s="88"/>
      <c r="D886" s="91"/>
      <c r="E886" s="92"/>
      <c r="F886" s="94"/>
    </row>
    <row r="887" spans="1:6" x14ac:dyDescent="0.25">
      <c r="A887" s="86"/>
      <c r="B887" s="86"/>
      <c r="C887" s="88"/>
      <c r="D887" s="91"/>
      <c r="E887" s="92"/>
      <c r="F887" s="94"/>
    </row>
    <row r="888" spans="1:6" x14ac:dyDescent="0.25">
      <c r="A888" s="86"/>
      <c r="B888" s="86"/>
      <c r="C888" s="88"/>
      <c r="D888" s="91"/>
      <c r="E888" s="92"/>
      <c r="F888" s="94"/>
    </row>
    <row r="889" spans="1:6" x14ac:dyDescent="0.25">
      <c r="A889" s="86"/>
      <c r="B889" s="86"/>
      <c r="C889" s="88"/>
      <c r="D889" s="91"/>
      <c r="E889" s="92"/>
      <c r="F889" s="94"/>
    </row>
    <row r="890" spans="1:6" x14ac:dyDescent="0.25">
      <c r="A890" s="86"/>
      <c r="B890" s="86"/>
      <c r="C890" s="88"/>
      <c r="D890" s="91"/>
      <c r="E890" s="92"/>
      <c r="F890" s="94"/>
    </row>
    <row r="891" spans="1:6" x14ac:dyDescent="0.25">
      <c r="A891" s="86"/>
      <c r="B891" s="86"/>
      <c r="C891" s="88"/>
      <c r="D891" s="91"/>
      <c r="E891" s="92"/>
      <c r="F891" s="94"/>
    </row>
    <row r="892" spans="1:6" x14ac:dyDescent="0.25">
      <c r="A892" s="86"/>
      <c r="B892" s="86"/>
      <c r="C892" s="88"/>
      <c r="D892" s="91"/>
      <c r="E892" s="92"/>
      <c r="F892" s="94"/>
    </row>
    <row r="893" spans="1:6" x14ac:dyDescent="0.25">
      <c r="A893" s="86"/>
      <c r="B893" s="86"/>
      <c r="C893" s="88"/>
      <c r="D893" s="91"/>
      <c r="E893" s="92"/>
      <c r="F893" s="94"/>
    </row>
    <row r="894" spans="1:6" x14ac:dyDescent="0.25">
      <c r="A894" s="86"/>
      <c r="B894" s="86"/>
      <c r="C894" s="88"/>
      <c r="D894" s="91"/>
      <c r="E894" s="92"/>
      <c r="F894" s="94"/>
    </row>
    <row r="895" spans="1:6" x14ac:dyDescent="0.25">
      <c r="A895" s="86"/>
      <c r="B895" s="86"/>
      <c r="C895" s="88"/>
      <c r="D895" s="91"/>
      <c r="E895" s="92"/>
      <c r="F895" s="94"/>
    </row>
    <row r="896" spans="1:6" x14ac:dyDescent="0.25">
      <c r="A896" s="86"/>
      <c r="B896" s="86"/>
      <c r="C896" s="88"/>
      <c r="D896" s="91"/>
      <c r="E896" s="92"/>
      <c r="F896" s="94"/>
    </row>
    <row r="897" spans="1:6" x14ac:dyDescent="0.25">
      <c r="A897" s="86"/>
      <c r="B897" s="86"/>
      <c r="C897" s="88"/>
      <c r="D897" s="91"/>
      <c r="E897" s="92"/>
      <c r="F897" s="94"/>
    </row>
    <row r="898" spans="1:6" x14ac:dyDescent="0.25">
      <c r="A898" s="86"/>
      <c r="B898" s="86"/>
      <c r="C898" s="88"/>
      <c r="D898" s="91"/>
      <c r="E898" s="92"/>
      <c r="F898" s="94"/>
    </row>
    <row r="899" spans="1:6" x14ac:dyDescent="0.25">
      <c r="A899" s="86"/>
      <c r="B899" s="86"/>
      <c r="C899" s="88"/>
      <c r="D899" s="91"/>
      <c r="E899" s="92"/>
      <c r="F899" s="94"/>
    </row>
    <row r="900" spans="1:6" x14ac:dyDescent="0.25">
      <c r="A900" s="86"/>
      <c r="B900" s="86"/>
      <c r="C900" s="88"/>
      <c r="D900" s="91"/>
      <c r="E900" s="92"/>
      <c r="F900" s="94"/>
    </row>
    <row r="901" spans="1:6" x14ac:dyDescent="0.25">
      <c r="A901" s="86"/>
      <c r="B901" s="86"/>
      <c r="C901" s="88"/>
      <c r="D901" s="91"/>
      <c r="E901" s="92"/>
      <c r="F901" s="94"/>
    </row>
    <row r="902" spans="1:6" x14ac:dyDescent="0.25">
      <c r="A902" s="86"/>
      <c r="B902" s="86"/>
      <c r="C902" s="88"/>
      <c r="D902" s="91"/>
      <c r="E902" s="92"/>
      <c r="F902" s="94"/>
    </row>
    <row r="903" spans="1:6" x14ac:dyDescent="0.25">
      <c r="A903" s="86"/>
      <c r="B903" s="86"/>
      <c r="C903" s="88"/>
      <c r="D903" s="91"/>
      <c r="E903" s="92"/>
      <c r="F903" s="94"/>
    </row>
    <row r="904" spans="1:6" x14ac:dyDescent="0.25">
      <c r="A904" s="86"/>
      <c r="B904" s="86"/>
      <c r="C904" s="88"/>
      <c r="D904" s="91"/>
      <c r="E904" s="92"/>
      <c r="F904" s="94"/>
    </row>
    <row r="905" spans="1:6" x14ac:dyDescent="0.25">
      <c r="A905" s="86"/>
      <c r="B905" s="86"/>
      <c r="C905" s="88"/>
      <c r="D905" s="91"/>
      <c r="E905" s="92"/>
      <c r="F905" s="94"/>
    </row>
    <row r="906" spans="1:6" x14ac:dyDescent="0.25">
      <c r="A906" s="86"/>
      <c r="B906" s="86"/>
      <c r="C906" s="88"/>
      <c r="D906" s="91"/>
      <c r="E906" s="92"/>
      <c r="F906" s="94"/>
    </row>
    <row r="907" spans="1:6" x14ac:dyDescent="0.25">
      <c r="A907" s="86"/>
      <c r="B907" s="86"/>
      <c r="C907" s="88"/>
      <c r="D907" s="91"/>
      <c r="E907" s="92"/>
      <c r="F907" s="94"/>
    </row>
    <row r="908" spans="1:6" x14ac:dyDescent="0.25">
      <c r="A908" s="86"/>
      <c r="B908" s="86"/>
      <c r="C908" s="88"/>
      <c r="D908" s="91"/>
      <c r="E908" s="92"/>
      <c r="F908" s="94"/>
    </row>
    <row r="909" spans="1:6" x14ac:dyDescent="0.25">
      <c r="A909" s="86"/>
      <c r="B909" s="86"/>
      <c r="C909" s="88"/>
      <c r="D909" s="91"/>
      <c r="E909" s="92"/>
      <c r="F909" s="94"/>
    </row>
    <row r="910" spans="1:6" x14ac:dyDescent="0.25">
      <c r="A910" s="86"/>
      <c r="B910" s="86"/>
      <c r="C910" s="88"/>
      <c r="D910" s="91"/>
      <c r="E910" s="92"/>
      <c r="F910" s="94"/>
    </row>
    <row r="911" spans="1:6" x14ac:dyDescent="0.25">
      <c r="A911" s="86"/>
      <c r="B911" s="86"/>
      <c r="C911" s="88"/>
      <c r="D911" s="91"/>
      <c r="E911" s="92"/>
      <c r="F911" s="94"/>
    </row>
    <row r="912" spans="1:6" x14ac:dyDescent="0.25">
      <c r="A912" s="86"/>
      <c r="B912" s="86"/>
      <c r="C912" s="88"/>
      <c r="D912" s="91"/>
      <c r="E912" s="92"/>
      <c r="F912" s="94"/>
    </row>
    <row r="913" spans="1:6" x14ac:dyDescent="0.25">
      <c r="A913" s="86"/>
      <c r="B913" s="86"/>
      <c r="C913" s="88"/>
      <c r="D913" s="91"/>
      <c r="E913" s="92"/>
      <c r="F913" s="94"/>
    </row>
    <row r="914" spans="1:6" x14ac:dyDescent="0.25">
      <c r="A914" s="86"/>
      <c r="B914" s="86"/>
      <c r="C914" s="88"/>
      <c r="D914" s="91"/>
      <c r="E914" s="92"/>
      <c r="F914" s="94"/>
    </row>
    <row r="915" spans="1:6" x14ac:dyDescent="0.25">
      <c r="A915" s="86"/>
      <c r="B915" s="86"/>
      <c r="C915" s="88"/>
      <c r="D915" s="91"/>
      <c r="E915" s="92"/>
      <c r="F915" s="94"/>
    </row>
    <row r="916" spans="1:6" x14ac:dyDescent="0.25">
      <c r="A916" s="86"/>
      <c r="B916" s="86"/>
      <c r="C916" s="88"/>
      <c r="D916" s="91"/>
      <c r="E916" s="92"/>
      <c r="F916" s="94"/>
    </row>
    <row r="917" spans="1:6" x14ac:dyDescent="0.25">
      <c r="A917" s="86"/>
      <c r="B917" s="86"/>
      <c r="C917" s="88"/>
      <c r="D917" s="91"/>
      <c r="E917" s="92"/>
      <c r="F917" s="94"/>
    </row>
    <row r="918" spans="1:6" x14ac:dyDescent="0.25">
      <c r="A918" s="86"/>
      <c r="B918" s="86"/>
      <c r="C918" s="88"/>
      <c r="D918" s="91"/>
      <c r="E918" s="92"/>
      <c r="F918" s="94"/>
    </row>
    <row r="919" spans="1:6" x14ac:dyDescent="0.25">
      <c r="A919" s="86"/>
      <c r="B919" s="86"/>
      <c r="C919" s="88"/>
      <c r="D919" s="91"/>
      <c r="E919" s="92"/>
      <c r="F919" s="94"/>
    </row>
    <row r="920" spans="1:6" x14ac:dyDescent="0.25">
      <c r="A920" s="86"/>
      <c r="B920" s="86"/>
      <c r="C920" s="88"/>
      <c r="D920" s="91"/>
      <c r="E920" s="92"/>
      <c r="F920" s="94"/>
    </row>
    <row r="921" spans="1:6" x14ac:dyDescent="0.25">
      <c r="A921" s="86"/>
      <c r="B921" s="86"/>
      <c r="C921" s="88"/>
      <c r="D921" s="91"/>
      <c r="E921" s="92"/>
      <c r="F921" s="94"/>
    </row>
    <row r="922" spans="1:6" x14ac:dyDescent="0.25">
      <c r="A922" s="86"/>
      <c r="B922" s="86"/>
      <c r="C922" s="88"/>
      <c r="D922" s="91"/>
      <c r="E922" s="92"/>
      <c r="F922" s="94"/>
    </row>
    <row r="923" spans="1:6" x14ac:dyDescent="0.25">
      <c r="A923" s="86"/>
      <c r="B923" s="86"/>
      <c r="C923" s="88"/>
      <c r="D923" s="91"/>
      <c r="E923" s="92"/>
      <c r="F923" s="94"/>
    </row>
    <row r="924" spans="1:6" x14ac:dyDescent="0.25">
      <c r="A924" s="86"/>
      <c r="B924" s="86"/>
      <c r="C924" s="88"/>
      <c r="D924" s="91"/>
      <c r="E924" s="92"/>
      <c r="F924" s="94"/>
    </row>
    <row r="925" spans="1:6" x14ac:dyDescent="0.25">
      <c r="A925" s="86"/>
      <c r="B925" s="86"/>
      <c r="C925" s="88"/>
      <c r="D925" s="91"/>
      <c r="E925" s="92"/>
      <c r="F925" s="94"/>
    </row>
    <row r="926" spans="1:6" x14ac:dyDescent="0.25">
      <c r="A926" s="86"/>
      <c r="B926" s="86"/>
      <c r="C926" s="88"/>
      <c r="D926" s="91"/>
      <c r="E926" s="92"/>
      <c r="F926" s="94"/>
    </row>
    <row r="927" spans="1:6" x14ac:dyDescent="0.25">
      <c r="A927" s="86"/>
      <c r="B927" s="86"/>
      <c r="C927" s="88"/>
      <c r="D927" s="91"/>
      <c r="E927" s="92"/>
      <c r="F927" s="94"/>
    </row>
    <row r="928" spans="1:6" x14ac:dyDescent="0.25">
      <c r="A928" s="86"/>
      <c r="B928" s="86"/>
      <c r="C928" s="88"/>
      <c r="D928" s="91"/>
      <c r="E928" s="92"/>
      <c r="F928" s="94"/>
    </row>
    <row r="929" spans="1:6" x14ac:dyDescent="0.25">
      <c r="A929" s="86"/>
      <c r="B929" s="86"/>
      <c r="C929" s="88"/>
      <c r="D929" s="91"/>
      <c r="E929" s="92"/>
      <c r="F929" s="94"/>
    </row>
    <row r="930" spans="1:6" x14ac:dyDescent="0.25">
      <c r="A930" s="86"/>
      <c r="B930" s="86"/>
      <c r="C930" s="88"/>
      <c r="D930" s="91"/>
      <c r="E930" s="92"/>
      <c r="F930" s="94"/>
    </row>
    <row r="931" spans="1:6" x14ac:dyDescent="0.25">
      <c r="A931" s="86"/>
      <c r="B931" s="86"/>
      <c r="C931" s="88"/>
      <c r="D931" s="91"/>
      <c r="E931" s="92"/>
      <c r="F931" s="94"/>
    </row>
    <row r="932" spans="1:6" x14ac:dyDescent="0.25">
      <c r="A932" s="86"/>
      <c r="B932" s="86"/>
      <c r="C932" s="88"/>
      <c r="D932" s="91"/>
      <c r="E932" s="92"/>
      <c r="F932" s="94"/>
    </row>
    <row r="933" spans="1:6" x14ac:dyDescent="0.25">
      <c r="A933" s="86"/>
      <c r="B933" s="86"/>
      <c r="C933" s="88"/>
      <c r="D933" s="91"/>
      <c r="E933" s="92"/>
      <c r="F933" s="94"/>
    </row>
    <row r="934" spans="1:6" x14ac:dyDescent="0.25">
      <c r="A934" s="86"/>
      <c r="B934" s="86"/>
      <c r="C934" s="88"/>
      <c r="D934" s="91"/>
      <c r="E934" s="92"/>
      <c r="F934" s="94"/>
    </row>
    <row r="935" spans="1:6" x14ac:dyDescent="0.25">
      <c r="A935" s="86"/>
      <c r="B935" s="86"/>
      <c r="C935" s="88"/>
      <c r="D935" s="91"/>
      <c r="E935" s="92"/>
      <c r="F935" s="94"/>
    </row>
    <row r="936" spans="1:6" x14ac:dyDescent="0.25">
      <c r="A936" s="86"/>
      <c r="B936" s="86"/>
      <c r="C936" s="88"/>
      <c r="D936" s="91"/>
      <c r="E936" s="92"/>
      <c r="F936" s="94"/>
    </row>
    <row r="937" spans="1:6" x14ac:dyDescent="0.25">
      <c r="A937" s="86"/>
      <c r="B937" s="86"/>
      <c r="C937" s="88"/>
      <c r="D937" s="91"/>
      <c r="E937" s="92"/>
      <c r="F937" s="94"/>
    </row>
    <row r="938" spans="1:6" x14ac:dyDescent="0.25">
      <c r="A938" s="86"/>
      <c r="B938" s="86"/>
      <c r="C938" s="88"/>
      <c r="D938" s="91"/>
      <c r="E938" s="92"/>
      <c r="F938" s="94"/>
    </row>
    <row r="939" spans="1:6" x14ac:dyDescent="0.25">
      <c r="A939" s="86"/>
      <c r="B939" s="86"/>
      <c r="C939" s="88"/>
      <c r="D939" s="91"/>
      <c r="E939" s="92"/>
      <c r="F939" s="94"/>
    </row>
    <row r="940" spans="1:6" x14ac:dyDescent="0.25">
      <c r="A940" s="86"/>
      <c r="B940" s="86"/>
      <c r="C940" s="88"/>
      <c r="D940" s="91"/>
      <c r="E940" s="92"/>
      <c r="F940" s="94"/>
    </row>
    <row r="941" spans="1:6" x14ac:dyDescent="0.25">
      <c r="A941" s="86"/>
      <c r="B941" s="86"/>
      <c r="C941" s="88"/>
      <c r="D941" s="91"/>
      <c r="E941" s="92"/>
      <c r="F941" s="94"/>
    </row>
    <row r="942" spans="1:6" x14ac:dyDescent="0.25">
      <c r="A942" s="86"/>
      <c r="B942" s="86"/>
      <c r="C942" s="88"/>
      <c r="D942" s="91"/>
      <c r="E942" s="92"/>
      <c r="F942" s="94"/>
    </row>
    <row r="943" spans="1:6" x14ac:dyDescent="0.25">
      <c r="A943" s="86"/>
      <c r="B943" s="86"/>
      <c r="C943" s="88"/>
      <c r="D943" s="91"/>
      <c r="E943" s="92"/>
      <c r="F943" s="94"/>
    </row>
    <row r="944" spans="1:6" x14ac:dyDescent="0.25">
      <c r="A944" s="86"/>
      <c r="B944" s="86"/>
      <c r="C944" s="88"/>
      <c r="D944" s="91"/>
      <c r="E944" s="92"/>
      <c r="F944" s="94"/>
    </row>
    <row r="945" spans="1:6" x14ac:dyDescent="0.25">
      <c r="A945" s="86"/>
      <c r="B945" s="86"/>
      <c r="C945" s="88"/>
      <c r="D945" s="91"/>
      <c r="E945" s="92"/>
      <c r="F945" s="94"/>
    </row>
    <row r="946" spans="1:6" x14ac:dyDescent="0.25">
      <c r="A946" s="86"/>
      <c r="B946" s="86"/>
      <c r="C946" s="88"/>
      <c r="D946" s="91"/>
      <c r="E946" s="92"/>
      <c r="F946" s="94"/>
    </row>
    <row r="947" spans="1:6" x14ac:dyDescent="0.25">
      <c r="A947" s="86"/>
      <c r="B947" s="86"/>
      <c r="C947" s="88"/>
      <c r="D947" s="91"/>
      <c r="E947" s="92"/>
      <c r="F947" s="94"/>
    </row>
    <row r="948" spans="1:6" x14ac:dyDescent="0.25">
      <c r="A948" s="86"/>
      <c r="B948" s="86"/>
      <c r="C948" s="88"/>
      <c r="D948" s="91"/>
      <c r="E948" s="92"/>
      <c r="F948" s="94"/>
    </row>
    <row r="949" spans="1:6" x14ac:dyDescent="0.25">
      <c r="A949" s="86"/>
      <c r="B949" s="86"/>
      <c r="C949" s="88"/>
      <c r="D949" s="91"/>
      <c r="E949" s="92"/>
      <c r="F949" s="94"/>
    </row>
    <row r="950" spans="1:6" x14ac:dyDescent="0.25">
      <c r="A950" s="86"/>
      <c r="B950" s="86"/>
      <c r="C950" s="88"/>
      <c r="D950" s="91"/>
      <c r="E950" s="92"/>
      <c r="F950" s="94"/>
    </row>
    <row r="951" spans="1:6" x14ac:dyDescent="0.25">
      <c r="A951" s="86"/>
      <c r="B951" s="86"/>
      <c r="C951" s="88"/>
      <c r="D951" s="91"/>
      <c r="E951" s="92"/>
      <c r="F951" s="94"/>
    </row>
    <row r="952" spans="1:6" x14ac:dyDescent="0.25">
      <c r="A952" s="86"/>
      <c r="B952" s="86"/>
      <c r="C952" s="88"/>
      <c r="D952" s="91"/>
      <c r="E952" s="92"/>
      <c r="F952" s="94"/>
    </row>
    <row r="953" spans="1:6" x14ac:dyDescent="0.25">
      <c r="A953" s="86"/>
      <c r="B953" s="86"/>
      <c r="C953" s="88"/>
      <c r="D953" s="91"/>
      <c r="E953" s="92"/>
      <c r="F953" s="94"/>
    </row>
    <row r="954" spans="1:6" x14ac:dyDescent="0.25">
      <c r="A954" s="86"/>
      <c r="B954" s="86"/>
      <c r="C954" s="88"/>
      <c r="D954" s="91"/>
      <c r="E954" s="92"/>
      <c r="F954" s="94"/>
    </row>
    <row r="955" spans="1:6" x14ac:dyDescent="0.25">
      <c r="A955" s="86"/>
      <c r="B955" s="86"/>
      <c r="C955" s="88"/>
      <c r="D955" s="91"/>
      <c r="E955" s="92"/>
      <c r="F955" s="94"/>
    </row>
    <row r="956" spans="1:6" x14ac:dyDescent="0.25">
      <c r="A956" s="86"/>
      <c r="B956" s="86"/>
      <c r="C956" s="88"/>
      <c r="D956" s="91"/>
      <c r="E956" s="92"/>
      <c r="F956" s="94"/>
    </row>
    <row r="957" spans="1:6" x14ac:dyDescent="0.25">
      <c r="A957" s="86"/>
      <c r="B957" s="86"/>
      <c r="C957" s="88"/>
      <c r="D957" s="91"/>
      <c r="E957" s="92"/>
      <c r="F957" s="94"/>
    </row>
    <row r="958" spans="1:6" x14ac:dyDescent="0.25">
      <c r="A958" s="86"/>
      <c r="B958" s="86"/>
      <c r="C958" s="88"/>
      <c r="D958" s="91"/>
      <c r="E958" s="92"/>
      <c r="F958" s="94"/>
    </row>
    <row r="959" spans="1:6" x14ac:dyDescent="0.25">
      <c r="A959" s="86"/>
      <c r="B959" s="86"/>
      <c r="C959" s="88"/>
      <c r="D959" s="91"/>
      <c r="E959" s="92"/>
      <c r="F959" s="94"/>
    </row>
    <row r="960" spans="1:6" x14ac:dyDescent="0.25">
      <c r="A960" s="86"/>
      <c r="B960" s="86"/>
      <c r="C960" s="88"/>
      <c r="D960" s="91"/>
      <c r="E960" s="92"/>
      <c r="F960" s="94"/>
    </row>
    <row r="961" spans="1:6" x14ac:dyDescent="0.25">
      <c r="A961" s="86"/>
      <c r="B961" s="86"/>
      <c r="C961" s="88"/>
      <c r="D961" s="91"/>
      <c r="E961" s="92"/>
      <c r="F961" s="94"/>
    </row>
    <row r="962" spans="1:6" x14ac:dyDescent="0.25">
      <c r="A962" s="86"/>
      <c r="B962" s="86"/>
      <c r="C962" s="88"/>
      <c r="D962" s="91"/>
      <c r="E962" s="92"/>
      <c r="F962" s="94"/>
    </row>
    <row r="963" spans="1:6" x14ac:dyDescent="0.25">
      <c r="A963" s="86"/>
      <c r="B963" s="86"/>
      <c r="C963" s="88"/>
      <c r="D963" s="91"/>
      <c r="E963" s="92"/>
      <c r="F963" s="94"/>
    </row>
    <row r="964" spans="1:6" x14ac:dyDescent="0.25">
      <c r="A964" s="86"/>
      <c r="B964" s="86"/>
      <c r="C964" s="88"/>
      <c r="D964" s="91"/>
      <c r="E964" s="92"/>
      <c r="F964" s="94"/>
    </row>
    <row r="965" spans="1:6" x14ac:dyDescent="0.25">
      <c r="A965" s="86"/>
      <c r="B965" s="86"/>
      <c r="C965" s="88"/>
      <c r="D965" s="91"/>
      <c r="E965" s="92"/>
      <c r="F965" s="94"/>
    </row>
    <row r="966" spans="1:6" x14ac:dyDescent="0.25">
      <c r="A966" s="86"/>
      <c r="B966" s="86"/>
      <c r="C966" s="88"/>
      <c r="D966" s="91"/>
      <c r="E966" s="92"/>
      <c r="F966" s="94"/>
    </row>
    <row r="967" spans="1:6" x14ac:dyDescent="0.25">
      <c r="A967" s="86"/>
      <c r="B967" s="86"/>
      <c r="C967" s="88"/>
      <c r="D967" s="91"/>
      <c r="E967" s="92"/>
      <c r="F967" s="94"/>
    </row>
    <row r="968" spans="1:6" x14ac:dyDescent="0.25">
      <c r="A968" s="86"/>
      <c r="B968" s="86"/>
      <c r="C968" s="88"/>
      <c r="D968" s="91"/>
      <c r="E968" s="92"/>
      <c r="F968" s="94"/>
    </row>
    <row r="969" spans="1:6" x14ac:dyDescent="0.25">
      <c r="A969" s="86"/>
      <c r="B969" s="86"/>
      <c r="C969" s="88"/>
      <c r="D969" s="91"/>
      <c r="E969" s="92"/>
      <c r="F969" s="94"/>
    </row>
    <row r="970" spans="1:6" x14ac:dyDescent="0.25">
      <c r="A970" s="86"/>
      <c r="B970" s="86"/>
      <c r="C970" s="88"/>
      <c r="D970" s="91"/>
      <c r="E970" s="92"/>
      <c r="F970" s="94"/>
    </row>
    <row r="971" spans="1:6" x14ac:dyDescent="0.25">
      <c r="A971" s="86"/>
      <c r="B971" s="86"/>
      <c r="C971" s="88"/>
      <c r="D971" s="91"/>
      <c r="E971" s="92"/>
      <c r="F971" s="94"/>
    </row>
    <row r="972" spans="1:6" x14ac:dyDescent="0.25">
      <c r="A972" s="86"/>
      <c r="B972" s="86"/>
      <c r="C972" s="88"/>
      <c r="D972" s="91"/>
      <c r="E972" s="92"/>
      <c r="F972" s="94"/>
    </row>
    <row r="973" spans="1:6" x14ac:dyDescent="0.25">
      <c r="A973" s="86"/>
      <c r="B973" s="86"/>
      <c r="C973" s="88"/>
      <c r="D973" s="91"/>
      <c r="E973" s="92"/>
      <c r="F973" s="94"/>
    </row>
    <row r="974" spans="1:6" x14ac:dyDescent="0.25">
      <c r="A974" s="86"/>
      <c r="B974" s="86"/>
      <c r="C974" s="88"/>
      <c r="D974" s="91"/>
      <c r="E974" s="92"/>
      <c r="F974" s="94"/>
    </row>
    <row r="975" spans="1:6" x14ac:dyDescent="0.25">
      <c r="A975" s="86"/>
      <c r="B975" s="86"/>
      <c r="C975" s="88"/>
      <c r="D975" s="91"/>
      <c r="E975" s="92"/>
      <c r="F975" s="94"/>
    </row>
    <row r="976" spans="1:6" x14ac:dyDescent="0.25">
      <c r="A976" s="86"/>
      <c r="B976" s="86"/>
      <c r="C976" s="88"/>
      <c r="D976" s="91"/>
      <c r="E976" s="92"/>
      <c r="F976" s="94"/>
    </row>
    <row r="977" spans="1:6" x14ac:dyDescent="0.25">
      <c r="A977" s="86"/>
      <c r="B977" s="86"/>
      <c r="C977" s="88"/>
      <c r="D977" s="91"/>
      <c r="E977" s="92"/>
      <c r="F977" s="94"/>
    </row>
    <row r="978" spans="1:6" x14ac:dyDescent="0.25">
      <c r="A978" s="86"/>
      <c r="B978" s="86"/>
      <c r="C978" s="88"/>
      <c r="D978" s="91"/>
      <c r="E978" s="92"/>
      <c r="F978" s="94"/>
    </row>
    <row r="979" spans="1:6" x14ac:dyDescent="0.25">
      <c r="A979" s="86"/>
      <c r="B979" s="86"/>
      <c r="C979" s="88"/>
      <c r="D979" s="91"/>
      <c r="E979" s="92"/>
      <c r="F979" s="94"/>
    </row>
    <row r="980" spans="1:6" x14ac:dyDescent="0.25">
      <c r="A980" s="86"/>
      <c r="B980" s="86"/>
      <c r="C980" s="88"/>
      <c r="D980" s="91"/>
      <c r="E980" s="92"/>
      <c r="F980" s="94"/>
    </row>
    <row r="981" spans="1:6" x14ac:dyDescent="0.25">
      <c r="A981" s="86"/>
      <c r="B981" s="86"/>
      <c r="C981" s="88"/>
      <c r="D981" s="91"/>
      <c r="E981" s="92"/>
      <c r="F981" s="94"/>
    </row>
    <row r="982" spans="1:6" x14ac:dyDescent="0.25">
      <c r="A982" s="86"/>
      <c r="B982" s="86"/>
      <c r="C982" s="88"/>
      <c r="D982" s="91"/>
      <c r="E982" s="92"/>
      <c r="F982" s="94"/>
    </row>
    <row r="983" spans="1:6" x14ac:dyDescent="0.25">
      <c r="A983" s="86"/>
      <c r="B983" s="86"/>
      <c r="C983" s="88"/>
      <c r="D983" s="91"/>
      <c r="E983" s="92"/>
      <c r="F983" s="94"/>
    </row>
    <row r="984" spans="1:6" x14ac:dyDescent="0.25">
      <c r="A984" s="86"/>
      <c r="B984" s="86"/>
      <c r="C984" s="88"/>
      <c r="D984" s="91"/>
      <c r="E984" s="92"/>
      <c r="F984" s="94"/>
    </row>
    <row r="985" spans="1:6" x14ac:dyDescent="0.25">
      <c r="A985" s="86"/>
      <c r="B985" s="86"/>
      <c r="C985" s="88"/>
      <c r="D985" s="91"/>
      <c r="E985" s="92"/>
      <c r="F985" s="94"/>
    </row>
    <row r="986" spans="1:6" x14ac:dyDescent="0.25">
      <c r="A986" s="86"/>
      <c r="B986" s="86"/>
      <c r="C986" s="88"/>
      <c r="D986" s="91"/>
      <c r="E986" s="92"/>
      <c r="F986" s="94"/>
    </row>
    <row r="987" spans="1:6" x14ac:dyDescent="0.25">
      <c r="A987" s="86"/>
      <c r="B987" s="86"/>
      <c r="C987" s="88"/>
      <c r="D987" s="91"/>
      <c r="E987" s="92"/>
      <c r="F987" s="94"/>
    </row>
    <row r="988" spans="1:6" x14ac:dyDescent="0.25">
      <c r="A988" s="86"/>
      <c r="B988" s="86"/>
      <c r="C988" s="88"/>
      <c r="D988" s="91"/>
      <c r="E988" s="92"/>
      <c r="F988" s="94"/>
    </row>
    <row r="989" spans="1:6" x14ac:dyDescent="0.25">
      <c r="A989" s="86"/>
      <c r="B989" s="86"/>
      <c r="C989" s="88"/>
      <c r="D989" s="91"/>
      <c r="E989" s="92"/>
      <c r="F989" s="94"/>
    </row>
    <row r="990" spans="1:6" x14ac:dyDescent="0.25">
      <c r="A990" s="86"/>
      <c r="B990" s="86"/>
      <c r="C990" s="88"/>
      <c r="D990" s="91"/>
      <c r="E990" s="92"/>
      <c r="F990" s="94"/>
    </row>
    <row r="991" spans="1:6" x14ac:dyDescent="0.25">
      <c r="A991" s="86"/>
      <c r="B991" s="86"/>
      <c r="C991" s="88"/>
      <c r="D991" s="91"/>
      <c r="E991" s="92"/>
      <c r="F991" s="94"/>
    </row>
    <row r="992" spans="1:6" x14ac:dyDescent="0.25">
      <c r="A992" s="86"/>
      <c r="B992" s="86"/>
      <c r="C992" s="88"/>
      <c r="D992" s="91"/>
      <c r="E992" s="92"/>
      <c r="F992" s="94"/>
    </row>
    <row r="993" spans="1:6" x14ac:dyDescent="0.25">
      <c r="A993" s="86"/>
      <c r="B993" s="86"/>
      <c r="C993" s="88"/>
      <c r="D993" s="91"/>
      <c r="E993" s="92"/>
      <c r="F993" s="94"/>
    </row>
    <row r="994" spans="1:6" x14ac:dyDescent="0.25">
      <c r="A994" s="86"/>
      <c r="B994" s="86"/>
      <c r="C994" s="88"/>
      <c r="D994" s="91"/>
      <c r="E994" s="92"/>
      <c r="F994" s="94"/>
    </row>
    <row r="995" spans="1:6" x14ac:dyDescent="0.25">
      <c r="A995" s="86"/>
      <c r="B995" s="86"/>
      <c r="C995" s="88"/>
      <c r="D995" s="91"/>
      <c r="E995" s="92"/>
      <c r="F995" s="94"/>
    </row>
    <row r="996" spans="1:6" x14ac:dyDescent="0.25">
      <c r="A996" s="86"/>
      <c r="B996" s="86"/>
      <c r="C996" s="88"/>
      <c r="D996" s="91"/>
      <c r="E996" s="92"/>
      <c r="F996" s="94"/>
    </row>
    <row r="997" spans="1:6" x14ac:dyDescent="0.25">
      <c r="A997" s="86"/>
      <c r="B997" s="86"/>
      <c r="C997" s="88"/>
      <c r="D997" s="91"/>
      <c r="E997" s="92"/>
      <c r="F997" s="94"/>
    </row>
    <row r="998" spans="1:6" x14ac:dyDescent="0.25">
      <c r="A998" s="86"/>
      <c r="B998" s="86"/>
      <c r="C998" s="88"/>
      <c r="D998" s="91"/>
      <c r="E998" s="92"/>
      <c r="F998" s="94"/>
    </row>
    <row r="999" spans="1:6" x14ac:dyDescent="0.25">
      <c r="A999" s="86"/>
      <c r="B999" s="86"/>
      <c r="C999" s="88"/>
      <c r="D999" s="91"/>
      <c r="E999" s="92"/>
      <c r="F999" s="94"/>
    </row>
    <row r="1000" spans="1:6" x14ac:dyDescent="0.25">
      <c r="A1000" s="86"/>
      <c r="B1000" s="86"/>
      <c r="C1000" s="88"/>
      <c r="D1000" s="91"/>
      <c r="E1000" s="92"/>
      <c r="F1000" s="94"/>
    </row>
    <row r="1001" spans="1:6" x14ac:dyDescent="0.25">
      <c r="A1001" s="86"/>
      <c r="B1001" s="86"/>
      <c r="C1001" s="88"/>
      <c r="D1001" s="91"/>
      <c r="E1001" s="92"/>
      <c r="F1001" s="94"/>
    </row>
    <row r="1002" spans="1:6" x14ac:dyDescent="0.25">
      <c r="A1002" s="86"/>
      <c r="B1002" s="86"/>
      <c r="C1002" s="88"/>
      <c r="D1002" s="91"/>
      <c r="E1002" s="92"/>
      <c r="F1002" s="94"/>
    </row>
    <row r="1003" spans="1:6" x14ac:dyDescent="0.25">
      <c r="A1003" s="86"/>
      <c r="B1003" s="86"/>
      <c r="C1003" s="88"/>
      <c r="D1003" s="91"/>
      <c r="E1003" s="92"/>
      <c r="F1003" s="94"/>
    </row>
    <row r="1004" spans="1:6" x14ac:dyDescent="0.25">
      <c r="A1004" s="86"/>
      <c r="B1004" s="86"/>
      <c r="C1004" s="88"/>
      <c r="D1004" s="91"/>
      <c r="E1004" s="92"/>
      <c r="F1004" s="94"/>
    </row>
    <row r="1005" spans="1:6" x14ac:dyDescent="0.25">
      <c r="A1005" s="86"/>
      <c r="B1005" s="86"/>
      <c r="C1005" s="88"/>
      <c r="D1005" s="91"/>
      <c r="E1005" s="92"/>
      <c r="F1005" s="94"/>
    </row>
    <row r="1006" spans="1:6" x14ac:dyDescent="0.25">
      <c r="A1006" s="86"/>
      <c r="B1006" s="86"/>
      <c r="C1006" s="88"/>
      <c r="D1006" s="91"/>
      <c r="E1006" s="92"/>
      <c r="F1006" s="94"/>
    </row>
    <row r="1007" spans="1:6" x14ac:dyDescent="0.25">
      <c r="A1007" s="86"/>
      <c r="B1007" s="86"/>
      <c r="C1007" s="88"/>
      <c r="D1007" s="91"/>
      <c r="E1007" s="92"/>
      <c r="F1007" s="94"/>
    </row>
    <row r="1008" spans="1:6" x14ac:dyDescent="0.25">
      <c r="A1008" s="86"/>
      <c r="B1008" s="86"/>
      <c r="C1008" s="88"/>
      <c r="D1008" s="91"/>
      <c r="E1008" s="92"/>
      <c r="F1008" s="94"/>
    </row>
    <row r="1009" spans="1:6" x14ac:dyDescent="0.25">
      <c r="A1009" s="86"/>
      <c r="B1009" s="86"/>
      <c r="C1009" s="88"/>
      <c r="D1009" s="91"/>
      <c r="E1009" s="92"/>
      <c r="F1009" s="94"/>
    </row>
    <row r="1010" spans="1:6" x14ac:dyDescent="0.25">
      <c r="A1010" s="86"/>
      <c r="B1010" s="86"/>
      <c r="C1010" s="88"/>
      <c r="D1010" s="91"/>
      <c r="E1010" s="92"/>
      <c r="F1010" s="94"/>
    </row>
    <row r="1011" spans="1:6" x14ac:dyDescent="0.25">
      <c r="A1011" s="86"/>
      <c r="B1011" s="86"/>
      <c r="C1011" s="88"/>
      <c r="D1011" s="91"/>
      <c r="E1011" s="92"/>
      <c r="F1011" s="94"/>
    </row>
    <row r="1012" spans="1:6" x14ac:dyDescent="0.25">
      <c r="A1012" s="86"/>
      <c r="B1012" s="86"/>
      <c r="C1012" s="88"/>
      <c r="D1012" s="91"/>
      <c r="E1012" s="92"/>
      <c r="F1012" s="94"/>
    </row>
    <row r="1013" spans="1:6" x14ac:dyDescent="0.25">
      <c r="A1013" s="86"/>
      <c r="B1013" s="86"/>
      <c r="C1013" s="88"/>
      <c r="D1013" s="91"/>
      <c r="E1013" s="92"/>
      <c r="F1013" s="94"/>
    </row>
    <row r="1014" spans="1:6" x14ac:dyDescent="0.25">
      <c r="A1014" s="86"/>
      <c r="B1014" s="86"/>
      <c r="C1014" s="88"/>
      <c r="D1014" s="91"/>
      <c r="E1014" s="92"/>
      <c r="F1014" s="94"/>
    </row>
    <row r="1015" spans="1:6" x14ac:dyDescent="0.25">
      <c r="A1015" s="86"/>
      <c r="B1015" s="86"/>
      <c r="C1015" s="88"/>
      <c r="D1015" s="91"/>
      <c r="E1015" s="92"/>
      <c r="F1015" s="94"/>
    </row>
    <row r="1016" spans="1:6" x14ac:dyDescent="0.25">
      <c r="A1016" s="86"/>
      <c r="B1016" s="86"/>
      <c r="C1016" s="88"/>
      <c r="D1016" s="91"/>
      <c r="E1016" s="92"/>
      <c r="F1016" s="94"/>
    </row>
    <row r="1017" spans="1:6" x14ac:dyDescent="0.25">
      <c r="A1017" s="86"/>
      <c r="B1017" s="86"/>
      <c r="C1017" s="88"/>
      <c r="D1017" s="91"/>
      <c r="E1017" s="92"/>
      <c r="F1017" s="9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_Per1() R'!A1" display="'DigColPs_Per1() R'!A1"/>
    <hyperlink ref="A19" location="'DigColPs_Per1() M'!A1" display="'DigColPs_Per1() M'!A1"/>
    <hyperlink ref="A18" location="'DigColPs_Per1() P'!A1" display="'DigColPs_Per1() P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DA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8.5703125" customWidth="1"/>
    <col min="3" max="4" width="6" bestFit="1" customWidth="1"/>
    <col min="5" max="8" width="3.28515625" bestFit="1" customWidth="1"/>
    <col min="9" max="9" width="6" bestFit="1" customWidth="1"/>
    <col min="10" max="10" width="5.7109375" bestFit="1" customWidth="1"/>
    <col min="11" max="11" width="9" bestFit="1" customWidth="1"/>
    <col min="12" max="12" width="7" bestFit="1" customWidth="1"/>
    <col min="13" max="14" width="3.28515625" bestFit="1" customWidth="1"/>
    <col min="15" max="15" width="8" bestFit="1" customWidth="1"/>
    <col min="16" max="16" width="3.28515625" bestFit="1" customWidth="1"/>
    <col min="17" max="17" width="4" bestFit="1" customWidth="1"/>
    <col min="18" max="18" width="3.28515625" bestFit="1" customWidth="1"/>
    <col min="19" max="19" width="4" bestFit="1" customWidth="1"/>
    <col min="20" max="20" width="10" bestFit="1" customWidth="1"/>
    <col min="21" max="21" width="3.28515625" bestFit="1" customWidth="1"/>
    <col min="22" max="22" width="4" bestFit="1" customWidth="1"/>
    <col min="23" max="24" width="9" bestFit="1" customWidth="1"/>
    <col min="25" max="25" width="5" bestFit="1" customWidth="1"/>
    <col min="26" max="26" width="7.7109375" bestFit="1" customWidth="1"/>
    <col min="27" max="28" width="3.28515625" customWidth="1"/>
    <col min="29" max="31" width="7.28515625" bestFit="1" customWidth="1"/>
    <col min="32" max="32" width="11" bestFit="1" customWidth="1"/>
    <col min="33" max="58" width="4.140625" bestFit="1" customWidth="1"/>
    <col min="59" max="59" width="4.140625" customWidth="1"/>
    <col min="60" max="68" width="7.28515625" bestFit="1" customWidth="1"/>
    <col min="69" max="69" width="11" bestFit="1" customWidth="1"/>
    <col min="70" max="74" width="7.28515625" bestFit="1" customWidth="1"/>
    <col min="75" max="75" width="11" bestFit="1" customWidth="1"/>
    <col min="76" max="76" width="12.7109375" bestFit="1" customWidth="1"/>
    <col min="77" max="78" width="12" bestFit="1" customWidth="1"/>
    <col min="79" max="84" width="7.28515625" bestFit="1" customWidth="1"/>
    <col min="85" max="85" width="10" bestFit="1" customWidth="1"/>
    <col min="86" max="93" width="7.28515625" bestFit="1" customWidth="1"/>
    <col min="94" max="94" width="12.7109375" bestFit="1" customWidth="1"/>
    <col min="95" max="102" width="7.28515625" bestFit="1" customWidth="1"/>
    <col min="103" max="103" width="10.5703125" bestFit="1" customWidth="1"/>
    <col min="104" max="104" width="12.42578125" bestFit="1" customWidth="1"/>
    <col min="105" max="105" width="10.5703125" bestFit="1" customWidth="1"/>
  </cols>
  <sheetData>
    <row r="1" spans="1:105" x14ac:dyDescent="0.25">
      <c r="A1" s="279" t="s">
        <v>242</v>
      </c>
      <c r="B1" s="280"/>
      <c r="C1" s="45" t="s">
        <v>160</v>
      </c>
      <c r="D1" s="58" t="s">
        <v>159</v>
      </c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  <c r="AG1" s="228"/>
      <c r="AH1" s="228"/>
      <c r="AI1" s="228"/>
      <c r="AJ1" s="228"/>
      <c r="AK1" s="228"/>
      <c r="AL1" s="228"/>
      <c r="AM1" s="228"/>
      <c r="AN1" s="228"/>
      <c r="AO1" s="228"/>
      <c r="AP1" s="228"/>
      <c r="AQ1" s="228"/>
      <c r="AR1" s="228"/>
      <c r="AS1" s="228"/>
      <c r="AT1" s="228"/>
      <c r="AU1" s="228"/>
      <c r="AV1" s="228"/>
      <c r="AW1" s="228"/>
      <c r="AX1" s="228"/>
      <c r="AY1" s="228"/>
      <c r="AZ1" s="228"/>
      <c r="BA1" s="228"/>
      <c r="BB1" s="228"/>
      <c r="BC1" s="228"/>
      <c r="BD1" s="228"/>
      <c r="BE1" s="228"/>
      <c r="BF1" s="228"/>
      <c r="BG1" s="228"/>
      <c r="BH1" s="228"/>
      <c r="BI1" s="228"/>
      <c r="BJ1" s="228"/>
      <c r="BK1" s="228"/>
      <c r="BL1" s="228"/>
      <c r="BM1" s="228"/>
      <c r="BN1" s="228"/>
      <c r="BO1" s="228"/>
      <c r="BP1" s="228"/>
      <c r="BQ1" s="228"/>
      <c r="BR1" s="228"/>
      <c r="BS1" s="228"/>
      <c r="BT1" s="228"/>
      <c r="BU1" s="228"/>
      <c r="BV1" s="228"/>
      <c r="BW1" s="228"/>
      <c r="BX1" s="228"/>
      <c r="BY1" s="228"/>
      <c r="BZ1" s="228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43"/>
      <c r="CZ1" s="43"/>
      <c r="DA1" s="44"/>
    </row>
    <row r="2" spans="1:105" ht="60" customHeight="1" x14ac:dyDescent="0.25">
      <c r="A2" s="281" t="s">
        <v>99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48" t="s">
        <v>150</v>
      </c>
      <c r="O2" s="48" t="s">
        <v>150</v>
      </c>
      <c r="P2" s="48" t="s">
        <v>150</v>
      </c>
      <c r="Q2" s="48" t="s">
        <v>150</v>
      </c>
      <c r="R2" s="48" t="s">
        <v>150</v>
      </c>
      <c r="S2" s="48" t="s">
        <v>150</v>
      </c>
      <c r="T2" s="48" t="s">
        <v>150</v>
      </c>
      <c r="U2" s="48" t="s">
        <v>150</v>
      </c>
      <c r="V2" s="48" t="s">
        <v>150</v>
      </c>
      <c r="W2" s="48" t="s">
        <v>150</v>
      </c>
      <c r="X2" s="48" t="s">
        <v>150</v>
      </c>
      <c r="Y2" s="48" t="s">
        <v>150</v>
      </c>
      <c r="Z2" s="48" t="s">
        <v>150</v>
      </c>
      <c r="AA2" s="48" t="s">
        <v>150</v>
      </c>
      <c r="AB2" s="48" t="s">
        <v>150</v>
      </c>
      <c r="AC2" s="64" t="s">
        <v>239</v>
      </c>
      <c r="AD2" s="64" t="s">
        <v>239</v>
      </c>
      <c r="AE2" s="64" t="s">
        <v>239</v>
      </c>
      <c r="AF2" s="64" t="s">
        <v>239</v>
      </c>
      <c r="AG2" s="60" t="s">
        <v>151</v>
      </c>
      <c r="AH2" s="27" t="s">
        <v>151</v>
      </c>
      <c r="AI2" s="27" t="s">
        <v>151</v>
      </c>
      <c r="AJ2" s="27" t="s">
        <v>151</v>
      </c>
      <c r="AK2" s="27" t="s">
        <v>151</v>
      </c>
      <c r="AL2" s="27" t="s">
        <v>151</v>
      </c>
      <c r="AM2" s="27" t="s">
        <v>151</v>
      </c>
      <c r="AN2" s="27" t="s">
        <v>151</v>
      </c>
      <c r="AO2" s="27" t="s">
        <v>151</v>
      </c>
      <c r="AP2" s="27" t="s">
        <v>151</v>
      </c>
      <c r="AQ2" s="27" t="s">
        <v>151</v>
      </c>
      <c r="AR2" s="27" t="s">
        <v>151</v>
      </c>
      <c r="AS2" s="27" t="s">
        <v>151</v>
      </c>
      <c r="AT2" s="27" t="s">
        <v>151</v>
      </c>
      <c r="AU2" s="27" t="s">
        <v>151</v>
      </c>
      <c r="AV2" s="27" t="s">
        <v>151</v>
      </c>
      <c r="AW2" s="27" t="s">
        <v>151</v>
      </c>
      <c r="AX2" s="27" t="s">
        <v>151</v>
      </c>
      <c r="AY2" s="27" t="s">
        <v>151</v>
      </c>
      <c r="AZ2" s="27" t="s">
        <v>151</v>
      </c>
      <c r="BA2" s="27" t="s">
        <v>151</v>
      </c>
      <c r="BB2" s="27" t="s">
        <v>151</v>
      </c>
      <c r="BC2" s="27" t="s">
        <v>151</v>
      </c>
      <c r="BD2" s="27" t="s">
        <v>151</v>
      </c>
      <c r="BE2" s="27" t="s">
        <v>151</v>
      </c>
      <c r="BF2" s="27" t="s">
        <v>151</v>
      </c>
      <c r="BG2" s="27" t="s">
        <v>151</v>
      </c>
      <c r="BH2" s="27" t="s">
        <v>152</v>
      </c>
      <c r="BI2" s="27" t="s">
        <v>152</v>
      </c>
      <c r="BJ2" s="27" t="s">
        <v>152</v>
      </c>
      <c r="BK2" s="27" t="s">
        <v>152</v>
      </c>
      <c r="BL2" s="27" t="s">
        <v>152</v>
      </c>
      <c r="BM2" s="27" t="s">
        <v>152</v>
      </c>
      <c r="BN2" s="27" t="s">
        <v>152</v>
      </c>
      <c r="BO2" s="27" t="s">
        <v>152</v>
      </c>
      <c r="BP2" s="28" t="s">
        <v>153</v>
      </c>
      <c r="BQ2" s="28" t="s">
        <v>153</v>
      </c>
      <c r="BR2" s="28" t="s">
        <v>153</v>
      </c>
      <c r="BS2" s="28" t="s">
        <v>153</v>
      </c>
      <c r="BT2" s="28" t="s">
        <v>153</v>
      </c>
      <c r="BU2" s="28" t="s">
        <v>153</v>
      </c>
      <c r="BV2" s="28" t="s">
        <v>153</v>
      </c>
      <c r="BW2" s="28" t="s">
        <v>153</v>
      </c>
      <c r="BX2" s="28" t="s">
        <v>153</v>
      </c>
      <c r="BY2" s="28" t="s">
        <v>153</v>
      </c>
      <c r="BZ2" s="28" t="s">
        <v>153</v>
      </c>
      <c r="CA2" s="28" t="s">
        <v>153</v>
      </c>
      <c r="CB2" s="28" t="s">
        <v>153</v>
      </c>
      <c r="CC2" s="28" t="s">
        <v>153</v>
      </c>
      <c r="CD2" s="28" t="s">
        <v>153</v>
      </c>
      <c r="CE2" s="28" t="s">
        <v>153</v>
      </c>
      <c r="CF2" s="28" t="s">
        <v>153</v>
      </c>
      <c r="CG2" s="28" t="s">
        <v>153</v>
      </c>
      <c r="CH2" s="28" t="s">
        <v>153</v>
      </c>
      <c r="CI2" s="28" t="s">
        <v>153</v>
      </c>
      <c r="CJ2" s="28" t="s">
        <v>153</v>
      </c>
      <c r="CK2" s="28" t="s">
        <v>153</v>
      </c>
      <c r="CL2" s="28" t="s">
        <v>153</v>
      </c>
      <c r="CM2" s="28" t="s">
        <v>153</v>
      </c>
      <c r="CN2" s="28" t="s">
        <v>153</v>
      </c>
      <c r="CO2" s="28" t="s">
        <v>153</v>
      </c>
      <c r="CP2" s="28" t="s">
        <v>153</v>
      </c>
      <c r="CQ2" s="28" t="s">
        <v>154</v>
      </c>
      <c r="CR2" s="28" t="s">
        <v>154</v>
      </c>
      <c r="CS2" s="28" t="s">
        <v>154</v>
      </c>
      <c r="CT2" s="28" t="s">
        <v>154</v>
      </c>
      <c r="CU2" s="28" t="s">
        <v>154</v>
      </c>
      <c r="CV2" s="28" t="s">
        <v>154</v>
      </c>
      <c r="CW2" s="28" t="s">
        <v>154</v>
      </c>
      <c r="CX2" s="28" t="s">
        <v>154</v>
      </c>
      <c r="CY2" s="29" t="s">
        <v>21</v>
      </c>
      <c r="CZ2" s="29" t="s">
        <v>156</v>
      </c>
      <c r="DA2" s="30" t="s">
        <v>158</v>
      </c>
    </row>
    <row r="3" spans="1:105" ht="192.75" x14ac:dyDescent="0.25">
      <c r="A3" s="31" t="s">
        <v>148</v>
      </c>
      <c r="B3" s="32" t="s">
        <v>149</v>
      </c>
      <c r="C3" s="33" t="s">
        <v>245</v>
      </c>
      <c r="D3" s="33" t="s">
        <v>246</v>
      </c>
      <c r="E3" s="33" t="s">
        <v>247</v>
      </c>
      <c r="F3" s="33" t="s">
        <v>243</v>
      </c>
      <c r="G3" s="33" t="s">
        <v>383</v>
      </c>
      <c r="H3" s="33" t="s">
        <v>385</v>
      </c>
      <c r="I3" s="33" t="s">
        <v>296</v>
      </c>
      <c r="J3" s="33" t="s">
        <v>325</v>
      </c>
      <c r="K3" s="33" t="s">
        <v>95</v>
      </c>
      <c r="L3" s="33" t="s">
        <v>253</v>
      </c>
      <c r="M3" s="33" t="s">
        <v>350</v>
      </c>
      <c r="N3" s="33" t="s">
        <v>351</v>
      </c>
      <c r="O3" s="33" t="s">
        <v>252</v>
      </c>
      <c r="P3" s="33" t="s">
        <v>564</v>
      </c>
      <c r="Q3" s="33" t="s">
        <v>423</v>
      </c>
      <c r="R3" s="33" t="s">
        <v>563</v>
      </c>
      <c r="S3" s="33" t="s">
        <v>576</v>
      </c>
      <c r="T3" s="33" t="s">
        <v>574</v>
      </c>
      <c r="U3" s="33" t="s">
        <v>571</v>
      </c>
      <c r="V3" s="33" t="s">
        <v>570</v>
      </c>
      <c r="W3" s="33" t="s">
        <v>285</v>
      </c>
      <c r="X3" s="33" t="s">
        <v>286</v>
      </c>
      <c r="Y3" s="33" t="s">
        <v>297</v>
      </c>
      <c r="Z3" s="33" t="s">
        <v>326</v>
      </c>
      <c r="AA3" s="33" t="s">
        <v>605</v>
      </c>
      <c r="AB3" s="33" t="s">
        <v>606</v>
      </c>
      <c r="AC3" s="33" t="s">
        <v>244</v>
      </c>
      <c r="AD3" s="33" t="s">
        <v>425</v>
      </c>
      <c r="AE3" s="33" t="s">
        <v>575</v>
      </c>
      <c r="AF3" s="33" t="s">
        <v>572</v>
      </c>
      <c r="AG3" s="34" t="s">
        <v>243</v>
      </c>
      <c r="AH3" s="34" t="s">
        <v>253</v>
      </c>
      <c r="AI3" s="34" t="s">
        <v>383</v>
      </c>
      <c r="AJ3" s="34" t="s">
        <v>385</v>
      </c>
      <c r="AK3" s="34" t="s">
        <v>123</v>
      </c>
      <c r="AL3" s="34" t="s">
        <v>124</v>
      </c>
      <c r="AM3" s="34" t="s">
        <v>125</v>
      </c>
      <c r="AN3" s="34" t="s">
        <v>252</v>
      </c>
      <c r="AO3" s="34" t="s">
        <v>325</v>
      </c>
      <c r="AP3" s="34" t="s">
        <v>285</v>
      </c>
      <c r="AQ3" s="34" t="s">
        <v>286</v>
      </c>
      <c r="AR3" s="34" t="s">
        <v>350</v>
      </c>
      <c r="AS3" s="34" t="s">
        <v>351</v>
      </c>
      <c r="AT3" s="34" t="s">
        <v>564</v>
      </c>
      <c r="AU3" s="34" t="s">
        <v>423</v>
      </c>
      <c r="AV3" s="34" t="s">
        <v>563</v>
      </c>
      <c r="AW3" s="34" t="s">
        <v>576</v>
      </c>
      <c r="AX3" s="34" t="s">
        <v>574</v>
      </c>
      <c r="AY3" s="34" t="s">
        <v>571</v>
      </c>
      <c r="AZ3" s="34" t="s">
        <v>603</v>
      </c>
      <c r="BA3" s="34" t="s">
        <v>604</v>
      </c>
      <c r="BB3" s="34" t="s">
        <v>605</v>
      </c>
      <c r="BC3" s="34" t="s">
        <v>606</v>
      </c>
      <c r="BD3" s="34" t="s">
        <v>566</v>
      </c>
      <c r="BE3" s="34" t="s">
        <v>567</v>
      </c>
      <c r="BF3" s="34" t="s">
        <v>565</v>
      </c>
      <c r="BG3" s="34" t="s">
        <v>326</v>
      </c>
      <c r="BH3" s="34" t="s">
        <v>53</v>
      </c>
      <c r="BI3" s="34" t="s">
        <v>54</v>
      </c>
      <c r="BJ3" s="34" t="s">
        <v>55</v>
      </c>
      <c r="BK3" s="34" t="s">
        <v>268</v>
      </c>
      <c r="BL3" s="34" t="s">
        <v>244</v>
      </c>
      <c r="BM3" s="34" t="s">
        <v>425</v>
      </c>
      <c r="BN3" s="34" t="s">
        <v>575</v>
      </c>
      <c r="BO3" s="34" t="s">
        <v>572</v>
      </c>
      <c r="BP3" s="35" t="s">
        <v>243</v>
      </c>
      <c r="BQ3" s="35" t="s">
        <v>253</v>
      </c>
      <c r="BR3" s="35" t="s">
        <v>383</v>
      </c>
      <c r="BS3" s="35" t="s">
        <v>385</v>
      </c>
      <c r="BT3" s="35" t="s">
        <v>123</v>
      </c>
      <c r="BU3" s="35" t="s">
        <v>124</v>
      </c>
      <c r="BV3" s="35" t="s">
        <v>125</v>
      </c>
      <c r="BW3" s="35" t="s">
        <v>252</v>
      </c>
      <c r="BX3" s="35" t="s">
        <v>325</v>
      </c>
      <c r="BY3" s="35" t="s">
        <v>285</v>
      </c>
      <c r="BZ3" s="35" t="s">
        <v>286</v>
      </c>
      <c r="CA3" s="35" t="s">
        <v>350</v>
      </c>
      <c r="CB3" s="35" t="s">
        <v>351</v>
      </c>
      <c r="CC3" s="35" t="s">
        <v>564</v>
      </c>
      <c r="CD3" s="35" t="s">
        <v>423</v>
      </c>
      <c r="CE3" s="35" t="s">
        <v>563</v>
      </c>
      <c r="CF3" s="35" t="s">
        <v>576</v>
      </c>
      <c r="CG3" s="35" t="s">
        <v>574</v>
      </c>
      <c r="CH3" s="35" t="s">
        <v>571</v>
      </c>
      <c r="CI3" s="35" t="s">
        <v>603</v>
      </c>
      <c r="CJ3" s="35" t="s">
        <v>604</v>
      </c>
      <c r="CK3" s="35" t="s">
        <v>605</v>
      </c>
      <c r="CL3" s="35" t="s">
        <v>606</v>
      </c>
      <c r="CM3" s="35" t="s">
        <v>566</v>
      </c>
      <c r="CN3" s="35" t="s">
        <v>567</v>
      </c>
      <c r="CO3" s="35" t="s">
        <v>565</v>
      </c>
      <c r="CP3" s="35" t="s">
        <v>326</v>
      </c>
      <c r="CQ3" s="35" t="s">
        <v>53</v>
      </c>
      <c r="CR3" s="35" t="s">
        <v>54</v>
      </c>
      <c r="CS3" s="35" t="s">
        <v>55</v>
      </c>
      <c r="CT3" s="35" t="s">
        <v>268</v>
      </c>
      <c r="CU3" s="35" t="s">
        <v>244</v>
      </c>
      <c r="CV3" s="35" t="s">
        <v>425</v>
      </c>
      <c r="CW3" s="35" t="s">
        <v>575</v>
      </c>
      <c r="CX3" s="35" t="s">
        <v>572</v>
      </c>
      <c r="CY3" s="29" t="s">
        <v>155</v>
      </c>
      <c r="CZ3" s="29" t="s">
        <v>157</v>
      </c>
      <c r="DA3" s="30"/>
    </row>
    <row r="4" spans="1:105" ht="63" customHeight="1" x14ac:dyDescent="0.25">
      <c r="A4" s="36">
        <v>1</v>
      </c>
      <c r="B4" s="69" t="s">
        <v>960</v>
      </c>
      <c r="C4" s="46">
        <v>56907</v>
      </c>
      <c r="D4" s="46">
        <v>54364</v>
      </c>
      <c r="E4" s="46">
        <v>3</v>
      </c>
      <c r="F4" s="46">
        <v>28</v>
      </c>
      <c r="G4" s="46">
        <v>-2</v>
      </c>
      <c r="H4" s="46">
        <v>-3</v>
      </c>
      <c r="I4" s="46">
        <v>0.152</v>
      </c>
      <c r="J4" s="46">
        <v>-1787</v>
      </c>
      <c r="K4" s="46">
        <v>203.3698</v>
      </c>
      <c r="L4" s="46">
        <v>15.82</v>
      </c>
      <c r="M4" s="46">
        <v>0</v>
      </c>
      <c r="N4" s="46">
        <v>1</v>
      </c>
      <c r="O4" s="46">
        <v>291.21899999999999</v>
      </c>
      <c r="P4" s="46">
        <v>0</v>
      </c>
      <c r="Q4" s="46">
        <v>211</v>
      </c>
      <c r="R4" s="46">
        <v>1</v>
      </c>
      <c r="S4" s="46">
        <v>245</v>
      </c>
      <c r="T4" s="46">
        <v>602118144</v>
      </c>
      <c r="U4" s="46">
        <v>65</v>
      </c>
      <c r="V4" s="46">
        <v>32</v>
      </c>
      <c r="W4" s="46">
        <v>63.003</v>
      </c>
      <c r="X4" s="46">
        <v>97.870400000000004</v>
      </c>
      <c r="Y4" s="46">
        <v>0.77</v>
      </c>
      <c r="Z4" s="46">
        <v>352.7</v>
      </c>
      <c r="AA4" s="46">
        <v>3</v>
      </c>
      <c r="AB4" s="46">
        <v>28</v>
      </c>
      <c r="AC4" s="46">
        <v>15</v>
      </c>
      <c r="AD4" s="46">
        <v>99</v>
      </c>
      <c r="AE4" s="46">
        <v>0</v>
      </c>
      <c r="AF4" s="46">
        <v>106903552</v>
      </c>
      <c r="AG4" s="37" t="s">
        <v>159</v>
      </c>
      <c r="AH4" s="37" t="s">
        <v>159</v>
      </c>
      <c r="AI4" s="37" t="s">
        <v>159</v>
      </c>
      <c r="AJ4" s="37" t="s">
        <v>159</v>
      </c>
      <c r="AK4" s="37" t="s">
        <v>159</v>
      </c>
      <c r="AL4" s="37" t="s">
        <v>159</v>
      </c>
      <c r="AM4" s="37" t="s">
        <v>159</v>
      </c>
      <c r="AN4" s="37" t="s">
        <v>159</v>
      </c>
      <c r="AO4" s="37" t="s">
        <v>159</v>
      </c>
      <c r="AP4" s="37" t="s">
        <v>159</v>
      </c>
      <c r="AQ4" s="37" t="s">
        <v>159</v>
      </c>
      <c r="AR4" s="37" t="s">
        <v>159</v>
      </c>
      <c r="AS4" s="37" t="s">
        <v>159</v>
      </c>
      <c r="AT4" s="37" t="s">
        <v>159</v>
      </c>
      <c r="AU4" s="37" t="s">
        <v>159</v>
      </c>
      <c r="AV4" s="37" t="s">
        <v>159</v>
      </c>
      <c r="AW4" s="37" t="s">
        <v>159</v>
      </c>
      <c r="AX4" s="37" t="s">
        <v>159</v>
      </c>
      <c r="AY4" s="37" t="s">
        <v>159</v>
      </c>
      <c r="AZ4" s="37" t="s">
        <v>159</v>
      </c>
      <c r="BA4" s="37" t="s">
        <v>159</v>
      </c>
      <c r="BB4" s="37" t="s">
        <v>159</v>
      </c>
      <c r="BC4" s="37" t="s">
        <v>159</v>
      </c>
      <c r="BD4" s="37" t="s">
        <v>159</v>
      </c>
      <c r="BE4" s="37" t="s">
        <v>159</v>
      </c>
      <c r="BF4" s="37" t="s">
        <v>159</v>
      </c>
      <c r="BG4" s="37" t="s">
        <v>159</v>
      </c>
      <c r="BH4" s="37" t="s">
        <v>159</v>
      </c>
      <c r="BI4" s="37" t="s">
        <v>159</v>
      </c>
      <c r="BJ4" s="37" t="s">
        <v>159</v>
      </c>
      <c r="BK4" s="37" t="s">
        <v>159</v>
      </c>
      <c r="BL4" s="37" t="s">
        <v>159</v>
      </c>
      <c r="BM4" s="37" t="s">
        <v>159</v>
      </c>
      <c r="BN4" s="37" t="s">
        <v>159</v>
      </c>
      <c r="BO4" s="37" t="s">
        <v>159</v>
      </c>
      <c r="BP4" s="46">
        <v>28</v>
      </c>
      <c r="BQ4" s="46">
        <v>15.82</v>
      </c>
      <c r="BR4" s="46">
        <v>-2</v>
      </c>
      <c r="BS4" s="46">
        <v>-3</v>
      </c>
      <c r="BT4" s="46">
        <v>32</v>
      </c>
      <c r="BU4" s="46">
        <v>46</v>
      </c>
      <c r="BV4" s="46">
        <v>31</v>
      </c>
      <c r="BW4" s="46">
        <v>291.21899999999999</v>
      </c>
      <c r="BX4" s="46">
        <v>-1787</v>
      </c>
      <c r="BY4" s="46">
        <v>63.003</v>
      </c>
      <c r="BZ4" s="46">
        <v>97.870400000000004</v>
      </c>
      <c r="CA4" s="46">
        <v>0</v>
      </c>
      <c r="CB4" s="46">
        <v>1</v>
      </c>
      <c r="CC4" s="46">
        <v>1</v>
      </c>
      <c r="CD4" s="46">
        <v>99</v>
      </c>
      <c r="CE4" s="46">
        <v>1</v>
      </c>
      <c r="CF4" s="46">
        <v>0</v>
      </c>
      <c r="CG4" s="46">
        <v>602118144</v>
      </c>
      <c r="CH4" s="46">
        <v>65</v>
      </c>
      <c r="CI4" s="46">
        <v>9608</v>
      </c>
      <c r="CJ4" s="46">
        <v>32758</v>
      </c>
      <c r="CK4" s="46">
        <v>3</v>
      </c>
      <c r="CL4" s="46">
        <v>28</v>
      </c>
      <c r="CM4" s="46">
        <v>1</v>
      </c>
      <c r="CN4" s="46">
        <v>1</v>
      </c>
      <c r="CO4" s="46">
        <v>1</v>
      </c>
      <c r="CP4" s="46">
        <v>352.7</v>
      </c>
      <c r="CQ4" s="46">
        <v>0</v>
      </c>
      <c r="CR4" s="46">
        <v>0</v>
      </c>
      <c r="CS4" s="46">
        <v>0</v>
      </c>
      <c r="CT4" s="46">
        <v>0</v>
      </c>
      <c r="CU4" s="46">
        <v>0</v>
      </c>
      <c r="CV4" s="46">
        <v>1</v>
      </c>
      <c r="CW4" s="46">
        <v>1</v>
      </c>
      <c r="CX4" s="46">
        <v>0</v>
      </c>
      <c r="CY4" s="50" t="s">
        <v>159</v>
      </c>
      <c r="CZ4" s="37">
        <v>3624</v>
      </c>
      <c r="DA4" s="38"/>
    </row>
    <row r="5" spans="1:105" ht="225.75" thickBot="1" x14ac:dyDescent="0.3">
      <c r="A5" s="39">
        <v>2</v>
      </c>
      <c r="B5" s="68" t="s">
        <v>961</v>
      </c>
      <c r="C5" s="47">
        <v>94</v>
      </c>
      <c r="D5" s="47">
        <v>94</v>
      </c>
      <c r="E5" s="47">
        <v>1</v>
      </c>
      <c r="F5" s="47">
        <v>0</v>
      </c>
      <c r="G5" s="47">
        <v>2</v>
      </c>
      <c r="H5" s="47">
        <v>7</v>
      </c>
      <c r="I5" s="47">
        <v>0.104</v>
      </c>
      <c r="J5" s="47">
        <v>-1155</v>
      </c>
      <c r="K5" s="47">
        <v>130.99420000000001</v>
      </c>
      <c r="L5" s="47">
        <v>66.436999999999998</v>
      </c>
      <c r="M5" s="47">
        <v>1</v>
      </c>
      <c r="N5" s="47">
        <v>1</v>
      </c>
      <c r="O5" s="47">
        <v>360</v>
      </c>
      <c r="P5" s="47">
        <v>0</v>
      </c>
      <c r="Q5" s="47">
        <v>67</v>
      </c>
      <c r="R5" s="47">
        <v>0</v>
      </c>
      <c r="S5" s="47">
        <v>5</v>
      </c>
      <c r="T5" s="47">
        <v>722181632</v>
      </c>
      <c r="U5" s="47">
        <v>0</v>
      </c>
      <c r="V5" s="47">
        <v>236</v>
      </c>
      <c r="W5" s="47">
        <v>185.2688</v>
      </c>
      <c r="X5" s="47">
        <v>252.07060000000001</v>
      </c>
      <c r="Y5" s="47">
        <v>0.28999999999999998</v>
      </c>
      <c r="Z5" s="47">
        <v>-2578.6</v>
      </c>
      <c r="AA5" s="47">
        <v>3</v>
      </c>
      <c r="AB5" s="47">
        <v>31</v>
      </c>
      <c r="AC5" s="47">
        <v>0</v>
      </c>
      <c r="AD5" s="47">
        <v>157</v>
      </c>
      <c r="AE5" s="47">
        <v>10622</v>
      </c>
      <c r="AF5" s="47">
        <v>4064951808</v>
      </c>
      <c r="AG5" s="40" t="s">
        <v>159</v>
      </c>
      <c r="AH5" s="40" t="s">
        <v>159</v>
      </c>
      <c r="AI5" s="40" t="s">
        <v>159</v>
      </c>
      <c r="AJ5" s="40" t="s">
        <v>159</v>
      </c>
      <c r="AK5" s="40" t="s">
        <v>159</v>
      </c>
      <c r="AL5" s="40" t="s">
        <v>159</v>
      </c>
      <c r="AM5" s="40" t="s">
        <v>159</v>
      </c>
      <c r="AN5" s="40" t="s">
        <v>159</v>
      </c>
      <c r="AO5" s="40" t="s">
        <v>159</v>
      </c>
      <c r="AP5" s="40" t="s">
        <v>159</v>
      </c>
      <c r="AQ5" s="40" t="s">
        <v>159</v>
      </c>
      <c r="AR5" s="40" t="s">
        <v>159</v>
      </c>
      <c r="AS5" s="40" t="s">
        <v>159</v>
      </c>
      <c r="AT5" s="40" t="s">
        <v>159</v>
      </c>
      <c r="AU5" s="40" t="s">
        <v>159</v>
      </c>
      <c r="AV5" s="40" t="s">
        <v>159</v>
      </c>
      <c r="AW5" s="40" t="s">
        <v>159</v>
      </c>
      <c r="AX5" s="40" t="s">
        <v>159</v>
      </c>
      <c r="AY5" s="40" t="s">
        <v>159</v>
      </c>
      <c r="AZ5" s="40" t="s">
        <v>159</v>
      </c>
      <c r="BA5" s="40" t="s">
        <v>159</v>
      </c>
      <c r="BB5" s="40" t="s">
        <v>159</v>
      </c>
      <c r="BC5" s="40" t="s">
        <v>159</v>
      </c>
      <c r="BD5" s="40" t="s">
        <v>159</v>
      </c>
      <c r="BE5" s="40" t="s">
        <v>159</v>
      </c>
      <c r="BF5" s="40" t="s">
        <v>159</v>
      </c>
      <c r="BG5" s="40" t="s">
        <v>159</v>
      </c>
      <c r="BH5" s="40" t="s">
        <v>159</v>
      </c>
      <c r="BI5" s="40" t="s">
        <v>159</v>
      </c>
      <c r="BJ5" s="40" t="s">
        <v>159</v>
      </c>
      <c r="BK5" s="40" t="s">
        <v>159</v>
      </c>
      <c r="BL5" s="40" t="s">
        <v>159</v>
      </c>
      <c r="BM5" s="40" t="s">
        <v>159</v>
      </c>
      <c r="BN5" s="40" t="s">
        <v>159</v>
      </c>
      <c r="BO5" s="40" t="s">
        <v>159</v>
      </c>
      <c r="BP5" s="47">
        <v>0</v>
      </c>
      <c r="BQ5" s="47">
        <v>8.26171875</v>
      </c>
      <c r="BR5" s="47">
        <v>3</v>
      </c>
      <c r="BS5" s="47">
        <v>7</v>
      </c>
      <c r="BT5" s="47">
        <v>109</v>
      </c>
      <c r="BU5" s="47">
        <v>0</v>
      </c>
      <c r="BV5" s="47">
        <v>0</v>
      </c>
      <c r="BW5" s="47">
        <v>8.26171875</v>
      </c>
      <c r="BX5" s="47">
        <v>-921.70078124999998</v>
      </c>
      <c r="BY5" s="47">
        <v>158.29921874999999</v>
      </c>
      <c r="BZ5" s="47">
        <v>342.38989843749999</v>
      </c>
      <c r="CA5" s="47">
        <v>1</v>
      </c>
      <c r="CB5" s="47">
        <v>1</v>
      </c>
      <c r="CC5" s="47">
        <v>1</v>
      </c>
      <c r="CD5" s="47">
        <v>157</v>
      </c>
      <c r="CE5" s="47">
        <v>0</v>
      </c>
      <c r="CF5" s="47">
        <v>5</v>
      </c>
      <c r="CG5" s="47">
        <v>722181632</v>
      </c>
      <c r="CH5" s="47">
        <v>1</v>
      </c>
      <c r="CI5" s="47">
        <v>94</v>
      </c>
      <c r="CJ5" s="47">
        <v>94</v>
      </c>
      <c r="CK5" s="47">
        <v>1</v>
      </c>
      <c r="CL5" s="47">
        <v>0</v>
      </c>
      <c r="CM5" s="47">
        <v>0</v>
      </c>
      <c r="CN5" s="47">
        <v>0</v>
      </c>
      <c r="CO5" s="47">
        <v>1</v>
      </c>
      <c r="CP5" s="47">
        <v>-1097.6101015624999</v>
      </c>
      <c r="CQ5" s="47">
        <v>1</v>
      </c>
      <c r="CR5" s="47">
        <v>1</v>
      </c>
      <c r="CS5" s="47">
        <v>1</v>
      </c>
      <c r="CT5" s="47">
        <v>1</v>
      </c>
      <c r="CU5" s="47">
        <v>1</v>
      </c>
      <c r="CV5" s="47">
        <v>1</v>
      </c>
      <c r="CW5" s="47">
        <v>0</v>
      </c>
      <c r="CX5" s="47">
        <v>0</v>
      </c>
      <c r="CY5" s="51" t="s">
        <v>159</v>
      </c>
      <c r="CZ5" s="40">
        <v>4767</v>
      </c>
      <c r="DA5" s="41"/>
    </row>
    <row r="6" spans="1:105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</row>
    <row r="7" spans="1:105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</row>
    <row r="8" spans="1:10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</row>
    <row r="9" spans="1:10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</row>
    <row r="10" spans="1:10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</row>
    <row r="11" spans="1:10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</row>
    <row r="12" spans="1:10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</row>
    <row r="13" spans="1:10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</row>
    <row r="14" spans="1:10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</row>
    <row r="15" spans="1:10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</row>
  </sheetData>
  <mergeCells count="2">
    <mergeCell ref="A1:B1"/>
    <mergeCell ref="A2:B2"/>
  </mergeCells>
  <hyperlinks>
    <hyperlink ref="A1" location="'DigColPs_Per1'!A1" display="'DigColPs_Per1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DA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6" customWidth="1"/>
    <col min="3" max="4" width="6" bestFit="1" customWidth="1"/>
    <col min="5" max="7" width="3.28515625" bestFit="1" customWidth="1"/>
    <col min="8" max="8" width="3.7109375" bestFit="1" customWidth="1"/>
    <col min="9" max="9" width="6" bestFit="1" customWidth="1"/>
    <col min="10" max="10" width="5.7109375" bestFit="1" customWidth="1"/>
    <col min="11" max="12" width="9" bestFit="1" customWidth="1"/>
    <col min="13" max="14" width="3.28515625" bestFit="1" customWidth="1"/>
    <col min="15" max="15" width="9" bestFit="1" customWidth="1"/>
    <col min="16" max="16" width="3.28515625" bestFit="1" customWidth="1"/>
    <col min="17" max="17" width="4" bestFit="1" customWidth="1"/>
    <col min="18" max="18" width="3.28515625" bestFit="1" customWidth="1"/>
    <col min="19" max="19" width="6" bestFit="1" customWidth="1"/>
    <col min="20" max="20" width="11" bestFit="1" customWidth="1"/>
    <col min="21" max="22" width="4" bestFit="1" customWidth="1"/>
    <col min="23" max="24" width="9" bestFit="1" customWidth="1"/>
    <col min="25" max="25" width="5" bestFit="1" customWidth="1"/>
    <col min="26" max="26" width="7.7109375" bestFit="1" customWidth="1"/>
    <col min="27" max="28" width="3.28515625" customWidth="1"/>
    <col min="29" max="31" width="7.28515625" bestFit="1" customWidth="1"/>
    <col min="32" max="32" width="11" bestFit="1" customWidth="1"/>
    <col min="33" max="58" width="4.140625" bestFit="1" customWidth="1"/>
    <col min="59" max="59" width="4.140625" customWidth="1"/>
    <col min="60" max="68" width="7.28515625" bestFit="1" customWidth="1"/>
    <col min="69" max="69" width="12" bestFit="1" customWidth="1"/>
    <col min="70" max="74" width="7.28515625" bestFit="1" customWidth="1"/>
    <col min="75" max="75" width="12" bestFit="1" customWidth="1"/>
    <col min="76" max="76" width="12.7109375" bestFit="1" customWidth="1"/>
    <col min="77" max="78" width="12" bestFit="1" customWidth="1"/>
    <col min="79" max="84" width="7.28515625" bestFit="1" customWidth="1"/>
    <col min="85" max="85" width="11" bestFit="1" customWidth="1"/>
    <col min="86" max="93" width="7.28515625" bestFit="1" customWidth="1"/>
    <col min="94" max="94" width="12.7109375" bestFit="1" customWidth="1"/>
    <col min="95" max="102" width="7.28515625" bestFit="1" customWidth="1"/>
    <col min="103" max="103" width="10.5703125" bestFit="1" customWidth="1"/>
    <col min="104" max="104" width="12.42578125" bestFit="1" customWidth="1"/>
    <col min="105" max="105" width="10.5703125" bestFit="1" customWidth="1"/>
  </cols>
  <sheetData>
    <row r="1" spans="1:105" x14ac:dyDescent="0.25">
      <c r="A1" s="279" t="s">
        <v>242</v>
      </c>
      <c r="B1" s="280"/>
      <c r="C1" s="45" t="s">
        <v>160</v>
      </c>
      <c r="D1" s="58" t="s">
        <v>159</v>
      </c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  <c r="AG1" s="228"/>
      <c r="AH1" s="228"/>
      <c r="AI1" s="228"/>
      <c r="AJ1" s="228"/>
      <c r="AK1" s="228"/>
      <c r="AL1" s="228"/>
      <c r="AM1" s="228"/>
      <c r="AN1" s="228"/>
      <c r="AO1" s="228"/>
      <c r="AP1" s="228"/>
      <c r="AQ1" s="228"/>
      <c r="AR1" s="228"/>
      <c r="AS1" s="228"/>
      <c r="AT1" s="228"/>
      <c r="AU1" s="228"/>
      <c r="AV1" s="228"/>
      <c r="AW1" s="228"/>
      <c r="AX1" s="228"/>
      <c r="AY1" s="228"/>
      <c r="AZ1" s="228"/>
      <c r="BA1" s="228"/>
      <c r="BB1" s="228"/>
      <c r="BC1" s="228"/>
      <c r="BD1" s="228"/>
      <c r="BE1" s="228"/>
      <c r="BF1" s="228"/>
      <c r="BG1" s="228"/>
      <c r="BH1" s="228"/>
      <c r="BI1" s="228"/>
      <c r="BJ1" s="228"/>
      <c r="BK1" s="228"/>
      <c r="BL1" s="228"/>
      <c r="BM1" s="228"/>
      <c r="BN1" s="228"/>
      <c r="BO1" s="228"/>
      <c r="BP1" s="228"/>
      <c r="BQ1" s="228"/>
      <c r="BR1" s="228"/>
      <c r="BS1" s="228"/>
      <c r="BT1" s="228"/>
      <c r="BU1" s="228"/>
      <c r="BV1" s="228"/>
      <c r="BW1" s="228"/>
      <c r="BX1" s="228"/>
      <c r="BY1" s="228"/>
      <c r="BZ1" s="228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43"/>
      <c r="CZ1" s="43"/>
      <c r="DA1" s="44"/>
    </row>
    <row r="2" spans="1:105" ht="60" customHeight="1" x14ac:dyDescent="0.25">
      <c r="A2" s="281" t="s">
        <v>193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48" t="s">
        <v>150</v>
      </c>
      <c r="O2" s="48" t="s">
        <v>150</v>
      </c>
      <c r="P2" s="48" t="s">
        <v>150</v>
      </c>
      <c r="Q2" s="48" t="s">
        <v>150</v>
      </c>
      <c r="R2" s="48" t="s">
        <v>150</v>
      </c>
      <c r="S2" s="48" t="s">
        <v>150</v>
      </c>
      <c r="T2" s="48" t="s">
        <v>150</v>
      </c>
      <c r="U2" s="48" t="s">
        <v>150</v>
      </c>
      <c r="V2" s="48" t="s">
        <v>150</v>
      </c>
      <c r="W2" s="48" t="s">
        <v>150</v>
      </c>
      <c r="X2" s="48" t="s">
        <v>150</v>
      </c>
      <c r="Y2" s="48" t="s">
        <v>150</v>
      </c>
      <c r="Z2" s="48" t="s">
        <v>150</v>
      </c>
      <c r="AA2" s="48" t="s">
        <v>150</v>
      </c>
      <c r="AB2" s="48" t="s">
        <v>150</v>
      </c>
      <c r="AC2" s="64" t="s">
        <v>239</v>
      </c>
      <c r="AD2" s="64" t="s">
        <v>239</v>
      </c>
      <c r="AE2" s="64" t="s">
        <v>239</v>
      </c>
      <c r="AF2" s="64" t="s">
        <v>239</v>
      </c>
      <c r="AG2" s="60" t="s">
        <v>151</v>
      </c>
      <c r="AH2" s="27" t="s">
        <v>151</v>
      </c>
      <c r="AI2" s="27" t="s">
        <v>151</v>
      </c>
      <c r="AJ2" s="27" t="s">
        <v>151</v>
      </c>
      <c r="AK2" s="27" t="s">
        <v>151</v>
      </c>
      <c r="AL2" s="27" t="s">
        <v>151</v>
      </c>
      <c r="AM2" s="27" t="s">
        <v>151</v>
      </c>
      <c r="AN2" s="27" t="s">
        <v>151</v>
      </c>
      <c r="AO2" s="27" t="s">
        <v>151</v>
      </c>
      <c r="AP2" s="27" t="s">
        <v>151</v>
      </c>
      <c r="AQ2" s="27" t="s">
        <v>151</v>
      </c>
      <c r="AR2" s="27" t="s">
        <v>151</v>
      </c>
      <c r="AS2" s="27" t="s">
        <v>151</v>
      </c>
      <c r="AT2" s="27" t="s">
        <v>151</v>
      </c>
      <c r="AU2" s="27" t="s">
        <v>151</v>
      </c>
      <c r="AV2" s="27" t="s">
        <v>151</v>
      </c>
      <c r="AW2" s="27" t="s">
        <v>151</v>
      </c>
      <c r="AX2" s="27" t="s">
        <v>151</v>
      </c>
      <c r="AY2" s="27" t="s">
        <v>151</v>
      </c>
      <c r="AZ2" s="27" t="s">
        <v>151</v>
      </c>
      <c r="BA2" s="27" t="s">
        <v>151</v>
      </c>
      <c r="BB2" s="27" t="s">
        <v>151</v>
      </c>
      <c r="BC2" s="27" t="s">
        <v>151</v>
      </c>
      <c r="BD2" s="27" t="s">
        <v>151</v>
      </c>
      <c r="BE2" s="27" t="s">
        <v>151</v>
      </c>
      <c r="BF2" s="27" t="s">
        <v>151</v>
      </c>
      <c r="BG2" s="27" t="s">
        <v>151</v>
      </c>
      <c r="BH2" s="27" t="s">
        <v>152</v>
      </c>
      <c r="BI2" s="27" t="s">
        <v>152</v>
      </c>
      <c r="BJ2" s="27" t="s">
        <v>152</v>
      </c>
      <c r="BK2" s="27" t="s">
        <v>152</v>
      </c>
      <c r="BL2" s="27" t="s">
        <v>152</v>
      </c>
      <c r="BM2" s="27" t="s">
        <v>152</v>
      </c>
      <c r="BN2" s="27" t="s">
        <v>152</v>
      </c>
      <c r="BO2" s="27" t="s">
        <v>152</v>
      </c>
      <c r="BP2" s="28" t="s">
        <v>153</v>
      </c>
      <c r="BQ2" s="28" t="s">
        <v>153</v>
      </c>
      <c r="BR2" s="28" t="s">
        <v>153</v>
      </c>
      <c r="BS2" s="28" t="s">
        <v>153</v>
      </c>
      <c r="BT2" s="28" t="s">
        <v>153</v>
      </c>
      <c r="BU2" s="28" t="s">
        <v>153</v>
      </c>
      <c r="BV2" s="28" t="s">
        <v>153</v>
      </c>
      <c r="BW2" s="28" t="s">
        <v>153</v>
      </c>
      <c r="BX2" s="28" t="s">
        <v>153</v>
      </c>
      <c r="BY2" s="28" t="s">
        <v>153</v>
      </c>
      <c r="BZ2" s="28" t="s">
        <v>153</v>
      </c>
      <c r="CA2" s="28" t="s">
        <v>153</v>
      </c>
      <c r="CB2" s="28" t="s">
        <v>153</v>
      </c>
      <c r="CC2" s="28" t="s">
        <v>153</v>
      </c>
      <c r="CD2" s="28" t="s">
        <v>153</v>
      </c>
      <c r="CE2" s="28" t="s">
        <v>153</v>
      </c>
      <c r="CF2" s="28" t="s">
        <v>153</v>
      </c>
      <c r="CG2" s="28" t="s">
        <v>153</v>
      </c>
      <c r="CH2" s="28" t="s">
        <v>153</v>
      </c>
      <c r="CI2" s="28" t="s">
        <v>153</v>
      </c>
      <c r="CJ2" s="28" t="s">
        <v>153</v>
      </c>
      <c r="CK2" s="28" t="s">
        <v>153</v>
      </c>
      <c r="CL2" s="28" t="s">
        <v>153</v>
      </c>
      <c r="CM2" s="28" t="s">
        <v>153</v>
      </c>
      <c r="CN2" s="28" t="s">
        <v>153</v>
      </c>
      <c r="CO2" s="28" t="s">
        <v>153</v>
      </c>
      <c r="CP2" s="28" t="s">
        <v>153</v>
      </c>
      <c r="CQ2" s="28" t="s">
        <v>154</v>
      </c>
      <c r="CR2" s="28" t="s">
        <v>154</v>
      </c>
      <c r="CS2" s="28" t="s">
        <v>154</v>
      </c>
      <c r="CT2" s="28" t="s">
        <v>154</v>
      </c>
      <c r="CU2" s="28" t="s">
        <v>154</v>
      </c>
      <c r="CV2" s="28" t="s">
        <v>154</v>
      </c>
      <c r="CW2" s="28" t="s">
        <v>154</v>
      </c>
      <c r="CX2" s="28" t="s">
        <v>154</v>
      </c>
      <c r="CY2" s="29" t="s">
        <v>21</v>
      </c>
      <c r="CZ2" s="29" t="s">
        <v>156</v>
      </c>
      <c r="DA2" s="30" t="s">
        <v>158</v>
      </c>
    </row>
    <row r="3" spans="1:105" ht="192.75" x14ac:dyDescent="0.25">
      <c r="A3" s="31" t="s">
        <v>148</v>
      </c>
      <c r="B3" s="32" t="s">
        <v>149</v>
      </c>
      <c r="C3" s="33" t="s">
        <v>245</v>
      </c>
      <c r="D3" s="33" t="s">
        <v>246</v>
      </c>
      <c r="E3" s="33" t="s">
        <v>247</v>
      </c>
      <c r="F3" s="33" t="s">
        <v>243</v>
      </c>
      <c r="G3" s="33" t="s">
        <v>383</v>
      </c>
      <c r="H3" s="33" t="s">
        <v>385</v>
      </c>
      <c r="I3" s="33" t="s">
        <v>296</v>
      </c>
      <c r="J3" s="33" t="s">
        <v>325</v>
      </c>
      <c r="K3" s="33" t="s">
        <v>95</v>
      </c>
      <c r="L3" s="33" t="s">
        <v>253</v>
      </c>
      <c r="M3" s="33" t="s">
        <v>350</v>
      </c>
      <c r="N3" s="33" t="s">
        <v>351</v>
      </c>
      <c r="O3" s="33" t="s">
        <v>252</v>
      </c>
      <c r="P3" s="33" t="s">
        <v>564</v>
      </c>
      <c r="Q3" s="33" t="s">
        <v>423</v>
      </c>
      <c r="R3" s="33" t="s">
        <v>563</v>
      </c>
      <c r="S3" s="33" t="s">
        <v>576</v>
      </c>
      <c r="T3" s="33" t="s">
        <v>574</v>
      </c>
      <c r="U3" s="33" t="s">
        <v>571</v>
      </c>
      <c r="V3" s="33" t="s">
        <v>570</v>
      </c>
      <c r="W3" s="33" t="s">
        <v>285</v>
      </c>
      <c r="X3" s="33" t="s">
        <v>286</v>
      </c>
      <c r="Y3" s="33" t="s">
        <v>297</v>
      </c>
      <c r="Z3" s="33" t="s">
        <v>326</v>
      </c>
      <c r="AA3" s="33" t="s">
        <v>605</v>
      </c>
      <c r="AB3" s="33" t="s">
        <v>606</v>
      </c>
      <c r="AC3" s="33" t="s">
        <v>244</v>
      </c>
      <c r="AD3" s="33" t="s">
        <v>425</v>
      </c>
      <c r="AE3" s="33" t="s">
        <v>575</v>
      </c>
      <c r="AF3" s="33" t="s">
        <v>572</v>
      </c>
      <c r="AG3" s="34" t="s">
        <v>243</v>
      </c>
      <c r="AH3" s="34" t="s">
        <v>253</v>
      </c>
      <c r="AI3" s="34" t="s">
        <v>383</v>
      </c>
      <c r="AJ3" s="34" t="s">
        <v>385</v>
      </c>
      <c r="AK3" s="34" t="s">
        <v>123</v>
      </c>
      <c r="AL3" s="34" t="s">
        <v>124</v>
      </c>
      <c r="AM3" s="34" t="s">
        <v>125</v>
      </c>
      <c r="AN3" s="34" t="s">
        <v>252</v>
      </c>
      <c r="AO3" s="34" t="s">
        <v>325</v>
      </c>
      <c r="AP3" s="34" t="s">
        <v>285</v>
      </c>
      <c r="AQ3" s="34" t="s">
        <v>286</v>
      </c>
      <c r="AR3" s="34" t="s">
        <v>350</v>
      </c>
      <c r="AS3" s="34" t="s">
        <v>351</v>
      </c>
      <c r="AT3" s="34" t="s">
        <v>564</v>
      </c>
      <c r="AU3" s="34" t="s">
        <v>423</v>
      </c>
      <c r="AV3" s="34" t="s">
        <v>563</v>
      </c>
      <c r="AW3" s="34" t="s">
        <v>576</v>
      </c>
      <c r="AX3" s="34" t="s">
        <v>574</v>
      </c>
      <c r="AY3" s="34" t="s">
        <v>571</v>
      </c>
      <c r="AZ3" s="34" t="s">
        <v>603</v>
      </c>
      <c r="BA3" s="34" t="s">
        <v>604</v>
      </c>
      <c r="BB3" s="34" t="s">
        <v>605</v>
      </c>
      <c r="BC3" s="34" t="s">
        <v>606</v>
      </c>
      <c r="BD3" s="34" t="s">
        <v>566</v>
      </c>
      <c r="BE3" s="34" t="s">
        <v>567</v>
      </c>
      <c r="BF3" s="34" t="s">
        <v>565</v>
      </c>
      <c r="BG3" s="34" t="s">
        <v>326</v>
      </c>
      <c r="BH3" s="34" t="s">
        <v>53</v>
      </c>
      <c r="BI3" s="34" t="s">
        <v>54</v>
      </c>
      <c r="BJ3" s="34" t="s">
        <v>55</v>
      </c>
      <c r="BK3" s="34" t="s">
        <v>268</v>
      </c>
      <c r="BL3" s="34" t="s">
        <v>244</v>
      </c>
      <c r="BM3" s="34" t="s">
        <v>425</v>
      </c>
      <c r="BN3" s="34" t="s">
        <v>575</v>
      </c>
      <c r="BO3" s="34" t="s">
        <v>572</v>
      </c>
      <c r="BP3" s="35" t="s">
        <v>243</v>
      </c>
      <c r="BQ3" s="35" t="s">
        <v>253</v>
      </c>
      <c r="BR3" s="35" t="s">
        <v>383</v>
      </c>
      <c r="BS3" s="35" t="s">
        <v>385</v>
      </c>
      <c r="BT3" s="35" t="s">
        <v>123</v>
      </c>
      <c r="BU3" s="35" t="s">
        <v>124</v>
      </c>
      <c r="BV3" s="35" t="s">
        <v>125</v>
      </c>
      <c r="BW3" s="35" t="s">
        <v>252</v>
      </c>
      <c r="BX3" s="35" t="s">
        <v>325</v>
      </c>
      <c r="BY3" s="35" t="s">
        <v>285</v>
      </c>
      <c r="BZ3" s="35" t="s">
        <v>286</v>
      </c>
      <c r="CA3" s="35" t="s">
        <v>350</v>
      </c>
      <c r="CB3" s="35" t="s">
        <v>351</v>
      </c>
      <c r="CC3" s="35" t="s">
        <v>564</v>
      </c>
      <c r="CD3" s="35" t="s">
        <v>423</v>
      </c>
      <c r="CE3" s="35" t="s">
        <v>563</v>
      </c>
      <c r="CF3" s="35" t="s">
        <v>576</v>
      </c>
      <c r="CG3" s="35" t="s">
        <v>574</v>
      </c>
      <c r="CH3" s="35" t="s">
        <v>571</v>
      </c>
      <c r="CI3" s="35" t="s">
        <v>603</v>
      </c>
      <c r="CJ3" s="35" t="s">
        <v>604</v>
      </c>
      <c r="CK3" s="35" t="s">
        <v>605</v>
      </c>
      <c r="CL3" s="35" t="s">
        <v>606</v>
      </c>
      <c r="CM3" s="35" t="s">
        <v>566</v>
      </c>
      <c r="CN3" s="35" t="s">
        <v>567</v>
      </c>
      <c r="CO3" s="35" t="s">
        <v>565</v>
      </c>
      <c r="CP3" s="35" t="s">
        <v>326</v>
      </c>
      <c r="CQ3" s="35" t="s">
        <v>53</v>
      </c>
      <c r="CR3" s="35" t="s">
        <v>54</v>
      </c>
      <c r="CS3" s="35" t="s">
        <v>55</v>
      </c>
      <c r="CT3" s="35" t="s">
        <v>268</v>
      </c>
      <c r="CU3" s="35" t="s">
        <v>244</v>
      </c>
      <c r="CV3" s="35" t="s">
        <v>425</v>
      </c>
      <c r="CW3" s="35" t="s">
        <v>575</v>
      </c>
      <c r="CX3" s="35" t="s">
        <v>572</v>
      </c>
      <c r="CY3" s="29" t="s">
        <v>155</v>
      </c>
      <c r="CZ3" s="29" t="s">
        <v>157</v>
      </c>
      <c r="DA3" s="30"/>
    </row>
    <row r="4" spans="1:105" ht="150" x14ac:dyDescent="0.25">
      <c r="A4" s="36">
        <v>1</v>
      </c>
      <c r="B4" s="69" t="s">
        <v>957</v>
      </c>
      <c r="C4" s="63">
        <v>0</v>
      </c>
      <c r="D4" s="63">
        <v>0</v>
      </c>
      <c r="E4" s="63">
        <v>0</v>
      </c>
      <c r="F4" s="63">
        <v>0</v>
      </c>
      <c r="G4" s="63">
        <v>-5</v>
      </c>
      <c r="H4" s="63">
        <v>-11</v>
      </c>
      <c r="I4" s="63">
        <v>0</v>
      </c>
      <c r="J4" s="63">
        <v>-1800</v>
      </c>
      <c r="K4" s="63">
        <v>20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  <c r="Q4" s="63">
        <v>0</v>
      </c>
      <c r="R4" s="63">
        <v>0</v>
      </c>
      <c r="S4" s="63">
        <v>0</v>
      </c>
      <c r="T4" s="63">
        <v>0</v>
      </c>
      <c r="U4" s="63">
        <v>0</v>
      </c>
      <c r="V4" s="63">
        <v>0</v>
      </c>
      <c r="W4" s="63">
        <v>0</v>
      </c>
      <c r="X4" s="63">
        <v>0</v>
      </c>
      <c r="Y4" s="63">
        <v>0</v>
      </c>
      <c r="Z4" s="63">
        <v>-3960</v>
      </c>
      <c r="AA4" s="63">
        <v>0</v>
      </c>
      <c r="AB4" s="63">
        <v>0</v>
      </c>
      <c r="AC4" s="63">
        <v>0</v>
      </c>
      <c r="AD4" s="63">
        <v>0</v>
      </c>
      <c r="AE4" s="63">
        <v>0</v>
      </c>
      <c r="AF4" s="63">
        <v>0</v>
      </c>
      <c r="AG4" s="37" t="s">
        <v>159</v>
      </c>
      <c r="AH4" s="37" t="s">
        <v>159</v>
      </c>
      <c r="AI4" s="37" t="s">
        <v>159</v>
      </c>
      <c r="AJ4" s="37" t="s">
        <v>159</v>
      </c>
      <c r="AK4" s="37" t="s">
        <v>159</v>
      </c>
      <c r="AL4" s="37" t="s">
        <v>159</v>
      </c>
      <c r="AM4" s="37" t="s">
        <v>159</v>
      </c>
      <c r="AN4" s="37" t="s">
        <v>159</v>
      </c>
      <c r="AO4" s="37" t="s">
        <v>159</v>
      </c>
      <c r="AP4" s="37" t="s">
        <v>159</v>
      </c>
      <c r="AQ4" s="37" t="s">
        <v>159</v>
      </c>
      <c r="AR4" s="37" t="s">
        <v>159</v>
      </c>
      <c r="AS4" s="37" t="s">
        <v>159</v>
      </c>
      <c r="AT4" s="37" t="s">
        <v>159</v>
      </c>
      <c r="AU4" s="37" t="s">
        <v>159</v>
      </c>
      <c r="AV4" s="37" t="s">
        <v>159</v>
      </c>
      <c r="AW4" s="37" t="s">
        <v>159</v>
      </c>
      <c r="AX4" s="37" t="s">
        <v>159</v>
      </c>
      <c r="AY4" s="37" t="s">
        <v>159</v>
      </c>
      <c r="AZ4" s="37" t="s">
        <v>159</v>
      </c>
      <c r="BA4" s="37" t="s">
        <v>159</v>
      </c>
      <c r="BB4" s="37" t="s">
        <v>159</v>
      </c>
      <c r="BC4" s="37" t="s">
        <v>159</v>
      </c>
      <c r="BD4" s="37" t="s">
        <v>159</v>
      </c>
      <c r="BE4" s="37" t="s">
        <v>159</v>
      </c>
      <c r="BF4" s="37" t="s">
        <v>159</v>
      </c>
      <c r="BG4" s="37" t="s">
        <v>159</v>
      </c>
      <c r="BH4" s="37" t="s">
        <v>159</v>
      </c>
      <c r="BI4" s="37" t="s">
        <v>159</v>
      </c>
      <c r="BJ4" s="37" t="s">
        <v>159</v>
      </c>
      <c r="BK4" s="37" t="s">
        <v>159</v>
      </c>
      <c r="BL4" s="37" t="s">
        <v>159</v>
      </c>
      <c r="BM4" s="37" t="s">
        <v>159</v>
      </c>
      <c r="BN4" s="37" t="s">
        <v>159</v>
      </c>
      <c r="BO4" s="37" t="s">
        <v>159</v>
      </c>
      <c r="BP4" s="46">
        <v>0</v>
      </c>
      <c r="BQ4" s="46">
        <v>0</v>
      </c>
      <c r="BR4" s="46">
        <v>-5</v>
      </c>
      <c r="BS4" s="46">
        <v>-11</v>
      </c>
      <c r="BT4" s="46">
        <v>109</v>
      </c>
      <c r="BU4" s="46">
        <v>0</v>
      </c>
      <c r="BV4" s="46">
        <v>0</v>
      </c>
      <c r="BW4" s="46">
        <v>0</v>
      </c>
      <c r="BX4" s="46">
        <v>-1800</v>
      </c>
      <c r="BY4" s="46">
        <v>0</v>
      </c>
      <c r="BZ4" s="46">
        <v>0</v>
      </c>
      <c r="CA4" s="46">
        <v>0</v>
      </c>
      <c r="CB4" s="46">
        <v>0</v>
      </c>
      <c r="CC4" s="46">
        <v>1</v>
      </c>
      <c r="CD4" s="46">
        <v>0</v>
      </c>
      <c r="CE4" s="46">
        <v>0</v>
      </c>
      <c r="CF4" s="46">
        <v>0</v>
      </c>
      <c r="CG4" s="46">
        <v>0</v>
      </c>
      <c r="CH4" s="46">
        <v>0</v>
      </c>
      <c r="CI4" s="46">
        <v>0</v>
      </c>
      <c r="CJ4" s="46">
        <v>0</v>
      </c>
      <c r="CK4" s="46">
        <v>0</v>
      </c>
      <c r="CL4" s="46">
        <v>0</v>
      </c>
      <c r="CM4" s="46">
        <v>0</v>
      </c>
      <c r="CN4" s="46">
        <v>0</v>
      </c>
      <c r="CO4" s="46">
        <v>0</v>
      </c>
      <c r="CP4" s="46">
        <v>-3960</v>
      </c>
      <c r="CQ4" s="46">
        <v>1</v>
      </c>
      <c r="CR4" s="46">
        <v>1</v>
      </c>
      <c r="CS4" s="46">
        <v>1</v>
      </c>
      <c r="CT4" s="46">
        <v>1</v>
      </c>
      <c r="CU4" s="46">
        <v>1</v>
      </c>
      <c r="CV4" s="46">
        <v>1</v>
      </c>
      <c r="CW4" s="46">
        <v>0</v>
      </c>
      <c r="CX4" s="46">
        <v>0</v>
      </c>
      <c r="CY4" s="50" t="s">
        <v>159</v>
      </c>
      <c r="CZ4" s="37"/>
      <c r="DA4" s="38"/>
    </row>
    <row r="5" spans="1:105" ht="105" x14ac:dyDescent="0.25">
      <c r="A5" s="36">
        <v>2</v>
      </c>
      <c r="B5" s="69" t="s">
        <v>955</v>
      </c>
      <c r="C5" s="63">
        <v>65535</v>
      </c>
      <c r="D5" s="63">
        <v>65535</v>
      </c>
      <c r="E5" s="63">
        <v>4</v>
      </c>
      <c r="F5" s="63">
        <v>31</v>
      </c>
      <c r="G5" s="63">
        <v>5</v>
      </c>
      <c r="H5" s="63">
        <v>11</v>
      </c>
      <c r="I5" s="63">
        <v>1</v>
      </c>
      <c r="J5" s="63">
        <v>2160</v>
      </c>
      <c r="K5" s="63">
        <v>340</v>
      </c>
      <c r="L5" s="63">
        <v>360</v>
      </c>
      <c r="M5" s="63">
        <v>1</v>
      </c>
      <c r="N5" s="63">
        <v>1</v>
      </c>
      <c r="O5" s="63">
        <v>360</v>
      </c>
      <c r="P5" s="63">
        <v>1</v>
      </c>
      <c r="Q5" s="63">
        <v>511</v>
      </c>
      <c r="R5" s="63">
        <v>1</v>
      </c>
      <c r="S5" s="63">
        <v>65535</v>
      </c>
      <c r="T5" s="63">
        <v>4294967295</v>
      </c>
      <c r="U5" s="63">
        <v>255</v>
      </c>
      <c r="V5" s="63">
        <v>255</v>
      </c>
      <c r="W5" s="63">
        <v>360</v>
      </c>
      <c r="X5" s="63">
        <v>360</v>
      </c>
      <c r="Y5" s="63">
        <v>1</v>
      </c>
      <c r="Z5" s="63">
        <v>4320</v>
      </c>
      <c r="AA5" s="63">
        <v>4</v>
      </c>
      <c r="AB5" s="63">
        <v>31</v>
      </c>
      <c r="AC5" s="63">
        <v>16</v>
      </c>
      <c r="AD5" s="63">
        <v>511</v>
      </c>
      <c r="AE5" s="63">
        <v>65535</v>
      </c>
      <c r="AF5" s="63">
        <v>4294967295</v>
      </c>
      <c r="AG5" s="37" t="s">
        <v>159</v>
      </c>
      <c r="AH5" s="37" t="s">
        <v>159</v>
      </c>
      <c r="AI5" s="37" t="s">
        <v>159</v>
      </c>
      <c r="AJ5" s="37" t="s">
        <v>159</v>
      </c>
      <c r="AK5" s="37" t="s">
        <v>159</v>
      </c>
      <c r="AL5" s="37" t="s">
        <v>159</v>
      </c>
      <c r="AM5" s="37" t="s">
        <v>159</v>
      </c>
      <c r="AN5" s="37" t="s">
        <v>159</v>
      </c>
      <c r="AO5" s="37" t="s">
        <v>159</v>
      </c>
      <c r="AP5" s="37" t="s">
        <v>159</v>
      </c>
      <c r="AQ5" s="37" t="s">
        <v>159</v>
      </c>
      <c r="AR5" s="37" t="s">
        <v>159</v>
      </c>
      <c r="AS5" s="37" t="s">
        <v>159</v>
      </c>
      <c r="AT5" s="37" t="s">
        <v>159</v>
      </c>
      <c r="AU5" s="37" t="s">
        <v>159</v>
      </c>
      <c r="AV5" s="37" t="s">
        <v>159</v>
      </c>
      <c r="AW5" s="37" t="s">
        <v>159</v>
      </c>
      <c r="AX5" s="37" t="s">
        <v>159</v>
      </c>
      <c r="AY5" s="37" t="s">
        <v>159</v>
      </c>
      <c r="AZ5" s="37" t="s">
        <v>159</v>
      </c>
      <c r="BA5" s="37" t="s">
        <v>159</v>
      </c>
      <c r="BB5" s="37" t="s">
        <v>159</v>
      </c>
      <c r="BC5" s="37" t="s">
        <v>159</v>
      </c>
      <c r="BD5" s="37" t="s">
        <v>159</v>
      </c>
      <c r="BE5" s="37" t="s">
        <v>159</v>
      </c>
      <c r="BF5" s="37" t="s">
        <v>159</v>
      </c>
      <c r="BG5" s="37" t="s">
        <v>159</v>
      </c>
      <c r="BH5" s="37" t="s">
        <v>159</v>
      </c>
      <c r="BI5" s="37" t="s">
        <v>159</v>
      </c>
      <c r="BJ5" s="37" t="s">
        <v>159</v>
      </c>
      <c r="BK5" s="37" t="s">
        <v>159</v>
      </c>
      <c r="BL5" s="37" t="s">
        <v>159</v>
      </c>
      <c r="BM5" s="37" t="s">
        <v>159</v>
      </c>
      <c r="BN5" s="37" t="s">
        <v>159</v>
      </c>
      <c r="BO5" s="37" t="s">
        <v>159</v>
      </c>
      <c r="BP5" s="46">
        <v>16</v>
      </c>
      <c r="BQ5" s="46">
        <v>360</v>
      </c>
      <c r="BR5" s="46">
        <v>5</v>
      </c>
      <c r="BS5" s="46">
        <v>11</v>
      </c>
      <c r="BT5" s="46">
        <v>54</v>
      </c>
      <c r="BU5" s="46">
        <v>67</v>
      </c>
      <c r="BV5" s="46">
        <v>105</v>
      </c>
      <c r="BW5" s="46">
        <v>360</v>
      </c>
      <c r="BX5" s="46">
        <v>2160</v>
      </c>
      <c r="BY5" s="46">
        <v>360</v>
      </c>
      <c r="BZ5" s="46">
        <v>360</v>
      </c>
      <c r="CA5" s="46">
        <v>1</v>
      </c>
      <c r="CB5" s="46">
        <v>1</v>
      </c>
      <c r="CC5" s="46">
        <v>1</v>
      </c>
      <c r="CD5" s="46">
        <v>511</v>
      </c>
      <c r="CE5" s="46">
        <v>1</v>
      </c>
      <c r="CF5" s="46">
        <v>65535</v>
      </c>
      <c r="CG5" s="46">
        <v>4294967295</v>
      </c>
      <c r="CH5" s="46">
        <v>254</v>
      </c>
      <c r="CI5" s="46">
        <v>0</v>
      </c>
      <c r="CJ5" s="46">
        <v>0</v>
      </c>
      <c r="CK5" s="46">
        <v>1</v>
      </c>
      <c r="CL5" s="46">
        <v>16</v>
      </c>
      <c r="CM5" s="46">
        <v>0</v>
      </c>
      <c r="CN5" s="46">
        <v>0</v>
      </c>
      <c r="CO5" s="46">
        <v>0</v>
      </c>
      <c r="CP5" s="46">
        <v>4320</v>
      </c>
      <c r="CQ5" s="46">
        <v>1</v>
      </c>
      <c r="CR5" s="46">
        <v>1</v>
      </c>
      <c r="CS5" s="46">
        <v>0</v>
      </c>
      <c r="CT5" s="46">
        <v>1</v>
      </c>
      <c r="CU5" s="46">
        <v>1</v>
      </c>
      <c r="CV5" s="46">
        <v>0</v>
      </c>
      <c r="CW5" s="46">
        <v>1</v>
      </c>
      <c r="CX5" s="46">
        <v>1</v>
      </c>
      <c r="CY5" s="50" t="s">
        <v>159</v>
      </c>
      <c r="CZ5" s="37"/>
      <c r="DA5" s="38"/>
    </row>
    <row r="6" spans="1:105" x14ac:dyDescent="0.25">
      <c r="A6" s="36">
        <v>3</v>
      </c>
      <c r="B6" s="46" t="s">
        <v>954</v>
      </c>
      <c r="C6" s="63">
        <v>0</v>
      </c>
      <c r="D6" s="63">
        <v>56640</v>
      </c>
      <c r="E6" s="63">
        <v>1</v>
      </c>
      <c r="F6" s="63">
        <v>2</v>
      </c>
      <c r="G6" s="63">
        <v>-4</v>
      </c>
      <c r="H6" s="63">
        <v>6</v>
      </c>
      <c r="I6" s="63">
        <v>0.12</v>
      </c>
      <c r="J6" s="63">
        <v>369</v>
      </c>
      <c r="K6" s="63">
        <v>88.398799999999994</v>
      </c>
      <c r="L6" s="63">
        <v>72.363500000000002</v>
      </c>
      <c r="M6" s="63">
        <v>1</v>
      </c>
      <c r="N6" s="63">
        <v>0</v>
      </c>
      <c r="O6" s="63">
        <v>277.74430000000001</v>
      </c>
      <c r="P6" s="63">
        <v>0</v>
      </c>
      <c r="Q6" s="63">
        <v>1</v>
      </c>
      <c r="R6" s="63">
        <v>0</v>
      </c>
      <c r="S6" s="63">
        <v>121</v>
      </c>
      <c r="T6" s="63">
        <v>2779873792</v>
      </c>
      <c r="U6" s="63">
        <v>129</v>
      </c>
      <c r="V6" s="63">
        <v>58</v>
      </c>
      <c r="W6" s="63">
        <v>278.17739999999998</v>
      </c>
      <c r="X6" s="63">
        <v>245.36619999999999</v>
      </c>
      <c r="Y6" s="63">
        <v>0</v>
      </c>
      <c r="Z6" s="63">
        <v>-440.4</v>
      </c>
      <c r="AA6" s="63">
        <v>1</v>
      </c>
      <c r="AB6" s="63">
        <v>2</v>
      </c>
      <c r="AC6" s="63">
        <v>1</v>
      </c>
      <c r="AD6" s="63">
        <v>11</v>
      </c>
      <c r="AE6" s="63">
        <v>8489</v>
      </c>
      <c r="AF6" s="63">
        <v>1549935104</v>
      </c>
      <c r="AG6" s="37" t="s">
        <v>159</v>
      </c>
      <c r="AH6" s="37" t="s">
        <v>159</v>
      </c>
      <c r="AI6" s="37" t="s">
        <v>159</v>
      </c>
      <c r="AJ6" s="37" t="s">
        <v>159</v>
      </c>
      <c r="AK6" s="37" t="s">
        <v>159</v>
      </c>
      <c r="AL6" s="37" t="s">
        <v>159</v>
      </c>
      <c r="AM6" s="37" t="s">
        <v>159</v>
      </c>
      <c r="AN6" s="37" t="s">
        <v>159</v>
      </c>
      <c r="AO6" s="37" t="s">
        <v>159</v>
      </c>
      <c r="AP6" s="37" t="s">
        <v>159</v>
      </c>
      <c r="AQ6" s="37" t="s">
        <v>159</v>
      </c>
      <c r="AR6" s="37" t="s">
        <v>159</v>
      </c>
      <c r="AS6" s="37" t="s">
        <v>159</v>
      </c>
      <c r="AT6" s="37" t="s">
        <v>159</v>
      </c>
      <c r="AU6" s="37" t="s">
        <v>159</v>
      </c>
      <c r="AV6" s="37" t="s">
        <v>159</v>
      </c>
      <c r="AW6" s="37" t="s">
        <v>159</v>
      </c>
      <c r="AX6" s="37" t="s">
        <v>159</v>
      </c>
      <c r="AY6" s="37" t="s">
        <v>159</v>
      </c>
      <c r="AZ6" s="37" t="s">
        <v>159</v>
      </c>
      <c r="BA6" s="37" t="s">
        <v>159</v>
      </c>
      <c r="BB6" s="37" t="s">
        <v>159</v>
      </c>
      <c r="BC6" s="37" t="s">
        <v>159</v>
      </c>
      <c r="BD6" s="37" t="s">
        <v>159</v>
      </c>
      <c r="BE6" s="37" t="s">
        <v>159</v>
      </c>
      <c r="BF6" s="37" t="s">
        <v>159</v>
      </c>
      <c r="BG6" s="37" t="s">
        <v>159</v>
      </c>
      <c r="BH6" s="37" t="s">
        <v>159</v>
      </c>
      <c r="BI6" s="37" t="s">
        <v>159</v>
      </c>
      <c r="BJ6" s="37" t="s">
        <v>159</v>
      </c>
      <c r="BK6" s="37" t="s">
        <v>159</v>
      </c>
      <c r="BL6" s="37" t="s">
        <v>159</v>
      </c>
      <c r="BM6" s="37" t="s">
        <v>159</v>
      </c>
      <c r="BN6" s="37" t="s">
        <v>159</v>
      </c>
      <c r="BO6" s="37" t="s">
        <v>159</v>
      </c>
      <c r="BP6" s="46">
        <v>1</v>
      </c>
      <c r="BQ6" s="46">
        <v>72.363500000000002</v>
      </c>
      <c r="BR6" s="46">
        <v>-4</v>
      </c>
      <c r="BS6" s="46">
        <v>6</v>
      </c>
      <c r="BT6" s="46">
        <v>53</v>
      </c>
      <c r="BU6" s="46">
        <v>124</v>
      </c>
      <c r="BV6" s="46">
        <v>41</v>
      </c>
      <c r="BW6" s="46">
        <v>277.74430000000001</v>
      </c>
      <c r="BX6" s="46">
        <v>369</v>
      </c>
      <c r="BY6" s="46">
        <v>278.17739999999998</v>
      </c>
      <c r="BZ6" s="46">
        <v>245.36619999999999</v>
      </c>
      <c r="CA6" s="46">
        <v>1</v>
      </c>
      <c r="CB6" s="46">
        <v>0</v>
      </c>
      <c r="CC6" s="46">
        <v>1</v>
      </c>
      <c r="CD6" s="46">
        <v>11</v>
      </c>
      <c r="CE6" s="46">
        <v>1</v>
      </c>
      <c r="CF6" s="46">
        <v>121</v>
      </c>
      <c r="CG6" s="46">
        <v>2779873792</v>
      </c>
      <c r="CH6" s="46">
        <v>128</v>
      </c>
      <c r="CI6" s="46">
        <v>0</v>
      </c>
      <c r="CJ6" s="46">
        <v>3392</v>
      </c>
      <c r="CK6" s="46">
        <v>1</v>
      </c>
      <c r="CL6" s="46">
        <v>65</v>
      </c>
      <c r="CM6" s="46">
        <v>1</v>
      </c>
      <c r="CN6" s="46">
        <v>1</v>
      </c>
      <c r="CO6" s="46">
        <v>0</v>
      </c>
      <c r="CP6" s="46">
        <v>-440.4</v>
      </c>
      <c r="CQ6" s="46">
        <v>1</v>
      </c>
      <c r="CR6" s="46">
        <v>1</v>
      </c>
      <c r="CS6" s="46">
        <v>0</v>
      </c>
      <c r="CT6" s="46">
        <v>1</v>
      </c>
      <c r="CU6" s="46">
        <v>1</v>
      </c>
      <c r="CV6" s="46">
        <v>1</v>
      </c>
      <c r="CW6" s="46">
        <v>0</v>
      </c>
      <c r="CX6" s="46">
        <v>0</v>
      </c>
      <c r="CY6" s="50" t="s">
        <v>159</v>
      </c>
      <c r="CZ6" s="37"/>
      <c r="DA6" s="38"/>
    </row>
    <row r="7" spans="1:105" ht="105" x14ac:dyDescent="0.25">
      <c r="A7" s="36">
        <v>4</v>
      </c>
      <c r="B7" s="69" t="s">
        <v>958</v>
      </c>
      <c r="C7" s="63">
        <v>94</v>
      </c>
      <c r="D7" s="63">
        <v>94</v>
      </c>
      <c r="E7" s="63">
        <v>1</v>
      </c>
      <c r="F7" s="63">
        <v>0</v>
      </c>
      <c r="G7" s="63">
        <v>2</v>
      </c>
      <c r="H7" s="63">
        <v>7</v>
      </c>
      <c r="I7" s="63">
        <v>0.104</v>
      </c>
      <c r="J7" s="63">
        <v>-1155</v>
      </c>
      <c r="K7" s="63">
        <v>130.99420000000001</v>
      </c>
      <c r="L7" s="63">
        <v>66.436999999999998</v>
      </c>
      <c r="M7" s="63">
        <v>0</v>
      </c>
      <c r="N7" s="63">
        <v>0</v>
      </c>
      <c r="O7" s="63">
        <v>360</v>
      </c>
      <c r="P7" s="63">
        <v>0</v>
      </c>
      <c r="Q7" s="63">
        <v>67</v>
      </c>
      <c r="R7" s="63">
        <v>0</v>
      </c>
      <c r="S7" s="63">
        <v>5</v>
      </c>
      <c r="T7" s="63">
        <v>722181632</v>
      </c>
      <c r="U7" s="63">
        <v>0</v>
      </c>
      <c r="V7" s="63">
        <v>236</v>
      </c>
      <c r="W7" s="63">
        <v>185.2688</v>
      </c>
      <c r="X7" s="63">
        <v>252.07060000000001</v>
      </c>
      <c r="Y7" s="63">
        <v>0.28999999999999998</v>
      </c>
      <c r="Z7" s="63">
        <v>-2578.6</v>
      </c>
      <c r="AA7" s="63">
        <v>3</v>
      </c>
      <c r="AB7" s="63">
        <v>31</v>
      </c>
      <c r="AC7" s="63">
        <v>0</v>
      </c>
      <c r="AD7" s="63">
        <v>157</v>
      </c>
      <c r="AE7" s="63">
        <v>10622</v>
      </c>
      <c r="AF7" s="63">
        <v>4064951808</v>
      </c>
      <c r="AG7" s="37" t="s">
        <v>159</v>
      </c>
      <c r="AH7" s="37" t="s">
        <v>159</v>
      </c>
      <c r="AI7" s="37" t="s">
        <v>159</v>
      </c>
      <c r="AJ7" s="37" t="s">
        <v>159</v>
      </c>
      <c r="AK7" s="37" t="s">
        <v>159</v>
      </c>
      <c r="AL7" s="37" t="s">
        <v>159</v>
      </c>
      <c r="AM7" s="37" t="s">
        <v>159</v>
      </c>
      <c r="AN7" s="37" t="s">
        <v>159</v>
      </c>
      <c r="AO7" s="37" t="s">
        <v>159</v>
      </c>
      <c r="AP7" s="37" t="s">
        <v>159</v>
      </c>
      <c r="AQ7" s="37" t="s">
        <v>159</v>
      </c>
      <c r="AR7" s="37" t="s">
        <v>159</v>
      </c>
      <c r="AS7" s="37" t="s">
        <v>159</v>
      </c>
      <c r="AT7" s="37" t="s">
        <v>159</v>
      </c>
      <c r="AU7" s="37" t="s">
        <v>159</v>
      </c>
      <c r="AV7" s="37" t="s">
        <v>159</v>
      </c>
      <c r="AW7" s="37" t="s">
        <v>159</v>
      </c>
      <c r="AX7" s="37" t="s">
        <v>159</v>
      </c>
      <c r="AY7" s="37" t="s">
        <v>159</v>
      </c>
      <c r="AZ7" s="37" t="s">
        <v>159</v>
      </c>
      <c r="BA7" s="37" t="s">
        <v>159</v>
      </c>
      <c r="BB7" s="37" t="s">
        <v>159</v>
      </c>
      <c r="BC7" s="37" t="s">
        <v>159</v>
      </c>
      <c r="BD7" s="37" t="s">
        <v>159</v>
      </c>
      <c r="BE7" s="37" t="s">
        <v>159</v>
      </c>
      <c r="BF7" s="37" t="s">
        <v>159</v>
      </c>
      <c r="BG7" s="37" t="s">
        <v>159</v>
      </c>
      <c r="BH7" s="37" t="s">
        <v>159</v>
      </c>
      <c r="BI7" s="37" t="s">
        <v>159</v>
      </c>
      <c r="BJ7" s="37" t="s">
        <v>159</v>
      </c>
      <c r="BK7" s="37" t="s">
        <v>159</v>
      </c>
      <c r="BL7" s="37" t="s">
        <v>159</v>
      </c>
      <c r="BM7" s="37" t="s">
        <v>159</v>
      </c>
      <c r="BN7" s="37" t="s">
        <v>159</v>
      </c>
      <c r="BO7" s="37" t="s">
        <v>159</v>
      </c>
      <c r="BP7" s="46">
        <v>0</v>
      </c>
      <c r="BQ7" s="46">
        <v>8.26171875</v>
      </c>
      <c r="BR7" s="46">
        <v>3</v>
      </c>
      <c r="BS7" s="46">
        <v>7</v>
      </c>
      <c r="BT7" s="46">
        <v>109</v>
      </c>
      <c r="BU7" s="46">
        <v>0</v>
      </c>
      <c r="BV7" s="46">
        <v>0</v>
      </c>
      <c r="BW7" s="46">
        <v>8.26171875</v>
      </c>
      <c r="BX7" s="46">
        <v>1088.26171875</v>
      </c>
      <c r="BY7" s="46">
        <v>8.26171875</v>
      </c>
      <c r="BZ7" s="46">
        <v>8.26171875</v>
      </c>
      <c r="CA7" s="46">
        <v>1</v>
      </c>
      <c r="CB7" s="46">
        <v>1</v>
      </c>
      <c r="CC7" s="46">
        <v>1</v>
      </c>
      <c r="CD7" s="46">
        <v>157</v>
      </c>
      <c r="CE7" s="46">
        <v>0</v>
      </c>
      <c r="CF7" s="46">
        <v>5</v>
      </c>
      <c r="CG7" s="46">
        <v>722181632</v>
      </c>
      <c r="CH7" s="46">
        <v>1</v>
      </c>
      <c r="CI7" s="46">
        <v>94</v>
      </c>
      <c r="CJ7" s="46">
        <v>94</v>
      </c>
      <c r="CK7" s="46">
        <v>1</v>
      </c>
      <c r="CL7" s="46">
        <v>0</v>
      </c>
      <c r="CM7" s="46">
        <v>0</v>
      </c>
      <c r="CN7" s="46">
        <v>0</v>
      </c>
      <c r="CO7" s="46">
        <v>1</v>
      </c>
      <c r="CP7" s="46">
        <v>2528.26171875</v>
      </c>
      <c r="CQ7" s="46">
        <v>1</v>
      </c>
      <c r="CR7" s="46">
        <v>1</v>
      </c>
      <c r="CS7" s="46">
        <v>1</v>
      </c>
      <c r="CT7" s="46">
        <v>1</v>
      </c>
      <c r="CU7" s="46">
        <v>1</v>
      </c>
      <c r="CV7" s="46">
        <v>1</v>
      </c>
      <c r="CW7" s="46">
        <v>0</v>
      </c>
      <c r="CX7" s="46">
        <v>0</v>
      </c>
      <c r="CY7" s="50" t="s">
        <v>159</v>
      </c>
      <c r="CZ7" s="37"/>
      <c r="DA7" s="38"/>
    </row>
    <row r="8" spans="1:105" x14ac:dyDescent="0.25">
      <c r="A8" s="36">
        <v>5</v>
      </c>
      <c r="B8" s="46" t="s">
        <v>956</v>
      </c>
      <c r="C8" s="63">
        <v>49</v>
      </c>
      <c r="D8" s="63">
        <v>49</v>
      </c>
      <c r="E8" s="63">
        <v>1</v>
      </c>
      <c r="F8" s="63">
        <v>31</v>
      </c>
      <c r="G8" s="63">
        <v>-1</v>
      </c>
      <c r="H8" s="63">
        <v>6</v>
      </c>
      <c r="I8" s="63">
        <v>0.108</v>
      </c>
      <c r="J8" s="63">
        <v>-1532</v>
      </c>
      <c r="K8" s="63">
        <v>222.78210000000001</v>
      </c>
      <c r="L8" s="63">
        <v>338.0838</v>
      </c>
      <c r="M8" s="63">
        <v>0</v>
      </c>
      <c r="N8" s="63">
        <v>0</v>
      </c>
      <c r="O8" s="63">
        <v>113.99930000000001</v>
      </c>
      <c r="P8" s="63">
        <v>0</v>
      </c>
      <c r="Q8" s="63">
        <v>79</v>
      </c>
      <c r="R8" s="63">
        <v>0</v>
      </c>
      <c r="S8" s="63">
        <v>25</v>
      </c>
      <c r="T8" s="63">
        <v>2121525504</v>
      </c>
      <c r="U8" s="63">
        <v>255</v>
      </c>
      <c r="V8" s="63">
        <v>140</v>
      </c>
      <c r="W8" s="63">
        <v>1.2425999999999999</v>
      </c>
      <c r="X8" s="63">
        <v>45.940100000000001</v>
      </c>
      <c r="Y8" s="63">
        <v>0.33</v>
      </c>
      <c r="Z8" s="63">
        <v>-2699.6</v>
      </c>
      <c r="AA8" s="63">
        <v>1</v>
      </c>
      <c r="AB8" s="63">
        <v>31</v>
      </c>
      <c r="AC8" s="63">
        <v>0</v>
      </c>
      <c r="AD8" s="63">
        <v>162</v>
      </c>
      <c r="AE8" s="63">
        <v>41932</v>
      </c>
      <c r="AF8" s="63">
        <v>3946318080</v>
      </c>
      <c r="AG8" s="37" t="s">
        <v>159</v>
      </c>
      <c r="AH8" s="37" t="s">
        <v>159</v>
      </c>
      <c r="AI8" s="37" t="s">
        <v>159</v>
      </c>
      <c r="AJ8" s="37" t="s">
        <v>159</v>
      </c>
      <c r="AK8" s="37" t="s">
        <v>159</v>
      </c>
      <c r="AL8" s="37" t="s">
        <v>159</v>
      </c>
      <c r="AM8" s="37" t="s">
        <v>159</v>
      </c>
      <c r="AN8" s="37" t="s">
        <v>159</v>
      </c>
      <c r="AO8" s="37" t="s">
        <v>159</v>
      </c>
      <c r="AP8" s="37" t="s">
        <v>159</v>
      </c>
      <c r="AQ8" s="37" t="s">
        <v>159</v>
      </c>
      <c r="AR8" s="37" t="s">
        <v>159</v>
      </c>
      <c r="AS8" s="37" t="s">
        <v>159</v>
      </c>
      <c r="AT8" s="37" t="s">
        <v>159</v>
      </c>
      <c r="AU8" s="37" t="s">
        <v>159</v>
      </c>
      <c r="AV8" s="37" t="s">
        <v>159</v>
      </c>
      <c r="AW8" s="37" t="s">
        <v>159</v>
      </c>
      <c r="AX8" s="37" t="s">
        <v>159</v>
      </c>
      <c r="AY8" s="37" t="s">
        <v>159</v>
      </c>
      <c r="AZ8" s="37" t="s">
        <v>159</v>
      </c>
      <c r="BA8" s="37" t="s">
        <v>159</v>
      </c>
      <c r="BB8" s="37" t="s">
        <v>159</v>
      </c>
      <c r="BC8" s="37" t="s">
        <v>159</v>
      </c>
      <c r="BD8" s="37" t="s">
        <v>159</v>
      </c>
      <c r="BE8" s="37" t="s">
        <v>159</v>
      </c>
      <c r="BF8" s="37" t="s">
        <v>159</v>
      </c>
      <c r="BG8" s="37" t="s">
        <v>159</v>
      </c>
      <c r="BH8" s="37" t="s">
        <v>159</v>
      </c>
      <c r="BI8" s="37" t="s">
        <v>159</v>
      </c>
      <c r="BJ8" s="37" t="s">
        <v>159</v>
      </c>
      <c r="BK8" s="37" t="s">
        <v>159</v>
      </c>
      <c r="BL8" s="37" t="s">
        <v>159</v>
      </c>
      <c r="BM8" s="37" t="s">
        <v>159</v>
      </c>
      <c r="BN8" s="37" t="s">
        <v>159</v>
      </c>
      <c r="BO8" s="37" t="s">
        <v>159</v>
      </c>
      <c r="BP8" s="46">
        <v>0</v>
      </c>
      <c r="BQ8" s="46">
        <v>4.306640625</v>
      </c>
      <c r="BR8" s="46">
        <v>-1</v>
      </c>
      <c r="BS8" s="46">
        <v>7</v>
      </c>
      <c r="BT8" s="46">
        <v>109</v>
      </c>
      <c r="BU8" s="46">
        <v>0</v>
      </c>
      <c r="BV8" s="46">
        <v>0</v>
      </c>
      <c r="BW8" s="46">
        <v>4.306640625</v>
      </c>
      <c r="BX8" s="46">
        <v>-355.693359375</v>
      </c>
      <c r="BY8" s="46">
        <v>4.306640625</v>
      </c>
      <c r="BZ8" s="46">
        <v>4.306640625</v>
      </c>
      <c r="CA8" s="46">
        <v>1</v>
      </c>
      <c r="CB8" s="46">
        <v>1</v>
      </c>
      <c r="CC8" s="46">
        <v>1</v>
      </c>
      <c r="CD8" s="46">
        <v>162</v>
      </c>
      <c r="CE8" s="46">
        <v>0</v>
      </c>
      <c r="CF8" s="46">
        <v>25</v>
      </c>
      <c r="CG8" s="46">
        <v>2121525504</v>
      </c>
      <c r="CH8" s="46">
        <v>255</v>
      </c>
      <c r="CI8" s="46">
        <v>49</v>
      </c>
      <c r="CJ8" s="46">
        <v>49</v>
      </c>
      <c r="CK8" s="46">
        <v>1</v>
      </c>
      <c r="CL8" s="46">
        <v>0</v>
      </c>
      <c r="CM8" s="46">
        <v>0</v>
      </c>
      <c r="CN8" s="46">
        <v>0</v>
      </c>
      <c r="CO8" s="46">
        <v>1</v>
      </c>
      <c r="CP8" s="46">
        <v>2524.306640625</v>
      </c>
      <c r="CQ8" s="46">
        <v>1</v>
      </c>
      <c r="CR8" s="46">
        <v>1</v>
      </c>
      <c r="CS8" s="46">
        <v>1</v>
      </c>
      <c r="CT8" s="46">
        <v>1</v>
      </c>
      <c r="CU8" s="46">
        <v>1</v>
      </c>
      <c r="CV8" s="46">
        <v>1</v>
      </c>
      <c r="CW8" s="46">
        <v>0</v>
      </c>
      <c r="CX8" s="46">
        <v>0</v>
      </c>
      <c r="CY8" s="50" t="s">
        <v>159</v>
      </c>
      <c r="CZ8" s="37"/>
      <c r="DA8" s="38"/>
    </row>
    <row r="9" spans="1:105" x14ac:dyDescent="0.25">
      <c r="A9" s="36">
        <v>6</v>
      </c>
      <c r="B9" s="46" t="s">
        <v>952</v>
      </c>
      <c r="C9" s="63">
        <v>32403</v>
      </c>
      <c r="D9" s="63">
        <v>3530</v>
      </c>
      <c r="E9" s="63">
        <v>3</v>
      </c>
      <c r="F9" s="63">
        <v>12</v>
      </c>
      <c r="G9" s="63">
        <v>0</v>
      </c>
      <c r="H9" s="63">
        <v>-3</v>
      </c>
      <c r="I9" s="63">
        <v>0.14399999999999999</v>
      </c>
      <c r="J9" s="63">
        <v>1583</v>
      </c>
      <c r="K9" s="63">
        <v>56.519300000000001</v>
      </c>
      <c r="L9" s="63">
        <v>200.86490000000001</v>
      </c>
      <c r="M9" s="63">
        <v>1</v>
      </c>
      <c r="N9" s="63">
        <v>0</v>
      </c>
      <c r="O9" s="63">
        <v>140.68600000000001</v>
      </c>
      <c r="P9" s="63">
        <v>0</v>
      </c>
      <c r="Q9" s="63">
        <v>187</v>
      </c>
      <c r="R9" s="63">
        <v>1</v>
      </c>
      <c r="S9" s="63">
        <v>205</v>
      </c>
      <c r="T9" s="63">
        <v>912764416</v>
      </c>
      <c r="U9" s="63">
        <v>244</v>
      </c>
      <c r="V9" s="63">
        <v>71</v>
      </c>
      <c r="W9" s="63">
        <v>80.074799999999996</v>
      </c>
      <c r="X9" s="63">
        <v>30.5001</v>
      </c>
      <c r="Y9" s="63">
        <v>0.69</v>
      </c>
      <c r="Z9" s="63">
        <v>-3788.6</v>
      </c>
      <c r="AA9" s="63">
        <v>3</v>
      </c>
      <c r="AB9" s="63">
        <v>12</v>
      </c>
      <c r="AC9" s="63">
        <v>7</v>
      </c>
      <c r="AD9" s="63">
        <v>511</v>
      </c>
      <c r="AE9" s="63">
        <v>4393</v>
      </c>
      <c r="AF9" s="63">
        <v>2913881600</v>
      </c>
      <c r="AG9" s="37" t="s">
        <v>159</v>
      </c>
      <c r="AH9" s="37" t="s">
        <v>159</v>
      </c>
      <c r="AI9" s="37" t="s">
        <v>159</v>
      </c>
      <c r="AJ9" s="37" t="s">
        <v>159</v>
      </c>
      <c r="AK9" s="37" t="s">
        <v>159</v>
      </c>
      <c r="AL9" s="37" t="s">
        <v>159</v>
      </c>
      <c r="AM9" s="37" t="s">
        <v>159</v>
      </c>
      <c r="AN9" s="37" t="s">
        <v>159</v>
      </c>
      <c r="AO9" s="37" t="s">
        <v>159</v>
      </c>
      <c r="AP9" s="37" t="s">
        <v>159</v>
      </c>
      <c r="AQ9" s="37" t="s">
        <v>159</v>
      </c>
      <c r="AR9" s="37" t="s">
        <v>159</v>
      </c>
      <c r="AS9" s="37" t="s">
        <v>159</v>
      </c>
      <c r="AT9" s="37" t="s">
        <v>159</v>
      </c>
      <c r="AU9" s="37" t="s">
        <v>159</v>
      </c>
      <c r="AV9" s="37" t="s">
        <v>159</v>
      </c>
      <c r="AW9" s="37" t="s">
        <v>159</v>
      </c>
      <c r="AX9" s="37" t="s">
        <v>159</v>
      </c>
      <c r="AY9" s="37" t="s">
        <v>159</v>
      </c>
      <c r="AZ9" s="37" t="s">
        <v>159</v>
      </c>
      <c r="BA9" s="37" t="s">
        <v>159</v>
      </c>
      <c r="BB9" s="37" t="s">
        <v>159</v>
      </c>
      <c r="BC9" s="37" t="s">
        <v>159</v>
      </c>
      <c r="BD9" s="37" t="s">
        <v>159</v>
      </c>
      <c r="BE9" s="37" t="s">
        <v>159</v>
      </c>
      <c r="BF9" s="37" t="s">
        <v>159</v>
      </c>
      <c r="BG9" s="37" t="s">
        <v>159</v>
      </c>
      <c r="BH9" s="37" t="s">
        <v>159</v>
      </c>
      <c r="BI9" s="37" t="s">
        <v>159</v>
      </c>
      <c r="BJ9" s="37" t="s">
        <v>159</v>
      </c>
      <c r="BK9" s="37" t="s">
        <v>159</v>
      </c>
      <c r="BL9" s="37" t="s">
        <v>159</v>
      </c>
      <c r="BM9" s="37" t="s">
        <v>159</v>
      </c>
      <c r="BN9" s="37" t="s">
        <v>159</v>
      </c>
      <c r="BO9" s="37" t="s">
        <v>159</v>
      </c>
      <c r="BP9" s="46">
        <v>7</v>
      </c>
      <c r="BQ9" s="46">
        <v>200.86490000000001</v>
      </c>
      <c r="BR9" s="46">
        <v>0</v>
      </c>
      <c r="BS9" s="46">
        <v>-3</v>
      </c>
      <c r="BT9" s="46">
        <v>48</v>
      </c>
      <c r="BU9" s="46">
        <v>80</v>
      </c>
      <c r="BV9" s="46">
        <v>17</v>
      </c>
      <c r="BW9" s="46">
        <v>140.68600000000001</v>
      </c>
      <c r="BX9" s="46">
        <v>1583</v>
      </c>
      <c r="BY9" s="46">
        <v>80.074799999999996</v>
      </c>
      <c r="BZ9" s="46">
        <v>30.5001</v>
      </c>
      <c r="CA9" s="46">
        <v>1</v>
      </c>
      <c r="CB9" s="46">
        <v>0</v>
      </c>
      <c r="CC9" s="46">
        <v>0</v>
      </c>
      <c r="CD9" s="46">
        <v>511</v>
      </c>
      <c r="CE9" s="46">
        <v>1</v>
      </c>
      <c r="CF9" s="46">
        <v>4393</v>
      </c>
      <c r="CG9" s="46">
        <v>2913881600</v>
      </c>
      <c r="CH9" s="46">
        <v>243</v>
      </c>
      <c r="CI9" s="46">
        <v>0</v>
      </c>
      <c r="CJ9" s="46">
        <v>0</v>
      </c>
      <c r="CK9" s="46">
        <v>1</v>
      </c>
      <c r="CL9" s="46">
        <v>7</v>
      </c>
      <c r="CM9" s="46">
        <v>0</v>
      </c>
      <c r="CN9" s="46">
        <v>0</v>
      </c>
      <c r="CO9" s="46">
        <v>0</v>
      </c>
      <c r="CP9" s="46">
        <v>-3788.6</v>
      </c>
      <c r="CQ9" s="46">
        <v>1</v>
      </c>
      <c r="CR9" s="46">
        <v>1</v>
      </c>
      <c r="CS9" s="46">
        <v>0</v>
      </c>
      <c r="CT9" s="46">
        <v>1</v>
      </c>
      <c r="CU9" s="46">
        <v>1</v>
      </c>
      <c r="CV9" s="46">
        <v>1</v>
      </c>
      <c r="CW9" s="46">
        <v>1</v>
      </c>
      <c r="CX9" s="46">
        <v>1</v>
      </c>
      <c r="CY9" s="50" t="s">
        <v>159</v>
      </c>
      <c r="CZ9" s="37"/>
      <c r="DA9" s="38"/>
    </row>
    <row r="10" spans="1:105" ht="45" x14ac:dyDescent="0.25">
      <c r="A10" s="36">
        <v>7</v>
      </c>
      <c r="B10" s="69" t="s">
        <v>953</v>
      </c>
      <c r="C10" s="63">
        <v>56907</v>
      </c>
      <c r="D10" s="63">
        <v>54364</v>
      </c>
      <c r="E10" s="63">
        <v>3</v>
      </c>
      <c r="F10" s="63">
        <v>28</v>
      </c>
      <c r="G10" s="63">
        <v>-2</v>
      </c>
      <c r="H10" s="63">
        <v>-3</v>
      </c>
      <c r="I10" s="63">
        <v>0.152</v>
      </c>
      <c r="J10" s="63">
        <v>-1787</v>
      </c>
      <c r="K10" s="63">
        <v>203.3698</v>
      </c>
      <c r="L10" s="63">
        <v>15.82</v>
      </c>
      <c r="M10" s="63">
        <v>0</v>
      </c>
      <c r="N10" s="63">
        <v>1</v>
      </c>
      <c r="O10" s="63">
        <v>291.21899999999999</v>
      </c>
      <c r="P10" s="63">
        <v>0</v>
      </c>
      <c r="Q10" s="63">
        <v>211</v>
      </c>
      <c r="R10" s="63">
        <v>1</v>
      </c>
      <c r="S10" s="63">
        <v>245</v>
      </c>
      <c r="T10" s="63">
        <v>602118144</v>
      </c>
      <c r="U10" s="63">
        <v>65</v>
      </c>
      <c r="V10" s="63">
        <v>32</v>
      </c>
      <c r="W10" s="63">
        <v>63.003</v>
      </c>
      <c r="X10" s="63">
        <v>97.870400000000004</v>
      </c>
      <c r="Y10" s="63">
        <v>0.77</v>
      </c>
      <c r="Z10" s="63">
        <v>352.7</v>
      </c>
      <c r="AA10" s="63">
        <v>3</v>
      </c>
      <c r="AB10" s="63">
        <v>28</v>
      </c>
      <c r="AC10" s="63">
        <v>15</v>
      </c>
      <c r="AD10" s="63">
        <v>99</v>
      </c>
      <c r="AE10" s="63">
        <v>0</v>
      </c>
      <c r="AF10" s="63">
        <v>106903552</v>
      </c>
      <c r="AG10" s="37" t="s">
        <v>159</v>
      </c>
      <c r="AH10" s="37" t="s">
        <v>159</v>
      </c>
      <c r="AI10" s="37" t="s">
        <v>159</v>
      </c>
      <c r="AJ10" s="37" t="s">
        <v>159</v>
      </c>
      <c r="AK10" s="37" t="s">
        <v>159</v>
      </c>
      <c r="AL10" s="37" t="s">
        <v>159</v>
      </c>
      <c r="AM10" s="37" t="s">
        <v>159</v>
      </c>
      <c r="AN10" s="37" t="s">
        <v>159</v>
      </c>
      <c r="AO10" s="37" t="s">
        <v>159</v>
      </c>
      <c r="AP10" s="37" t="s">
        <v>159</v>
      </c>
      <c r="AQ10" s="37" t="s">
        <v>159</v>
      </c>
      <c r="AR10" s="37" t="s">
        <v>159</v>
      </c>
      <c r="AS10" s="37" t="s">
        <v>159</v>
      </c>
      <c r="AT10" s="37" t="s">
        <v>159</v>
      </c>
      <c r="AU10" s="37" t="s">
        <v>159</v>
      </c>
      <c r="AV10" s="37" t="s">
        <v>159</v>
      </c>
      <c r="AW10" s="37" t="s">
        <v>159</v>
      </c>
      <c r="AX10" s="37" t="s">
        <v>159</v>
      </c>
      <c r="AY10" s="37" t="s">
        <v>159</v>
      </c>
      <c r="AZ10" s="37" t="s">
        <v>159</v>
      </c>
      <c r="BA10" s="37" t="s">
        <v>159</v>
      </c>
      <c r="BB10" s="37" t="s">
        <v>159</v>
      </c>
      <c r="BC10" s="37" t="s">
        <v>159</v>
      </c>
      <c r="BD10" s="37" t="s">
        <v>159</v>
      </c>
      <c r="BE10" s="37" t="s">
        <v>159</v>
      </c>
      <c r="BF10" s="37" t="s">
        <v>159</v>
      </c>
      <c r="BG10" s="37" t="s">
        <v>159</v>
      </c>
      <c r="BH10" s="37" t="s">
        <v>159</v>
      </c>
      <c r="BI10" s="37" t="s">
        <v>159</v>
      </c>
      <c r="BJ10" s="37" t="s">
        <v>159</v>
      </c>
      <c r="BK10" s="37" t="s">
        <v>159</v>
      </c>
      <c r="BL10" s="37" t="s">
        <v>159</v>
      </c>
      <c r="BM10" s="37" t="s">
        <v>159</v>
      </c>
      <c r="BN10" s="37" t="s">
        <v>159</v>
      </c>
      <c r="BO10" s="37" t="s">
        <v>159</v>
      </c>
      <c r="BP10" s="46">
        <v>28</v>
      </c>
      <c r="BQ10" s="46">
        <v>15.82</v>
      </c>
      <c r="BR10" s="46">
        <v>-2</v>
      </c>
      <c r="BS10" s="46">
        <v>-3</v>
      </c>
      <c r="BT10" s="46">
        <v>3</v>
      </c>
      <c r="BU10" s="46">
        <v>29</v>
      </c>
      <c r="BV10" s="46">
        <v>108</v>
      </c>
      <c r="BW10" s="46">
        <v>291.21899999999999</v>
      </c>
      <c r="BX10" s="46">
        <v>-1787</v>
      </c>
      <c r="BY10" s="46">
        <v>63.003</v>
      </c>
      <c r="BZ10" s="46">
        <v>97.870400000000004</v>
      </c>
      <c r="CA10" s="46">
        <v>0</v>
      </c>
      <c r="CB10" s="46">
        <v>1</v>
      </c>
      <c r="CC10" s="46">
        <v>1</v>
      </c>
      <c r="CD10" s="46">
        <v>99</v>
      </c>
      <c r="CE10" s="46">
        <v>1</v>
      </c>
      <c r="CF10" s="46">
        <v>0</v>
      </c>
      <c r="CG10" s="46">
        <v>602118144</v>
      </c>
      <c r="CH10" s="46">
        <v>65</v>
      </c>
      <c r="CI10" s="46">
        <v>24218</v>
      </c>
      <c r="CJ10" s="46">
        <v>2327</v>
      </c>
      <c r="CK10" s="46">
        <v>3</v>
      </c>
      <c r="CL10" s="46">
        <v>28</v>
      </c>
      <c r="CM10" s="46">
        <v>1</v>
      </c>
      <c r="CN10" s="46">
        <v>1</v>
      </c>
      <c r="CO10" s="46">
        <v>1</v>
      </c>
      <c r="CP10" s="46">
        <v>352.7</v>
      </c>
      <c r="CQ10" s="46">
        <v>0</v>
      </c>
      <c r="CR10" s="46">
        <v>0</v>
      </c>
      <c r="CS10" s="46">
        <v>0</v>
      </c>
      <c r="CT10" s="46">
        <v>0</v>
      </c>
      <c r="CU10" s="46">
        <v>0</v>
      </c>
      <c r="CV10" s="46">
        <v>1</v>
      </c>
      <c r="CW10" s="46">
        <v>1</v>
      </c>
      <c r="CX10" s="46">
        <v>0</v>
      </c>
      <c r="CY10" s="50" t="s">
        <v>159</v>
      </c>
      <c r="CZ10" s="37"/>
      <c r="DA10" s="38"/>
    </row>
    <row r="11" spans="1:105" ht="30.75" thickBot="1" x14ac:dyDescent="0.3">
      <c r="A11" s="39">
        <v>8</v>
      </c>
      <c r="B11" s="68" t="s">
        <v>959</v>
      </c>
      <c r="C11" s="67">
        <v>94</v>
      </c>
      <c r="D11" s="67">
        <v>94</v>
      </c>
      <c r="E11" s="67">
        <v>1</v>
      </c>
      <c r="F11" s="67">
        <v>0</v>
      </c>
      <c r="G11" s="67">
        <v>2</v>
      </c>
      <c r="H11" s="67">
        <v>7</v>
      </c>
      <c r="I11" s="67">
        <v>0.104</v>
      </c>
      <c r="J11" s="67">
        <v>-1155</v>
      </c>
      <c r="K11" s="67">
        <v>130.99420000000001</v>
      </c>
      <c r="L11" s="67">
        <v>66.436999999999998</v>
      </c>
      <c r="M11" s="67">
        <v>1</v>
      </c>
      <c r="N11" s="67">
        <v>1</v>
      </c>
      <c r="O11" s="67">
        <v>360</v>
      </c>
      <c r="P11" s="67">
        <v>0</v>
      </c>
      <c r="Q11" s="67">
        <v>67</v>
      </c>
      <c r="R11" s="67">
        <v>0</v>
      </c>
      <c r="S11" s="67">
        <v>5</v>
      </c>
      <c r="T11" s="67">
        <v>722181632</v>
      </c>
      <c r="U11" s="67">
        <v>0</v>
      </c>
      <c r="V11" s="67">
        <v>236</v>
      </c>
      <c r="W11" s="67">
        <v>185.2688</v>
      </c>
      <c r="X11" s="67">
        <v>252.07060000000001</v>
      </c>
      <c r="Y11" s="67">
        <v>0.28999999999999998</v>
      </c>
      <c r="Z11" s="67">
        <v>-2578.6</v>
      </c>
      <c r="AA11" s="67">
        <v>3</v>
      </c>
      <c r="AB11" s="67">
        <v>31</v>
      </c>
      <c r="AC11" s="67">
        <v>0</v>
      </c>
      <c r="AD11" s="67">
        <v>157</v>
      </c>
      <c r="AE11" s="67">
        <v>10622</v>
      </c>
      <c r="AF11" s="67">
        <v>4064951808</v>
      </c>
      <c r="AG11" s="40" t="s">
        <v>159</v>
      </c>
      <c r="AH11" s="40" t="s">
        <v>159</v>
      </c>
      <c r="AI11" s="40" t="s">
        <v>159</v>
      </c>
      <c r="AJ11" s="40" t="s">
        <v>159</v>
      </c>
      <c r="AK11" s="40" t="s">
        <v>159</v>
      </c>
      <c r="AL11" s="40" t="s">
        <v>159</v>
      </c>
      <c r="AM11" s="40" t="s">
        <v>159</v>
      </c>
      <c r="AN11" s="40" t="s">
        <v>159</v>
      </c>
      <c r="AO11" s="40" t="s">
        <v>159</v>
      </c>
      <c r="AP11" s="40" t="s">
        <v>159</v>
      </c>
      <c r="AQ11" s="40" t="s">
        <v>159</v>
      </c>
      <c r="AR11" s="40" t="s">
        <v>159</v>
      </c>
      <c r="AS11" s="40" t="s">
        <v>159</v>
      </c>
      <c r="AT11" s="40" t="s">
        <v>159</v>
      </c>
      <c r="AU11" s="40" t="s">
        <v>159</v>
      </c>
      <c r="AV11" s="40" t="s">
        <v>159</v>
      </c>
      <c r="AW11" s="40" t="s">
        <v>159</v>
      </c>
      <c r="AX11" s="40" t="s">
        <v>159</v>
      </c>
      <c r="AY11" s="40" t="s">
        <v>159</v>
      </c>
      <c r="AZ11" s="40" t="s">
        <v>159</v>
      </c>
      <c r="BA11" s="40" t="s">
        <v>159</v>
      </c>
      <c r="BB11" s="40" t="s">
        <v>159</v>
      </c>
      <c r="BC11" s="40" t="s">
        <v>159</v>
      </c>
      <c r="BD11" s="40" t="s">
        <v>159</v>
      </c>
      <c r="BE11" s="40" t="s">
        <v>159</v>
      </c>
      <c r="BF11" s="40" t="s">
        <v>159</v>
      </c>
      <c r="BG11" s="40" t="s">
        <v>159</v>
      </c>
      <c r="BH11" s="40" t="s">
        <v>159</v>
      </c>
      <c r="BI11" s="40" t="s">
        <v>159</v>
      </c>
      <c r="BJ11" s="40" t="s">
        <v>159</v>
      </c>
      <c r="BK11" s="40" t="s">
        <v>159</v>
      </c>
      <c r="BL11" s="40" t="s">
        <v>159</v>
      </c>
      <c r="BM11" s="40" t="s">
        <v>159</v>
      </c>
      <c r="BN11" s="40" t="s">
        <v>159</v>
      </c>
      <c r="BO11" s="40" t="s">
        <v>159</v>
      </c>
      <c r="BP11" s="47">
        <v>0</v>
      </c>
      <c r="BQ11" s="47">
        <v>8.26171875</v>
      </c>
      <c r="BR11" s="47">
        <v>3</v>
      </c>
      <c r="BS11" s="47">
        <v>7</v>
      </c>
      <c r="BT11" s="47">
        <v>109</v>
      </c>
      <c r="BU11" s="47">
        <v>0</v>
      </c>
      <c r="BV11" s="47">
        <v>0</v>
      </c>
      <c r="BW11" s="47">
        <v>8.26171875</v>
      </c>
      <c r="BX11" s="47">
        <v>-921.70078124999998</v>
      </c>
      <c r="BY11" s="47">
        <v>158.29921874999999</v>
      </c>
      <c r="BZ11" s="47">
        <v>342.38989843749999</v>
      </c>
      <c r="CA11" s="47">
        <v>1</v>
      </c>
      <c r="CB11" s="47">
        <v>1</v>
      </c>
      <c r="CC11" s="47">
        <v>1</v>
      </c>
      <c r="CD11" s="47">
        <v>157</v>
      </c>
      <c r="CE11" s="47">
        <v>0</v>
      </c>
      <c r="CF11" s="47">
        <v>5</v>
      </c>
      <c r="CG11" s="47">
        <v>722181632</v>
      </c>
      <c r="CH11" s="47">
        <v>1</v>
      </c>
      <c r="CI11" s="47">
        <v>94</v>
      </c>
      <c r="CJ11" s="47">
        <v>94</v>
      </c>
      <c r="CK11" s="47">
        <v>1</v>
      </c>
      <c r="CL11" s="47">
        <v>0</v>
      </c>
      <c r="CM11" s="47">
        <v>0</v>
      </c>
      <c r="CN11" s="47">
        <v>0</v>
      </c>
      <c r="CO11" s="47">
        <v>1</v>
      </c>
      <c r="CP11" s="47">
        <v>-1097.6101015624999</v>
      </c>
      <c r="CQ11" s="47">
        <v>1</v>
      </c>
      <c r="CR11" s="47">
        <v>1</v>
      </c>
      <c r="CS11" s="47">
        <v>1</v>
      </c>
      <c r="CT11" s="47">
        <v>1</v>
      </c>
      <c r="CU11" s="47">
        <v>1</v>
      </c>
      <c r="CV11" s="47">
        <v>1</v>
      </c>
      <c r="CW11" s="47">
        <v>0</v>
      </c>
      <c r="CX11" s="47">
        <v>0</v>
      </c>
      <c r="CY11" s="51" t="s">
        <v>159</v>
      </c>
      <c r="CZ11" s="40"/>
      <c r="DA11" s="41"/>
    </row>
    <row r="12" spans="1:10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</row>
    <row r="13" spans="1:10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</row>
    <row r="14" spans="1:10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</row>
    <row r="15" spans="1:10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</row>
    <row r="16" spans="1:105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</row>
    <row r="17" spans="1:105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</row>
    <row r="18" spans="1:105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</row>
    <row r="19" spans="1:105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</row>
    <row r="20" spans="1:105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</row>
    <row r="21" spans="1:105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</row>
  </sheetData>
  <mergeCells count="2">
    <mergeCell ref="A1:B1"/>
    <mergeCell ref="A2:B2"/>
  </mergeCells>
  <hyperlinks>
    <hyperlink ref="A1" location="'DigColPs_Per1'!A1" display="'DigColPs_Per1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DA9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.7109375" bestFit="1" customWidth="1"/>
    <col min="3" max="4" width="6" bestFit="1" customWidth="1"/>
    <col min="5" max="7" width="3.28515625" bestFit="1" customWidth="1"/>
    <col min="8" max="8" width="3.7109375" bestFit="1" customWidth="1"/>
    <col min="9" max="9" width="6" bestFit="1" customWidth="1"/>
    <col min="10" max="10" width="5.7109375" bestFit="1" customWidth="1"/>
    <col min="11" max="12" width="9" bestFit="1" customWidth="1"/>
    <col min="13" max="14" width="3.28515625" bestFit="1" customWidth="1"/>
    <col min="15" max="15" width="9" bestFit="1" customWidth="1"/>
    <col min="16" max="16" width="3.28515625" bestFit="1" customWidth="1"/>
    <col min="17" max="17" width="4" bestFit="1" customWidth="1"/>
    <col min="18" max="18" width="3.28515625" bestFit="1" customWidth="1"/>
    <col min="19" max="19" width="6" bestFit="1" customWidth="1"/>
    <col min="20" max="20" width="11" bestFit="1" customWidth="1"/>
    <col min="21" max="22" width="4" bestFit="1" customWidth="1"/>
    <col min="23" max="24" width="9" bestFit="1" customWidth="1"/>
    <col min="25" max="25" width="6" bestFit="1" customWidth="1"/>
    <col min="26" max="26" width="8" bestFit="1" customWidth="1"/>
    <col min="27" max="27" width="3.28515625" bestFit="1" customWidth="1"/>
    <col min="28" max="28" width="4" bestFit="1" customWidth="1"/>
    <col min="29" max="31" width="7.28515625" bestFit="1" customWidth="1"/>
    <col min="32" max="32" width="11" bestFit="1" customWidth="1"/>
    <col min="33" max="58" width="4.140625" bestFit="1" customWidth="1"/>
    <col min="59" max="59" width="4.140625" customWidth="1"/>
    <col min="60" max="68" width="7.28515625" bestFit="1" customWidth="1"/>
    <col min="69" max="69" width="12" bestFit="1" customWidth="1"/>
    <col min="70" max="74" width="7.28515625" bestFit="1" customWidth="1"/>
    <col min="75" max="75" width="12" bestFit="1" customWidth="1"/>
    <col min="76" max="76" width="12.7109375" bestFit="1" customWidth="1"/>
    <col min="77" max="78" width="12" bestFit="1" customWidth="1"/>
    <col min="79" max="84" width="7.28515625" bestFit="1" customWidth="1"/>
    <col min="85" max="85" width="11" bestFit="1" customWidth="1"/>
    <col min="86" max="93" width="7.28515625" bestFit="1" customWidth="1"/>
    <col min="94" max="94" width="12" bestFit="1" customWidth="1"/>
    <col min="95" max="102" width="7.28515625" bestFit="1" customWidth="1"/>
    <col min="103" max="103" width="10.5703125" bestFit="1" customWidth="1"/>
    <col min="104" max="104" width="12.42578125" bestFit="1" customWidth="1"/>
    <col min="105" max="105" width="10.5703125" bestFit="1" customWidth="1"/>
  </cols>
  <sheetData>
    <row r="1" spans="1:105" x14ac:dyDescent="0.25">
      <c r="A1" s="279" t="s">
        <v>242</v>
      </c>
      <c r="B1" s="280"/>
      <c r="C1" s="45" t="s">
        <v>160</v>
      </c>
      <c r="D1" s="58" t="s">
        <v>159</v>
      </c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  <c r="AG1" s="228"/>
      <c r="AH1" s="228"/>
      <c r="AI1" s="228"/>
      <c r="AJ1" s="228"/>
      <c r="AK1" s="228"/>
      <c r="AL1" s="228"/>
      <c r="AM1" s="228"/>
      <c r="AN1" s="228"/>
      <c r="AO1" s="228"/>
      <c r="AP1" s="228"/>
      <c r="AQ1" s="228"/>
      <c r="AR1" s="228"/>
      <c r="AS1" s="228"/>
      <c r="AT1" s="228"/>
      <c r="AU1" s="228"/>
      <c r="AV1" s="228"/>
      <c r="AW1" s="228"/>
      <c r="AX1" s="228"/>
      <c r="AY1" s="228"/>
      <c r="AZ1" s="228"/>
      <c r="BA1" s="228"/>
      <c r="BB1" s="228"/>
      <c r="BC1" s="228"/>
      <c r="BD1" s="228"/>
      <c r="BE1" s="228"/>
      <c r="BF1" s="228"/>
      <c r="BG1" s="228"/>
      <c r="BH1" s="228"/>
      <c r="BI1" s="228"/>
      <c r="BJ1" s="228"/>
      <c r="BK1" s="228"/>
      <c r="BL1" s="228"/>
      <c r="BM1" s="228"/>
      <c r="BN1" s="228"/>
      <c r="BO1" s="228"/>
      <c r="BP1" s="228"/>
      <c r="BQ1" s="228"/>
      <c r="BR1" s="228"/>
      <c r="BS1" s="228"/>
      <c r="BT1" s="228"/>
      <c r="BU1" s="228"/>
      <c r="BV1" s="228"/>
      <c r="BW1" s="228"/>
      <c r="BX1" s="228"/>
      <c r="BY1" s="228"/>
      <c r="BZ1" s="228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43"/>
      <c r="CZ1" s="43"/>
      <c r="DA1" s="44"/>
    </row>
    <row r="2" spans="1:105" ht="60" customHeight="1" x14ac:dyDescent="0.25">
      <c r="A2" s="281" t="s">
        <v>147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48" t="s">
        <v>150</v>
      </c>
      <c r="O2" s="48" t="s">
        <v>150</v>
      </c>
      <c r="P2" s="48" t="s">
        <v>150</v>
      </c>
      <c r="Q2" s="48" t="s">
        <v>150</v>
      </c>
      <c r="R2" s="48" t="s">
        <v>150</v>
      </c>
      <c r="S2" s="48" t="s">
        <v>150</v>
      </c>
      <c r="T2" s="48" t="s">
        <v>150</v>
      </c>
      <c r="U2" s="48" t="s">
        <v>150</v>
      </c>
      <c r="V2" s="48" t="s">
        <v>150</v>
      </c>
      <c r="W2" s="48" t="s">
        <v>150</v>
      </c>
      <c r="X2" s="48" t="s">
        <v>150</v>
      </c>
      <c r="Y2" s="48" t="s">
        <v>150</v>
      </c>
      <c r="Z2" s="48" t="s">
        <v>150</v>
      </c>
      <c r="AA2" s="48" t="s">
        <v>150</v>
      </c>
      <c r="AB2" s="48" t="s">
        <v>150</v>
      </c>
      <c r="AC2" s="64" t="s">
        <v>239</v>
      </c>
      <c r="AD2" s="64" t="s">
        <v>239</v>
      </c>
      <c r="AE2" s="64" t="s">
        <v>239</v>
      </c>
      <c r="AF2" s="64" t="s">
        <v>239</v>
      </c>
      <c r="AG2" s="60" t="s">
        <v>151</v>
      </c>
      <c r="AH2" s="27" t="s">
        <v>151</v>
      </c>
      <c r="AI2" s="27" t="s">
        <v>151</v>
      </c>
      <c r="AJ2" s="27" t="s">
        <v>151</v>
      </c>
      <c r="AK2" s="27" t="s">
        <v>151</v>
      </c>
      <c r="AL2" s="27" t="s">
        <v>151</v>
      </c>
      <c r="AM2" s="27" t="s">
        <v>151</v>
      </c>
      <c r="AN2" s="27" t="s">
        <v>151</v>
      </c>
      <c r="AO2" s="27" t="s">
        <v>151</v>
      </c>
      <c r="AP2" s="27" t="s">
        <v>151</v>
      </c>
      <c r="AQ2" s="27" t="s">
        <v>151</v>
      </c>
      <c r="AR2" s="27" t="s">
        <v>151</v>
      </c>
      <c r="AS2" s="27" t="s">
        <v>151</v>
      </c>
      <c r="AT2" s="27" t="s">
        <v>151</v>
      </c>
      <c r="AU2" s="27" t="s">
        <v>151</v>
      </c>
      <c r="AV2" s="27" t="s">
        <v>151</v>
      </c>
      <c r="AW2" s="27" t="s">
        <v>151</v>
      </c>
      <c r="AX2" s="27" t="s">
        <v>151</v>
      </c>
      <c r="AY2" s="27" t="s">
        <v>151</v>
      </c>
      <c r="AZ2" s="27" t="s">
        <v>151</v>
      </c>
      <c r="BA2" s="27" t="s">
        <v>151</v>
      </c>
      <c r="BB2" s="27" t="s">
        <v>151</v>
      </c>
      <c r="BC2" s="27" t="s">
        <v>151</v>
      </c>
      <c r="BD2" s="27" t="s">
        <v>151</v>
      </c>
      <c r="BE2" s="27" t="s">
        <v>151</v>
      </c>
      <c r="BF2" s="27" t="s">
        <v>151</v>
      </c>
      <c r="BG2" s="27" t="s">
        <v>151</v>
      </c>
      <c r="BH2" s="27" t="s">
        <v>152</v>
      </c>
      <c r="BI2" s="27" t="s">
        <v>152</v>
      </c>
      <c r="BJ2" s="27" t="s">
        <v>152</v>
      </c>
      <c r="BK2" s="27" t="s">
        <v>152</v>
      </c>
      <c r="BL2" s="27" t="s">
        <v>152</v>
      </c>
      <c r="BM2" s="27" t="s">
        <v>152</v>
      </c>
      <c r="BN2" s="27" t="s">
        <v>152</v>
      </c>
      <c r="BO2" s="27" t="s">
        <v>152</v>
      </c>
      <c r="BP2" s="28" t="s">
        <v>153</v>
      </c>
      <c r="BQ2" s="28" t="s">
        <v>153</v>
      </c>
      <c r="BR2" s="28" t="s">
        <v>153</v>
      </c>
      <c r="BS2" s="28" t="s">
        <v>153</v>
      </c>
      <c r="BT2" s="28" t="s">
        <v>153</v>
      </c>
      <c r="BU2" s="28" t="s">
        <v>153</v>
      </c>
      <c r="BV2" s="28" t="s">
        <v>153</v>
      </c>
      <c r="BW2" s="28" t="s">
        <v>153</v>
      </c>
      <c r="BX2" s="28" t="s">
        <v>153</v>
      </c>
      <c r="BY2" s="28" t="s">
        <v>153</v>
      </c>
      <c r="BZ2" s="28" t="s">
        <v>153</v>
      </c>
      <c r="CA2" s="28" t="s">
        <v>153</v>
      </c>
      <c r="CB2" s="28" t="s">
        <v>153</v>
      </c>
      <c r="CC2" s="28" t="s">
        <v>153</v>
      </c>
      <c r="CD2" s="28" t="s">
        <v>153</v>
      </c>
      <c r="CE2" s="28" t="s">
        <v>153</v>
      </c>
      <c r="CF2" s="28" t="s">
        <v>153</v>
      </c>
      <c r="CG2" s="28" t="s">
        <v>153</v>
      </c>
      <c r="CH2" s="28" t="s">
        <v>153</v>
      </c>
      <c r="CI2" s="28" t="s">
        <v>153</v>
      </c>
      <c r="CJ2" s="28" t="s">
        <v>153</v>
      </c>
      <c r="CK2" s="28" t="s">
        <v>153</v>
      </c>
      <c r="CL2" s="28" t="s">
        <v>153</v>
      </c>
      <c r="CM2" s="28" t="s">
        <v>153</v>
      </c>
      <c r="CN2" s="28" t="s">
        <v>153</v>
      </c>
      <c r="CO2" s="28" t="s">
        <v>153</v>
      </c>
      <c r="CP2" s="28" t="s">
        <v>153</v>
      </c>
      <c r="CQ2" s="28" t="s">
        <v>154</v>
      </c>
      <c r="CR2" s="28" t="s">
        <v>154</v>
      </c>
      <c r="CS2" s="28" t="s">
        <v>154</v>
      </c>
      <c r="CT2" s="28" t="s">
        <v>154</v>
      </c>
      <c r="CU2" s="28" t="s">
        <v>154</v>
      </c>
      <c r="CV2" s="28" t="s">
        <v>154</v>
      </c>
      <c r="CW2" s="28" t="s">
        <v>154</v>
      </c>
      <c r="CX2" s="28" t="s">
        <v>154</v>
      </c>
      <c r="CY2" s="29" t="s">
        <v>21</v>
      </c>
      <c r="CZ2" s="29" t="s">
        <v>156</v>
      </c>
      <c r="DA2" s="30" t="s">
        <v>158</v>
      </c>
    </row>
    <row r="3" spans="1:105" ht="192.75" x14ac:dyDescent="0.25">
      <c r="A3" s="31" t="s">
        <v>148</v>
      </c>
      <c r="B3" s="32" t="s">
        <v>149</v>
      </c>
      <c r="C3" s="33" t="s">
        <v>245</v>
      </c>
      <c r="D3" s="33" t="s">
        <v>246</v>
      </c>
      <c r="E3" s="33" t="s">
        <v>247</v>
      </c>
      <c r="F3" s="33" t="s">
        <v>243</v>
      </c>
      <c r="G3" s="33" t="s">
        <v>383</v>
      </c>
      <c r="H3" s="33" t="s">
        <v>385</v>
      </c>
      <c r="I3" s="33" t="s">
        <v>296</v>
      </c>
      <c r="J3" s="33" t="s">
        <v>325</v>
      </c>
      <c r="K3" s="33" t="s">
        <v>95</v>
      </c>
      <c r="L3" s="33" t="s">
        <v>253</v>
      </c>
      <c r="M3" s="33" t="s">
        <v>350</v>
      </c>
      <c r="N3" s="33" t="s">
        <v>351</v>
      </c>
      <c r="O3" s="33" t="s">
        <v>252</v>
      </c>
      <c r="P3" s="33" t="s">
        <v>564</v>
      </c>
      <c r="Q3" s="33" t="s">
        <v>423</v>
      </c>
      <c r="R3" s="33" t="s">
        <v>563</v>
      </c>
      <c r="S3" s="33" t="s">
        <v>576</v>
      </c>
      <c r="T3" s="33" t="s">
        <v>574</v>
      </c>
      <c r="U3" s="33" t="s">
        <v>571</v>
      </c>
      <c r="V3" s="33" t="s">
        <v>570</v>
      </c>
      <c r="W3" s="33" t="s">
        <v>285</v>
      </c>
      <c r="X3" s="33" t="s">
        <v>286</v>
      </c>
      <c r="Y3" s="33" t="s">
        <v>297</v>
      </c>
      <c r="Z3" s="33" t="s">
        <v>326</v>
      </c>
      <c r="AA3" s="33" t="s">
        <v>605</v>
      </c>
      <c r="AB3" s="33" t="s">
        <v>606</v>
      </c>
      <c r="AC3" s="33" t="s">
        <v>244</v>
      </c>
      <c r="AD3" s="33" t="s">
        <v>425</v>
      </c>
      <c r="AE3" s="33" t="s">
        <v>575</v>
      </c>
      <c r="AF3" s="33" t="s">
        <v>572</v>
      </c>
      <c r="AG3" s="34" t="s">
        <v>243</v>
      </c>
      <c r="AH3" s="34" t="s">
        <v>253</v>
      </c>
      <c r="AI3" s="34" t="s">
        <v>383</v>
      </c>
      <c r="AJ3" s="34" t="s">
        <v>385</v>
      </c>
      <c r="AK3" s="34" t="s">
        <v>123</v>
      </c>
      <c r="AL3" s="34" t="s">
        <v>124</v>
      </c>
      <c r="AM3" s="34" t="s">
        <v>125</v>
      </c>
      <c r="AN3" s="34" t="s">
        <v>252</v>
      </c>
      <c r="AO3" s="34" t="s">
        <v>325</v>
      </c>
      <c r="AP3" s="34" t="s">
        <v>285</v>
      </c>
      <c r="AQ3" s="34" t="s">
        <v>286</v>
      </c>
      <c r="AR3" s="34" t="s">
        <v>350</v>
      </c>
      <c r="AS3" s="34" t="s">
        <v>351</v>
      </c>
      <c r="AT3" s="34" t="s">
        <v>564</v>
      </c>
      <c r="AU3" s="34" t="s">
        <v>423</v>
      </c>
      <c r="AV3" s="34" t="s">
        <v>563</v>
      </c>
      <c r="AW3" s="34" t="s">
        <v>576</v>
      </c>
      <c r="AX3" s="34" t="s">
        <v>574</v>
      </c>
      <c r="AY3" s="34" t="s">
        <v>571</v>
      </c>
      <c r="AZ3" s="34" t="s">
        <v>603</v>
      </c>
      <c r="BA3" s="34" t="s">
        <v>604</v>
      </c>
      <c r="BB3" s="34" t="s">
        <v>605</v>
      </c>
      <c r="BC3" s="34" t="s">
        <v>606</v>
      </c>
      <c r="BD3" s="34" t="s">
        <v>566</v>
      </c>
      <c r="BE3" s="34" t="s">
        <v>567</v>
      </c>
      <c r="BF3" s="34" t="s">
        <v>565</v>
      </c>
      <c r="BG3" s="34" t="s">
        <v>326</v>
      </c>
      <c r="BH3" s="34" t="s">
        <v>53</v>
      </c>
      <c r="BI3" s="34" t="s">
        <v>54</v>
      </c>
      <c r="BJ3" s="34" t="s">
        <v>55</v>
      </c>
      <c r="BK3" s="34" t="s">
        <v>268</v>
      </c>
      <c r="BL3" s="34" t="s">
        <v>244</v>
      </c>
      <c r="BM3" s="34" t="s">
        <v>425</v>
      </c>
      <c r="BN3" s="34" t="s">
        <v>575</v>
      </c>
      <c r="BO3" s="34" t="s">
        <v>572</v>
      </c>
      <c r="BP3" s="35" t="s">
        <v>243</v>
      </c>
      <c r="BQ3" s="35" t="s">
        <v>253</v>
      </c>
      <c r="BR3" s="35" t="s">
        <v>383</v>
      </c>
      <c r="BS3" s="35" t="s">
        <v>385</v>
      </c>
      <c r="BT3" s="35" t="s">
        <v>123</v>
      </c>
      <c r="BU3" s="35" t="s">
        <v>124</v>
      </c>
      <c r="BV3" s="35" t="s">
        <v>125</v>
      </c>
      <c r="BW3" s="35" t="s">
        <v>252</v>
      </c>
      <c r="BX3" s="35" t="s">
        <v>325</v>
      </c>
      <c r="BY3" s="35" t="s">
        <v>285</v>
      </c>
      <c r="BZ3" s="35" t="s">
        <v>286</v>
      </c>
      <c r="CA3" s="35" t="s">
        <v>350</v>
      </c>
      <c r="CB3" s="35" t="s">
        <v>351</v>
      </c>
      <c r="CC3" s="35" t="s">
        <v>564</v>
      </c>
      <c r="CD3" s="35" t="s">
        <v>423</v>
      </c>
      <c r="CE3" s="35" t="s">
        <v>563</v>
      </c>
      <c r="CF3" s="35" t="s">
        <v>576</v>
      </c>
      <c r="CG3" s="35" t="s">
        <v>574</v>
      </c>
      <c r="CH3" s="35" t="s">
        <v>571</v>
      </c>
      <c r="CI3" s="35" t="s">
        <v>603</v>
      </c>
      <c r="CJ3" s="35" t="s">
        <v>604</v>
      </c>
      <c r="CK3" s="35" t="s">
        <v>605</v>
      </c>
      <c r="CL3" s="35" t="s">
        <v>606</v>
      </c>
      <c r="CM3" s="35" t="s">
        <v>566</v>
      </c>
      <c r="CN3" s="35" t="s">
        <v>567</v>
      </c>
      <c r="CO3" s="35" t="s">
        <v>565</v>
      </c>
      <c r="CP3" s="35" t="s">
        <v>326</v>
      </c>
      <c r="CQ3" s="35" t="s">
        <v>53</v>
      </c>
      <c r="CR3" s="35" t="s">
        <v>54</v>
      </c>
      <c r="CS3" s="35" t="s">
        <v>55</v>
      </c>
      <c r="CT3" s="35" t="s">
        <v>268</v>
      </c>
      <c r="CU3" s="35" t="s">
        <v>244</v>
      </c>
      <c r="CV3" s="35" t="s">
        <v>425</v>
      </c>
      <c r="CW3" s="35" t="s">
        <v>575</v>
      </c>
      <c r="CX3" s="35" t="s">
        <v>572</v>
      </c>
      <c r="CY3" s="29" t="s">
        <v>155</v>
      </c>
      <c r="CZ3" s="29" t="s">
        <v>157</v>
      </c>
      <c r="DA3" s="30"/>
    </row>
    <row r="4" spans="1:105" x14ac:dyDescent="0.25">
      <c r="A4" s="36">
        <v>1</v>
      </c>
      <c r="B4" s="46" t="s">
        <v>161</v>
      </c>
      <c r="C4" s="56">
        <v>0</v>
      </c>
      <c r="D4" s="56">
        <v>0</v>
      </c>
      <c r="E4" s="56">
        <v>0</v>
      </c>
      <c r="F4" s="56">
        <v>0</v>
      </c>
      <c r="G4" s="56">
        <v>-5</v>
      </c>
      <c r="H4" s="56">
        <v>-11</v>
      </c>
      <c r="I4" s="56">
        <v>0</v>
      </c>
      <c r="J4" s="56">
        <v>-1800</v>
      </c>
      <c r="K4" s="56">
        <v>20</v>
      </c>
      <c r="L4" s="56">
        <v>0</v>
      </c>
      <c r="M4" s="56">
        <v>0</v>
      </c>
      <c r="N4" s="56">
        <v>0</v>
      </c>
      <c r="O4" s="56">
        <v>0</v>
      </c>
      <c r="P4" s="56">
        <v>0</v>
      </c>
      <c r="Q4" s="56">
        <v>0</v>
      </c>
      <c r="R4" s="56">
        <v>0</v>
      </c>
      <c r="S4" s="56">
        <v>0</v>
      </c>
      <c r="T4" s="56">
        <v>0</v>
      </c>
      <c r="U4" s="56">
        <v>0</v>
      </c>
      <c r="V4" s="56">
        <v>0</v>
      </c>
      <c r="W4" s="56">
        <v>0</v>
      </c>
      <c r="X4" s="56">
        <v>0</v>
      </c>
      <c r="Y4" s="56">
        <v>0</v>
      </c>
      <c r="Z4" s="56">
        <v>-3960</v>
      </c>
      <c r="AA4" s="56">
        <v>0</v>
      </c>
      <c r="AB4" s="56">
        <v>0</v>
      </c>
      <c r="AC4" s="56">
        <v>0</v>
      </c>
      <c r="AD4" s="56">
        <v>0</v>
      </c>
      <c r="AE4" s="56">
        <v>0</v>
      </c>
      <c r="AF4" s="56">
        <v>0</v>
      </c>
      <c r="AG4" s="37" t="s">
        <v>159</v>
      </c>
      <c r="AH4" s="37" t="s">
        <v>159</v>
      </c>
      <c r="AI4" s="37" t="s">
        <v>159</v>
      </c>
      <c r="AJ4" s="37" t="s">
        <v>159</v>
      </c>
      <c r="AK4" s="37" t="s">
        <v>159</v>
      </c>
      <c r="AL4" s="37" t="s">
        <v>159</v>
      </c>
      <c r="AM4" s="37" t="s">
        <v>159</v>
      </c>
      <c r="AN4" s="37" t="s">
        <v>159</v>
      </c>
      <c r="AO4" s="37" t="s">
        <v>159</v>
      </c>
      <c r="AP4" s="37" t="s">
        <v>159</v>
      </c>
      <c r="AQ4" s="37" t="s">
        <v>159</v>
      </c>
      <c r="AR4" s="37" t="s">
        <v>159</v>
      </c>
      <c r="AS4" s="37" t="s">
        <v>159</v>
      </c>
      <c r="AT4" s="37" t="s">
        <v>159</v>
      </c>
      <c r="AU4" s="37" t="s">
        <v>159</v>
      </c>
      <c r="AV4" s="37" t="s">
        <v>159</v>
      </c>
      <c r="AW4" s="37" t="s">
        <v>159</v>
      </c>
      <c r="AX4" s="37" t="s">
        <v>159</v>
      </c>
      <c r="AY4" s="37" t="s">
        <v>159</v>
      </c>
      <c r="AZ4" s="37" t="s">
        <v>159</v>
      </c>
      <c r="BA4" s="37" t="s">
        <v>159</v>
      </c>
      <c r="BB4" s="37" t="s">
        <v>159</v>
      </c>
      <c r="BC4" s="37" t="s">
        <v>159</v>
      </c>
      <c r="BD4" s="37" t="s">
        <v>159</v>
      </c>
      <c r="BE4" s="37" t="s">
        <v>159</v>
      </c>
      <c r="BF4" s="37" t="s">
        <v>159</v>
      </c>
      <c r="BG4" s="37" t="s">
        <v>159</v>
      </c>
      <c r="BH4" s="37" t="s">
        <v>159</v>
      </c>
      <c r="BI4" s="37" t="s">
        <v>159</v>
      </c>
      <c r="BJ4" s="37" t="s">
        <v>159</v>
      </c>
      <c r="BK4" s="37" t="s">
        <v>159</v>
      </c>
      <c r="BL4" s="37" t="s">
        <v>159</v>
      </c>
      <c r="BM4" s="37" t="s">
        <v>159</v>
      </c>
      <c r="BN4" s="37" t="s">
        <v>159</v>
      </c>
      <c r="BO4" s="37" t="s">
        <v>159</v>
      </c>
      <c r="BP4" s="46">
        <v>0</v>
      </c>
      <c r="BQ4" s="46">
        <v>0</v>
      </c>
      <c r="BR4" s="46">
        <v>-5</v>
      </c>
      <c r="BS4" s="46">
        <v>-11</v>
      </c>
      <c r="BT4" s="46">
        <v>109</v>
      </c>
      <c r="BU4" s="46">
        <v>0</v>
      </c>
      <c r="BV4" s="46">
        <v>0</v>
      </c>
      <c r="BW4" s="46">
        <v>0</v>
      </c>
      <c r="BX4" s="46">
        <v>-1800</v>
      </c>
      <c r="BY4" s="46">
        <v>0</v>
      </c>
      <c r="BZ4" s="46">
        <v>0</v>
      </c>
      <c r="CA4" s="46">
        <v>0</v>
      </c>
      <c r="CB4" s="46">
        <v>0</v>
      </c>
      <c r="CC4" s="46">
        <v>1</v>
      </c>
      <c r="CD4" s="46">
        <v>0</v>
      </c>
      <c r="CE4" s="46">
        <v>0</v>
      </c>
      <c r="CF4" s="46">
        <v>0</v>
      </c>
      <c r="CG4" s="46">
        <v>0</v>
      </c>
      <c r="CH4" s="46">
        <v>0</v>
      </c>
      <c r="CI4" s="46">
        <v>0</v>
      </c>
      <c r="CJ4" s="46">
        <v>0</v>
      </c>
      <c r="CK4" s="46">
        <v>0</v>
      </c>
      <c r="CL4" s="46">
        <v>0</v>
      </c>
      <c r="CM4" s="46">
        <v>0</v>
      </c>
      <c r="CN4" s="46">
        <v>0</v>
      </c>
      <c r="CO4" s="46">
        <v>0</v>
      </c>
      <c r="CP4" s="46">
        <v>-3960</v>
      </c>
      <c r="CQ4" s="46">
        <v>1</v>
      </c>
      <c r="CR4" s="46">
        <v>1</v>
      </c>
      <c r="CS4" s="46">
        <v>1</v>
      </c>
      <c r="CT4" s="46">
        <v>1</v>
      </c>
      <c r="CU4" s="46">
        <v>1</v>
      </c>
      <c r="CV4" s="46">
        <v>1</v>
      </c>
      <c r="CW4" s="46">
        <v>0</v>
      </c>
      <c r="CX4" s="46">
        <v>0</v>
      </c>
      <c r="CY4" s="50" t="s">
        <v>159</v>
      </c>
      <c r="CZ4" s="37"/>
      <c r="DA4" s="38"/>
    </row>
    <row r="5" spans="1:105" x14ac:dyDescent="0.25">
      <c r="A5" s="36">
        <v>2</v>
      </c>
      <c r="B5" s="46" t="s">
        <v>162</v>
      </c>
      <c r="C5" s="56">
        <v>65535</v>
      </c>
      <c r="D5" s="56">
        <v>65535</v>
      </c>
      <c r="E5" s="56">
        <v>4</v>
      </c>
      <c r="F5" s="56">
        <v>31</v>
      </c>
      <c r="G5" s="56">
        <v>5</v>
      </c>
      <c r="H5" s="56">
        <v>11</v>
      </c>
      <c r="I5" s="56">
        <v>1</v>
      </c>
      <c r="J5" s="56">
        <v>2160</v>
      </c>
      <c r="K5" s="56">
        <v>340</v>
      </c>
      <c r="L5" s="56">
        <v>360</v>
      </c>
      <c r="M5" s="56">
        <v>1</v>
      </c>
      <c r="N5" s="56">
        <v>1</v>
      </c>
      <c r="O5" s="56">
        <v>360</v>
      </c>
      <c r="P5" s="56">
        <v>1</v>
      </c>
      <c r="Q5" s="56">
        <v>511</v>
      </c>
      <c r="R5" s="56">
        <v>1</v>
      </c>
      <c r="S5" s="56">
        <v>65535</v>
      </c>
      <c r="T5" s="56">
        <v>4294967295</v>
      </c>
      <c r="U5" s="56">
        <v>255</v>
      </c>
      <c r="V5" s="56">
        <v>255</v>
      </c>
      <c r="W5" s="56">
        <v>360</v>
      </c>
      <c r="X5" s="56">
        <v>360</v>
      </c>
      <c r="Y5" s="56">
        <v>1</v>
      </c>
      <c r="Z5" s="56">
        <v>4320</v>
      </c>
      <c r="AA5" s="56">
        <v>4</v>
      </c>
      <c r="AB5" s="252">
        <v>255</v>
      </c>
      <c r="AC5" s="56">
        <v>16</v>
      </c>
      <c r="AD5" s="56">
        <v>511</v>
      </c>
      <c r="AE5" s="56">
        <v>65535</v>
      </c>
      <c r="AF5" s="56">
        <v>4294967295</v>
      </c>
      <c r="AG5" s="37" t="s">
        <v>159</v>
      </c>
      <c r="AH5" s="37" t="s">
        <v>159</v>
      </c>
      <c r="AI5" s="37" t="s">
        <v>159</v>
      </c>
      <c r="AJ5" s="37" t="s">
        <v>159</v>
      </c>
      <c r="AK5" s="37" t="s">
        <v>159</v>
      </c>
      <c r="AL5" s="37" t="s">
        <v>159</v>
      </c>
      <c r="AM5" s="37" t="s">
        <v>159</v>
      </c>
      <c r="AN5" s="37" t="s">
        <v>159</v>
      </c>
      <c r="AO5" s="37" t="s">
        <v>159</v>
      </c>
      <c r="AP5" s="37" t="s">
        <v>159</v>
      </c>
      <c r="AQ5" s="37" t="s">
        <v>159</v>
      </c>
      <c r="AR5" s="37" t="s">
        <v>159</v>
      </c>
      <c r="AS5" s="37" t="s">
        <v>159</v>
      </c>
      <c r="AT5" s="37" t="s">
        <v>159</v>
      </c>
      <c r="AU5" s="37" t="s">
        <v>159</v>
      </c>
      <c r="AV5" s="37" t="s">
        <v>159</v>
      </c>
      <c r="AW5" s="37" t="s">
        <v>159</v>
      </c>
      <c r="AX5" s="37" t="s">
        <v>159</v>
      </c>
      <c r="AY5" s="37" t="s">
        <v>159</v>
      </c>
      <c r="AZ5" s="37" t="s">
        <v>159</v>
      </c>
      <c r="BA5" s="37" t="s">
        <v>159</v>
      </c>
      <c r="BB5" s="37" t="s">
        <v>159</v>
      </c>
      <c r="BC5" s="37" t="s">
        <v>159</v>
      </c>
      <c r="BD5" s="37" t="s">
        <v>159</v>
      </c>
      <c r="BE5" s="37" t="s">
        <v>159</v>
      </c>
      <c r="BF5" s="37" t="s">
        <v>159</v>
      </c>
      <c r="BG5" s="37" t="s">
        <v>159</v>
      </c>
      <c r="BH5" s="37" t="s">
        <v>159</v>
      </c>
      <c r="BI5" s="37" t="s">
        <v>159</v>
      </c>
      <c r="BJ5" s="37" t="s">
        <v>159</v>
      </c>
      <c r="BK5" s="37" t="s">
        <v>159</v>
      </c>
      <c r="BL5" s="37" t="s">
        <v>159</v>
      </c>
      <c r="BM5" s="37" t="s">
        <v>159</v>
      </c>
      <c r="BN5" s="37" t="s">
        <v>159</v>
      </c>
      <c r="BO5" s="37" t="s">
        <v>159</v>
      </c>
      <c r="BP5" s="46">
        <v>16</v>
      </c>
      <c r="BQ5" s="46">
        <v>360</v>
      </c>
      <c r="BR5" s="46">
        <v>5</v>
      </c>
      <c r="BS5" s="46">
        <v>11</v>
      </c>
      <c r="BT5" s="46">
        <v>48</v>
      </c>
      <c r="BU5" s="46">
        <v>113</v>
      </c>
      <c r="BV5" s="46">
        <v>107</v>
      </c>
      <c r="BW5" s="46">
        <v>360</v>
      </c>
      <c r="BX5" s="46">
        <v>2160</v>
      </c>
      <c r="BY5" s="46">
        <v>360</v>
      </c>
      <c r="BZ5" s="46">
        <v>360</v>
      </c>
      <c r="CA5" s="46">
        <v>1</v>
      </c>
      <c r="CB5" s="46">
        <v>1</v>
      </c>
      <c r="CC5" s="46">
        <v>1</v>
      </c>
      <c r="CD5" s="46">
        <v>511</v>
      </c>
      <c r="CE5" s="46">
        <v>1</v>
      </c>
      <c r="CF5" s="46">
        <v>65535</v>
      </c>
      <c r="CG5" s="46">
        <v>4294967295</v>
      </c>
      <c r="CH5" s="46">
        <v>254</v>
      </c>
      <c r="CI5" s="46">
        <v>0</v>
      </c>
      <c r="CJ5" s="46">
        <v>0</v>
      </c>
      <c r="CK5" s="46">
        <v>1</v>
      </c>
      <c r="CL5" s="46">
        <v>16</v>
      </c>
      <c r="CM5" s="46">
        <v>0</v>
      </c>
      <c r="CN5" s="46">
        <v>0</v>
      </c>
      <c r="CO5" s="46">
        <v>0</v>
      </c>
      <c r="CP5" s="46">
        <v>4320</v>
      </c>
      <c r="CQ5" s="46">
        <v>1</v>
      </c>
      <c r="CR5" s="46">
        <v>1</v>
      </c>
      <c r="CS5" s="46">
        <v>0</v>
      </c>
      <c r="CT5" s="46">
        <v>1</v>
      </c>
      <c r="CU5" s="46">
        <v>1</v>
      </c>
      <c r="CV5" s="46">
        <v>0</v>
      </c>
      <c r="CW5" s="46">
        <v>1</v>
      </c>
      <c r="CX5" s="46">
        <v>1</v>
      </c>
      <c r="CY5" s="50" t="s">
        <v>159</v>
      </c>
      <c r="CZ5" s="37"/>
      <c r="DA5" s="38"/>
    </row>
    <row r="6" spans="1:105" x14ac:dyDescent="0.25">
      <c r="A6" s="36">
        <v>3</v>
      </c>
      <c r="B6" s="46" t="s">
        <v>734</v>
      </c>
      <c r="C6" s="56">
        <v>0</v>
      </c>
      <c r="D6" s="46">
        <v>56640</v>
      </c>
      <c r="E6" s="46">
        <v>1</v>
      </c>
      <c r="F6" s="46">
        <v>2</v>
      </c>
      <c r="G6" s="46">
        <v>-4</v>
      </c>
      <c r="H6" s="46">
        <v>6</v>
      </c>
      <c r="I6" s="46">
        <v>0.12</v>
      </c>
      <c r="J6" s="46">
        <v>369</v>
      </c>
      <c r="K6" s="46">
        <v>88.398799999999994</v>
      </c>
      <c r="L6" s="46">
        <v>72.363500000000002</v>
      </c>
      <c r="M6" s="46">
        <v>1</v>
      </c>
      <c r="N6" s="46">
        <v>0</v>
      </c>
      <c r="O6" s="46">
        <v>277.74430000000001</v>
      </c>
      <c r="P6" s="46">
        <v>0</v>
      </c>
      <c r="Q6" s="46">
        <v>1</v>
      </c>
      <c r="R6" s="46">
        <v>0</v>
      </c>
      <c r="S6" s="46">
        <v>121</v>
      </c>
      <c r="T6" s="46">
        <v>2779873792</v>
      </c>
      <c r="U6" s="46">
        <v>129</v>
      </c>
      <c r="V6" s="46">
        <v>58</v>
      </c>
      <c r="W6" s="46">
        <v>278.17739999999998</v>
      </c>
      <c r="X6" s="46">
        <v>245.36619999999999</v>
      </c>
      <c r="Y6" s="46">
        <v>0</v>
      </c>
      <c r="Z6" s="46">
        <v>-440.4</v>
      </c>
      <c r="AA6" s="63">
        <v>1</v>
      </c>
      <c r="AB6" s="63">
        <v>2</v>
      </c>
      <c r="AC6" s="46">
        <v>1</v>
      </c>
      <c r="AD6" s="46">
        <v>11</v>
      </c>
      <c r="AE6" s="46">
        <v>8489</v>
      </c>
      <c r="AF6" s="46">
        <v>1549935104</v>
      </c>
      <c r="AG6" s="37" t="s">
        <v>159</v>
      </c>
      <c r="AH6" s="37" t="s">
        <v>159</v>
      </c>
      <c r="AI6" s="37" t="s">
        <v>159</v>
      </c>
      <c r="AJ6" s="37" t="s">
        <v>159</v>
      </c>
      <c r="AK6" s="37" t="s">
        <v>159</v>
      </c>
      <c r="AL6" s="37" t="s">
        <v>159</v>
      </c>
      <c r="AM6" s="37" t="s">
        <v>159</v>
      </c>
      <c r="AN6" s="37" t="s">
        <v>159</v>
      </c>
      <c r="AO6" s="37" t="s">
        <v>159</v>
      </c>
      <c r="AP6" s="37" t="s">
        <v>159</v>
      </c>
      <c r="AQ6" s="37" t="s">
        <v>159</v>
      </c>
      <c r="AR6" s="37" t="s">
        <v>159</v>
      </c>
      <c r="AS6" s="37" t="s">
        <v>159</v>
      </c>
      <c r="AT6" s="37" t="s">
        <v>159</v>
      </c>
      <c r="AU6" s="37" t="s">
        <v>159</v>
      </c>
      <c r="AV6" s="37" t="s">
        <v>159</v>
      </c>
      <c r="AW6" s="37" t="s">
        <v>159</v>
      </c>
      <c r="AX6" s="37" t="s">
        <v>159</v>
      </c>
      <c r="AY6" s="37" t="s">
        <v>159</v>
      </c>
      <c r="AZ6" s="37" t="s">
        <v>159</v>
      </c>
      <c r="BA6" s="37" t="s">
        <v>159</v>
      </c>
      <c r="BB6" s="37" t="s">
        <v>159</v>
      </c>
      <c r="BC6" s="37" t="s">
        <v>159</v>
      </c>
      <c r="BD6" s="37" t="s">
        <v>159</v>
      </c>
      <c r="BE6" s="37" t="s">
        <v>159</v>
      </c>
      <c r="BF6" s="37" t="s">
        <v>159</v>
      </c>
      <c r="BG6" s="37" t="s">
        <v>159</v>
      </c>
      <c r="BH6" s="37" t="s">
        <v>159</v>
      </c>
      <c r="BI6" s="37" t="s">
        <v>159</v>
      </c>
      <c r="BJ6" s="37" t="s">
        <v>159</v>
      </c>
      <c r="BK6" s="37" t="s">
        <v>159</v>
      </c>
      <c r="BL6" s="37" t="s">
        <v>159</v>
      </c>
      <c r="BM6" s="37" t="s">
        <v>159</v>
      </c>
      <c r="BN6" s="37" t="s">
        <v>159</v>
      </c>
      <c r="BO6" s="37" t="s">
        <v>159</v>
      </c>
      <c r="BP6" s="46">
        <v>1</v>
      </c>
      <c r="BQ6" s="46">
        <v>72.363500000000002</v>
      </c>
      <c r="BR6" s="46">
        <v>-4</v>
      </c>
      <c r="BS6" s="46">
        <v>6</v>
      </c>
      <c r="BT6" s="46">
        <v>23</v>
      </c>
      <c r="BU6" s="46">
        <v>78</v>
      </c>
      <c r="BV6" s="46">
        <v>44</v>
      </c>
      <c r="BW6" s="46">
        <v>277.74430000000001</v>
      </c>
      <c r="BX6" s="46">
        <v>369</v>
      </c>
      <c r="BY6" s="46">
        <v>278.17739999999998</v>
      </c>
      <c r="BZ6" s="46">
        <v>245.36619999999999</v>
      </c>
      <c r="CA6" s="46">
        <v>1</v>
      </c>
      <c r="CB6" s="46">
        <v>0</v>
      </c>
      <c r="CC6" s="46">
        <v>1</v>
      </c>
      <c r="CD6" s="46">
        <v>11</v>
      </c>
      <c r="CE6" s="46">
        <v>1</v>
      </c>
      <c r="CF6" s="46">
        <v>121</v>
      </c>
      <c r="CG6" s="46">
        <v>2779873792</v>
      </c>
      <c r="CH6" s="46">
        <v>128</v>
      </c>
      <c r="CI6" s="46">
        <v>0</v>
      </c>
      <c r="CJ6" s="46">
        <v>3392</v>
      </c>
      <c r="CK6" s="46">
        <v>1</v>
      </c>
      <c r="CL6" s="46">
        <v>65</v>
      </c>
      <c r="CM6" s="46">
        <v>1</v>
      </c>
      <c r="CN6" s="46">
        <v>1</v>
      </c>
      <c r="CO6" s="46">
        <v>0</v>
      </c>
      <c r="CP6" s="46">
        <v>-440.4</v>
      </c>
      <c r="CQ6" s="46">
        <v>1</v>
      </c>
      <c r="CR6" s="46">
        <v>1</v>
      </c>
      <c r="CS6" s="46">
        <v>0</v>
      </c>
      <c r="CT6" s="46">
        <v>1</v>
      </c>
      <c r="CU6" s="46">
        <v>1</v>
      </c>
      <c r="CV6" s="46">
        <v>1</v>
      </c>
      <c r="CW6" s="46">
        <v>0</v>
      </c>
      <c r="CX6" s="46">
        <v>0</v>
      </c>
      <c r="CY6" s="50" t="s">
        <v>159</v>
      </c>
      <c r="CZ6" s="37"/>
      <c r="DA6" s="38"/>
    </row>
    <row r="7" spans="1:105" x14ac:dyDescent="0.25">
      <c r="A7" s="36">
        <v>4</v>
      </c>
      <c r="B7" s="46" t="s">
        <v>735</v>
      </c>
      <c r="C7" s="56">
        <v>65535</v>
      </c>
      <c r="D7" s="46">
        <v>30565</v>
      </c>
      <c r="E7" s="46">
        <v>0</v>
      </c>
      <c r="F7" s="46">
        <v>7</v>
      </c>
      <c r="G7" s="46">
        <v>3</v>
      </c>
      <c r="H7" s="46">
        <v>-2</v>
      </c>
      <c r="I7" s="46">
        <v>0.24</v>
      </c>
      <c r="J7" s="46">
        <v>496</v>
      </c>
      <c r="K7" s="46">
        <v>64.129000000000005</v>
      </c>
      <c r="L7" s="46">
        <v>360</v>
      </c>
      <c r="M7" s="46">
        <v>1</v>
      </c>
      <c r="N7" s="46">
        <v>0</v>
      </c>
      <c r="O7" s="46">
        <v>182.20509999999999</v>
      </c>
      <c r="P7" s="46">
        <v>1</v>
      </c>
      <c r="Q7" s="46">
        <v>2</v>
      </c>
      <c r="R7" s="46">
        <v>0</v>
      </c>
      <c r="S7" s="46">
        <v>244</v>
      </c>
      <c r="T7" s="46">
        <v>1930575104</v>
      </c>
      <c r="U7" s="46">
        <v>174</v>
      </c>
      <c r="V7" s="46">
        <v>184</v>
      </c>
      <c r="W7" s="46">
        <v>184.43109999999999</v>
      </c>
      <c r="X7" s="46">
        <v>78.127600000000001</v>
      </c>
      <c r="Y7" s="46">
        <v>0</v>
      </c>
      <c r="Z7" s="46">
        <v>-336.52</v>
      </c>
      <c r="AA7" s="63">
        <v>0</v>
      </c>
      <c r="AB7" s="63">
        <v>7</v>
      </c>
      <c r="AC7" s="46">
        <v>2</v>
      </c>
      <c r="AD7" s="46">
        <v>31</v>
      </c>
      <c r="AE7" s="46">
        <v>26713</v>
      </c>
      <c r="AF7" s="46">
        <v>1501584640</v>
      </c>
      <c r="AG7" s="37" t="s">
        <v>159</v>
      </c>
      <c r="AH7" s="37" t="s">
        <v>159</v>
      </c>
      <c r="AI7" s="37" t="s">
        <v>159</v>
      </c>
      <c r="AJ7" s="37" t="s">
        <v>159</v>
      </c>
      <c r="AK7" s="37" t="s">
        <v>159</v>
      </c>
      <c r="AL7" s="37" t="s">
        <v>159</v>
      </c>
      <c r="AM7" s="37" t="s">
        <v>159</v>
      </c>
      <c r="AN7" s="37" t="s">
        <v>159</v>
      </c>
      <c r="AO7" s="37" t="s">
        <v>159</v>
      </c>
      <c r="AP7" s="37" t="s">
        <v>159</v>
      </c>
      <c r="AQ7" s="37" t="s">
        <v>159</v>
      </c>
      <c r="AR7" s="37" t="s">
        <v>159</v>
      </c>
      <c r="AS7" s="37" t="s">
        <v>159</v>
      </c>
      <c r="AT7" s="37" t="s">
        <v>159</v>
      </c>
      <c r="AU7" s="37" t="s">
        <v>159</v>
      </c>
      <c r="AV7" s="37" t="s">
        <v>159</v>
      </c>
      <c r="AW7" s="37" t="s">
        <v>159</v>
      </c>
      <c r="AX7" s="37" t="s">
        <v>159</v>
      </c>
      <c r="AY7" s="37" t="s">
        <v>159</v>
      </c>
      <c r="AZ7" s="37" t="s">
        <v>159</v>
      </c>
      <c r="BA7" s="37" t="s">
        <v>159</v>
      </c>
      <c r="BB7" s="37" t="s">
        <v>159</v>
      </c>
      <c r="BC7" s="37" t="s">
        <v>159</v>
      </c>
      <c r="BD7" s="37" t="s">
        <v>159</v>
      </c>
      <c r="BE7" s="37" t="s">
        <v>159</v>
      </c>
      <c r="BF7" s="37" t="s">
        <v>159</v>
      </c>
      <c r="BG7" s="37" t="s">
        <v>159</v>
      </c>
      <c r="BH7" s="37" t="s">
        <v>159</v>
      </c>
      <c r="BI7" s="37" t="s">
        <v>159</v>
      </c>
      <c r="BJ7" s="37" t="s">
        <v>159</v>
      </c>
      <c r="BK7" s="37" t="s">
        <v>159</v>
      </c>
      <c r="BL7" s="37" t="s">
        <v>159</v>
      </c>
      <c r="BM7" s="37" t="s">
        <v>159</v>
      </c>
      <c r="BN7" s="37" t="s">
        <v>159</v>
      </c>
      <c r="BO7" s="37" t="s">
        <v>159</v>
      </c>
      <c r="BP7" s="46">
        <v>2</v>
      </c>
      <c r="BQ7" s="46">
        <v>360</v>
      </c>
      <c r="BR7" s="46">
        <v>3</v>
      </c>
      <c r="BS7" s="46">
        <v>-2</v>
      </c>
      <c r="BT7" s="46">
        <v>20</v>
      </c>
      <c r="BU7" s="46">
        <v>32</v>
      </c>
      <c r="BV7" s="46">
        <v>112</v>
      </c>
      <c r="BW7" s="46">
        <v>182.20509999999999</v>
      </c>
      <c r="BX7" s="46">
        <v>496</v>
      </c>
      <c r="BY7" s="46">
        <v>184.43109999999999</v>
      </c>
      <c r="BZ7" s="46">
        <v>78.127600000000001</v>
      </c>
      <c r="CA7" s="46">
        <v>1</v>
      </c>
      <c r="CB7" s="46">
        <v>0</v>
      </c>
      <c r="CC7" s="46">
        <v>1</v>
      </c>
      <c r="CD7" s="46">
        <v>2</v>
      </c>
      <c r="CE7" s="46">
        <v>1</v>
      </c>
      <c r="CF7" s="46">
        <v>244</v>
      </c>
      <c r="CG7" s="46">
        <v>1930575104</v>
      </c>
      <c r="CH7" s="46">
        <v>173</v>
      </c>
      <c r="CI7" s="46">
        <v>0</v>
      </c>
      <c r="CJ7" s="46">
        <v>0</v>
      </c>
      <c r="CK7" s="46">
        <v>1</v>
      </c>
      <c r="CL7" s="46">
        <v>2</v>
      </c>
      <c r="CM7" s="46">
        <v>0</v>
      </c>
      <c r="CN7" s="46">
        <v>0</v>
      </c>
      <c r="CO7" s="46">
        <v>0</v>
      </c>
      <c r="CP7" s="46">
        <v>-336.52</v>
      </c>
      <c r="CQ7" s="46">
        <v>1</v>
      </c>
      <c r="CR7" s="46">
        <v>1</v>
      </c>
      <c r="CS7" s="46">
        <v>0</v>
      </c>
      <c r="CT7" s="46">
        <v>1</v>
      </c>
      <c r="CU7" s="46">
        <v>1</v>
      </c>
      <c r="CV7" s="46">
        <v>0</v>
      </c>
      <c r="CW7" s="46">
        <v>0</v>
      </c>
      <c r="CX7" s="46">
        <v>0</v>
      </c>
      <c r="CY7" s="50" t="s">
        <v>159</v>
      </c>
      <c r="CZ7" s="37"/>
      <c r="DA7" s="38"/>
    </row>
    <row r="8" spans="1:105" x14ac:dyDescent="0.25">
      <c r="A8" s="36">
        <v>5</v>
      </c>
      <c r="B8" s="46" t="s">
        <v>736</v>
      </c>
      <c r="C8" s="56">
        <v>6539</v>
      </c>
      <c r="D8" s="46">
        <v>32160</v>
      </c>
      <c r="E8" s="46">
        <v>4</v>
      </c>
      <c r="F8" s="46">
        <v>15</v>
      </c>
      <c r="G8" s="46">
        <v>-2</v>
      </c>
      <c r="H8" s="46">
        <v>6</v>
      </c>
      <c r="I8" s="46">
        <v>0.36</v>
      </c>
      <c r="J8" s="46">
        <v>-1166</v>
      </c>
      <c r="K8" s="46">
        <v>44.051200000000001</v>
      </c>
      <c r="L8" s="46">
        <v>97.6006</v>
      </c>
      <c r="M8" s="46">
        <v>0</v>
      </c>
      <c r="N8" s="46">
        <v>1</v>
      </c>
      <c r="O8" s="46">
        <v>312.18520000000001</v>
      </c>
      <c r="P8" s="46">
        <v>0</v>
      </c>
      <c r="Q8" s="46">
        <v>33</v>
      </c>
      <c r="R8" s="46">
        <v>0</v>
      </c>
      <c r="S8" s="46">
        <v>367</v>
      </c>
      <c r="T8" s="46">
        <v>2342259712</v>
      </c>
      <c r="U8" s="46">
        <v>168</v>
      </c>
      <c r="V8" s="46">
        <v>46</v>
      </c>
      <c r="W8" s="46">
        <v>294.93079999999998</v>
      </c>
      <c r="X8" s="46">
        <v>235.30250000000001</v>
      </c>
      <c r="Y8" s="46">
        <v>0.13</v>
      </c>
      <c r="Z8" s="46">
        <v>-232.64</v>
      </c>
      <c r="AA8" s="63">
        <v>4</v>
      </c>
      <c r="AB8" s="63">
        <v>15</v>
      </c>
      <c r="AC8" s="46">
        <v>3</v>
      </c>
      <c r="AD8" s="46">
        <v>51</v>
      </c>
      <c r="AE8" s="46">
        <v>13493</v>
      </c>
      <c r="AF8" s="46">
        <v>3100748800</v>
      </c>
      <c r="AG8" s="37" t="s">
        <v>159</v>
      </c>
      <c r="AH8" s="37" t="s">
        <v>159</v>
      </c>
      <c r="AI8" s="37" t="s">
        <v>159</v>
      </c>
      <c r="AJ8" s="37" t="s">
        <v>159</v>
      </c>
      <c r="AK8" s="37" t="s">
        <v>159</v>
      </c>
      <c r="AL8" s="37" t="s">
        <v>159</v>
      </c>
      <c r="AM8" s="37" t="s">
        <v>159</v>
      </c>
      <c r="AN8" s="37" t="s">
        <v>159</v>
      </c>
      <c r="AO8" s="37" t="s">
        <v>159</v>
      </c>
      <c r="AP8" s="37" t="s">
        <v>159</v>
      </c>
      <c r="AQ8" s="37" t="s">
        <v>159</v>
      </c>
      <c r="AR8" s="37" t="s">
        <v>159</v>
      </c>
      <c r="AS8" s="37" t="s">
        <v>159</v>
      </c>
      <c r="AT8" s="37" t="s">
        <v>159</v>
      </c>
      <c r="AU8" s="37" t="s">
        <v>159</v>
      </c>
      <c r="AV8" s="37" t="s">
        <v>159</v>
      </c>
      <c r="AW8" s="37" t="s">
        <v>159</v>
      </c>
      <c r="AX8" s="37" t="s">
        <v>159</v>
      </c>
      <c r="AY8" s="37" t="s">
        <v>159</v>
      </c>
      <c r="AZ8" s="37" t="s">
        <v>159</v>
      </c>
      <c r="BA8" s="37" t="s">
        <v>159</v>
      </c>
      <c r="BB8" s="37" t="s">
        <v>159</v>
      </c>
      <c r="BC8" s="37" t="s">
        <v>159</v>
      </c>
      <c r="BD8" s="37" t="s">
        <v>159</v>
      </c>
      <c r="BE8" s="37" t="s">
        <v>159</v>
      </c>
      <c r="BF8" s="37" t="s">
        <v>159</v>
      </c>
      <c r="BG8" s="37" t="s">
        <v>159</v>
      </c>
      <c r="BH8" s="37" t="s">
        <v>159</v>
      </c>
      <c r="BI8" s="37" t="s">
        <v>159</v>
      </c>
      <c r="BJ8" s="37" t="s">
        <v>159</v>
      </c>
      <c r="BK8" s="37" t="s">
        <v>159</v>
      </c>
      <c r="BL8" s="37" t="s">
        <v>159</v>
      </c>
      <c r="BM8" s="37" t="s">
        <v>159</v>
      </c>
      <c r="BN8" s="37" t="s">
        <v>159</v>
      </c>
      <c r="BO8" s="37" t="s">
        <v>159</v>
      </c>
      <c r="BP8" s="46">
        <v>3</v>
      </c>
      <c r="BQ8" s="46">
        <v>97.6006</v>
      </c>
      <c r="BR8" s="46">
        <v>-2</v>
      </c>
      <c r="BS8" s="46">
        <v>6</v>
      </c>
      <c r="BT8" s="46">
        <v>120</v>
      </c>
      <c r="BU8" s="46">
        <v>40</v>
      </c>
      <c r="BV8" s="46">
        <v>74</v>
      </c>
      <c r="BW8" s="46">
        <v>312.18520000000001</v>
      </c>
      <c r="BX8" s="46">
        <v>-1166</v>
      </c>
      <c r="BY8" s="46">
        <v>294.93079999999998</v>
      </c>
      <c r="BZ8" s="46">
        <v>235.30250000000001</v>
      </c>
      <c r="CA8" s="46">
        <v>0</v>
      </c>
      <c r="CB8" s="46">
        <v>1</v>
      </c>
      <c r="CC8" s="46">
        <v>1</v>
      </c>
      <c r="CD8" s="46">
        <v>51</v>
      </c>
      <c r="CE8" s="46">
        <v>1</v>
      </c>
      <c r="CF8" s="46">
        <v>367</v>
      </c>
      <c r="CG8" s="46">
        <v>2342259712</v>
      </c>
      <c r="CH8" s="46">
        <v>167</v>
      </c>
      <c r="CI8" s="46">
        <v>0</v>
      </c>
      <c r="CJ8" s="46">
        <v>0</v>
      </c>
      <c r="CK8" s="46">
        <v>1</v>
      </c>
      <c r="CL8" s="46">
        <v>3</v>
      </c>
      <c r="CM8" s="46">
        <v>0</v>
      </c>
      <c r="CN8" s="46">
        <v>0</v>
      </c>
      <c r="CO8" s="46">
        <v>0</v>
      </c>
      <c r="CP8" s="46">
        <v>-232.64</v>
      </c>
      <c r="CQ8" s="46">
        <v>1</v>
      </c>
      <c r="CR8" s="46">
        <v>1</v>
      </c>
      <c r="CS8" s="46">
        <v>0</v>
      </c>
      <c r="CT8" s="46">
        <v>1</v>
      </c>
      <c r="CU8" s="46">
        <v>1</v>
      </c>
      <c r="CV8" s="46">
        <v>1</v>
      </c>
      <c r="CW8" s="46">
        <v>0</v>
      </c>
      <c r="CX8" s="46">
        <v>0</v>
      </c>
      <c r="CY8" s="50" t="s">
        <v>159</v>
      </c>
      <c r="CZ8" s="37"/>
      <c r="DA8" s="38"/>
    </row>
    <row r="9" spans="1:105" x14ac:dyDescent="0.25">
      <c r="A9" s="36">
        <v>6</v>
      </c>
      <c r="B9" s="46" t="s">
        <v>737</v>
      </c>
      <c r="C9" s="46">
        <v>52502</v>
      </c>
      <c r="D9" s="56">
        <v>0</v>
      </c>
      <c r="E9" s="46">
        <v>4</v>
      </c>
      <c r="F9" s="46">
        <v>5</v>
      </c>
      <c r="G9" s="46">
        <v>0</v>
      </c>
      <c r="H9" s="46">
        <v>-3</v>
      </c>
      <c r="I9" s="46">
        <v>0.48</v>
      </c>
      <c r="J9" s="46">
        <v>-1496</v>
      </c>
      <c r="K9" s="46">
        <v>282.63330000000002</v>
      </c>
      <c r="L9" s="46">
        <v>51.710299999999997</v>
      </c>
      <c r="M9" s="46">
        <v>0</v>
      </c>
      <c r="N9" s="46">
        <v>1</v>
      </c>
      <c r="O9" s="46">
        <v>279.34480000000002</v>
      </c>
      <c r="P9" s="46">
        <v>0</v>
      </c>
      <c r="Q9" s="46">
        <v>112</v>
      </c>
      <c r="R9" s="46">
        <v>0</v>
      </c>
      <c r="S9" s="46">
        <v>490</v>
      </c>
      <c r="T9" s="46">
        <v>1878695680</v>
      </c>
      <c r="U9" s="46">
        <v>230</v>
      </c>
      <c r="V9" s="46">
        <v>176</v>
      </c>
      <c r="W9" s="46">
        <v>1.8366</v>
      </c>
      <c r="X9" s="46">
        <v>323.58780000000002</v>
      </c>
      <c r="Y9" s="46">
        <v>0.33</v>
      </c>
      <c r="Z9" s="46">
        <v>-128.76</v>
      </c>
      <c r="AA9" s="63">
        <v>4</v>
      </c>
      <c r="AB9" s="63">
        <v>5</v>
      </c>
      <c r="AC9" s="46">
        <v>4</v>
      </c>
      <c r="AD9" s="46">
        <v>71</v>
      </c>
      <c r="AE9" s="46">
        <v>39389</v>
      </c>
      <c r="AF9" s="46">
        <v>1188675328</v>
      </c>
      <c r="AG9" s="37" t="s">
        <v>159</v>
      </c>
      <c r="AH9" s="37" t="s">
        <v>159</v>
      </c>
      <c r="AI9" s="37" t="s">
        <v>159</v>
      </c>
      <c r="AJ9" s="37" t="s">
        <v>159</v>
      </c>
      <c r="AK9" s="37" t="s">
        <v>159</v>
      </c>
      <c r="AL9" s="37" t="s">
        <v>159</v>
      </c>
      <c r="AM9" s="37" t="s">
        <v>159</v>
      </c>
      <c r="AN9" s="37" t="s">
        <v>159</v>
      </c>
      <c r="AO9" s="37" t="s">
        <v>159</v>
      </c>
      <c r="AP9" s="37" t="s">
        <v>159</v>
      </c>
      <c r="AQ9" s="37" t="s">
        <v>159</v>
      </c>
      <c r="AR9" s="37" t="s">
        <v>159</v>
      </c>
      <c r="AS9" s="37" t="s">
        <v>159</v>
      </c>
      <c r="AT9" s="37" t="s">
        <v>159</v>
      </c>
      <c r="AU9" s="37" t="s">
        <v>159</v>
      </c>
      <c r="AV9" s="37" t="s">
        <v>159</v>
      </c>
      <c r="AW9" s="37" t="s">
        <v>159</v>
      </c>
      <c r="AX9" s="37" t="s">
        <v>159</v>
      </c>
      <c r="AY9" s="37" t="s">
        <v>159</v>
      </c>
      <c r="AZ9" s="37" t="s">
        <v>159</v>
      </c>
      <c r="BA9" s="37" t="s">
        <v>159</v>
      </c>
      <c r="BB9" s="37" t="s">
        <v>159</v>
      </c>
      <c r="BC9" s="37" t="s">
        <v>159</v>
      </c>
      <c r="BD9" s="37" t="s">
        <v>159</v>
      </c>
      <c r="BE9" s="37" t="s">
        <v>159</v>
      </c>
      <c r="BF9" s="37" t="s">
        <v>159</v>
      </c>
      <c r="BG9" s="37" t="s">
        <v>159</v>
      </c>
      <c r="BH9" s="37" t="s">
        <v>159</v>
      </c>
      <c r="BI9" s="37" t="s">
        <v>159</v>
      </c>
      <c r="BJ9" s="37" t="s">
        <v>159</v>
      </c>
      <c r="BK9" s="37" t="s">
        <v>159</v>
      </c>
      <c r="BL9" s="37" t="s">
        <v>159</v>
      </c>
      <c r="BM9" s="37" t="s">
        <v>159</v>
      </c>
      <c r="BN9" s="37" t="s">
        <v>159</v>
      </c>
      <c r="BO9" s="37" t="s">
        <v>159</v>
      </c>
      <c r="BP9" s="46">
        <v>4</v>
      </c>
      <c r="BQ9" s="46">
        <v>51.710299999999997</v>
      </c>
      <c r="BR9" s="46">
        <v>0</v>
      </c>
      <c r="BS9" s="46">
        <v>-3</v>
      </c>
      <c r="BT9" s="46">
        <v>52</v>
      </c>
      <c r="BU9" s="46">
        <v>87</v>
      </c>
      <c r="BV9" s="46">
        <v>39</v>
      </c>
      <c r="BW9" s="46">
        <v>279.34480000000002</v>
      </c>
      <c r="BX9" s="46">
        <v>-1496</v>
      </c>
      <c r="BY9" s="46">
        <v>1.8366</v>
      </c>
      <c r="BZ9" s="46">
        <v>323.58780000000002</v>
      </c>
      <c r="CA9" s="46">
        <v>0</v>
      </c>
      <c r="CB9" s="46">
        <v>1</v>
      </c>
      <c r="CC9" s="46">
        <v>1</v>
      </c>
      <c r="CD9" s="46">
        <v>71</v>
      </c>
      <c r="CE9" s="46">
        <v>1</v>
      </c>
      <c r="CF9" s="46">
        <v>490</v>
      </c>
      <c r="CG9" s="46">
        <v>1878695680</v>
      </c>
      <c r="CH9" s="46">
        <v>229</v>
      </c>
      <c r="CI9" s="46">
        <v>0</v>
      </c>
      <c r="CJ9" s="46">
        <v>0</v>
      </c>
      <c r="CK9" s="46">
        <v>1</v>
      </c>
      <c r="CL9" s="46">
        <v>4</v>
      </c>
      <c r="CM9" s="46">
        <v>0</v>
      </c>
      <c r="CN9" s="46">
        <v>0</v>
      </c>
      <c r="CO9" s="46">
        <v>0</v>
      </c>
      <c r="CP9" s="46">
        <v>-128.76</v>
      </c>
      <c r="CQ9" s="46">
        <v>1</v>
      </c>
      <c r="CR9" s="46">
        <v>1</v>
      </c>
      <c r="CS9" s="46">
        <v>0</v>
      </c>
      <c r="CT9" s="46">
        <v>1</v>
      </c>
      <c r="CU9" s="46">
        <v>1</v>
      </c>
      <c r="CV9" s="46">
        <v>1</v>
      </c>
      <c r="CW9" s="46">
        <v>0</v>
      </c>
      <c r="CX9" s="46">
        <v>0</v>
      </c>
      <c r="CY9" s="50" t="s">
        <v>159</v>
      </c>
      <c r="CZ9" s="37"/>
      <c r="DA9" s="38"/>
    </row>
    <row r="10" spans="1:105" x14ac:dyDescent="0.25">
      <c r="A10" s="36">
        <v>7</v>
      </c>
      <c r="B10" s="46" t="s">
        <v>738</v>
      </c>
      <c r="C10" s="46">
        <v>35974</v>
      </c>
      <c r="D10" s="56">
        <v>65535</v>
      </c>
      <c r="E10" s="46">
        <v>3</v>
      </c>
      <c r="F10" s="46">
        <v>24</v>
      </c>
      <c r="G10" s="46">
        <v>-2</v>
      </c>
      <c r="H10" s="46">
        <v>6</v>
      </c>
      <c r="I10" s="46">
        <v>0.6</v>
      </c>
      <c r="J10" s="46">
        <v>-654</v>
      </c>
      <c r="K10" s="46">
        <v>295.77890000000002</v>
      </c>
      <c r="L10" s="46">
        <v>144.32220000000001</v>
      </c>
      <c r="M10" s="46">
        <v>0</v>
      </c>
      <c r="N10" s="46">
        <v>1</v>
      </c>
      <c r="O10" s="46">
        <v>6.0034999999999998</v>
      </c>
      <c r="P10" s="46">
        <v>0</v>
      </c>
      <c r="Q10" s="46">
        <v>191</v>
      </c>
      <c r="R10" s="46">
        <v>0</v>
      </c>
      <c r="S10" s="46">
        <v>613</v>
      </c>
      <c r="T10" s="46">
        <v>686482944</v>
      </c>
      <c r="U10" s="46">
        <v>153</v>
      </c>
      <c r="V10" s="46">
        <v>107</v>
      </c>
      <c r="W10" s="46">
        <v>21.342400000000001</v>
      </c>
      <c r="X10" s="46">
        <v>161.73949999999999</v>
      </c>
      <c r="Y10" s="46">
        <v>0.53</v>
      </c>
      <c r="Z10" s="46">
        <v>-24.88</v>
      </c>
      <c r="AA10" s="63">
        <v>3</v>
      </c>
      <c r="AB10" s="63">
        <v>24</v>
      </c>
      <c r="AC10" s="46">
        <v>5</v>
      </c>
      <c r="AD10" s="46">
        <v>91</v>
      </c>
      <c r="AE10" s="46">
        <v>64432</v>
      </c>
      <c r="AF10" s="46">
        <v>2295170560</v>
      </c>
      <c r="AG10" s="37" t="s">
        <v>159</v>
      </c>
      <c r="AH10" s="37" t="s">
        <v>159</v>
      </c>
      <c r="AI10" s="37" t="s">
        <v>159</v>
      </c>
      <c r="AJ10" s="37" t="s">
        <v>159</v>
      </c>
      <c r="AK10" s="37" t="s">
        <v>159</v>
      </c>
      <c r="AL10" s="37" t="s">
        <v>159</v>
      </c>
      <c r="AM10" s="37" t="s">
        <v>159</v>
      </c>
      <c r="AN10" s="37" t="s">
        <v>159</v>
      </c>
      <c r="AO10" s="37" t="s">
        <v>159</v>
      </c>
      <c r="AP10" s="37" t="s">
        <v>159</v>
      </c>
      <c r="AQ10" s="37" t="s">
        <v>159</v>
      </c>
      <c r="AR10" s="37" t="s">
        <v>159</v>
      </c>
      <c r="AS10" s="37" t="s">
        <v>159</v>
      </c>
      <c r="AT10" s="37" t="s">
        <v>159</v>
      </c>
      <c r="AU10" s="37" t="s">
        <v>159</v>
      </c>
      <c r="AV10" s="37" t="s">
        <v>159</v>
      </c>
      <c r="AW10" s="37" t="s">
        <v>159</v>
      </c>
      <c r="AX10" s="37" t="s">
        <v>159</v>
      </c>
      <c r="AY10" s="37" t="s">
        <v>159</v>
      </c>
      <c r="AZ10" s="37" t="s">
        <v>159</v>
      </c>
      <c r="BA10" s="37" t="s">
        <v>159</v>
      </c>
      <c r="BB10" s="37" t="s">
        <v>159</v>
      </c>
      <c r="BC10" s="37" t="s">
        <v>159</v>
      </c>
      <c r="BD10" s="37" t="s">
        <v>159</v>
      </c>
      <c r="BE10" s="37" t="s">
        <v>159</v>
      </c>
      <c r="BF10" s="37" t="s">
        <v>159</v>
      </c>
      <c r="BG10" s="37" t="s">
        <v>159</v>
      </c>
      <c r="BH10" s="37" t="s">
        <v>159</v>
      </c>
      <c r="BI10" s="37" t="s">
        <v>159</v>
      </c>
      <c r="BJ10" s="37" t="s">
        <v>159</v>
      </c>
      <c r="BK10" s="37" t="s">
        <v>159</v>
      </c>
      <c r="BL10" s="37" t="s">
        <v>159</v>
      </c>
      <c r="BM10" s="37" t="s">
        <v>159</v>
      </c>
      <c r="BN10" s="37" t="s">
        <v>159</v>
      </c>
      <c r="BO10" s="37" t="s">
        <v>159</v>
      </c>
      <c r="BP10" s="46">
        <v>5</v>
      </c>
      <c r="BQ10" s="46">
        <v>144.32220000000001</v>
      </c>
      <c r="BR10" s="46">
        <v>-2</v>
      </c>
      <c r="BS10" s="46">
        <v>6</v>
      </c>
      <c r="BT10" s="46">
        <v>67</v>
      </c>
      <c r="BU10" s="46">
        <v>67</v>
      </c>
      <c r="BV10" s="46">
        <v>37</v>
      </c>
      <c r="BW10" s="46">
        <v>6.0034999999999998</v>
      </c>
      <c r="BX10" s="46">
        <v>-654</v>
      </c>
      <c r="BY10" s="46">
        <v>21.342400000000001</v>
      </c>
      <c r="BZ10" s="46">
        <v>161.73949999999999</v>
      </c>
      <c r="CA10" s="46">
        <v>0</v>
      </c>
      <c r="CB10" s="46">
        <v>1</v>
      </c>
      <c r="CC10" s="46">
        <v>1</v>
      </c>
      <c r="CD10" s="46">
        <v>91</v>
      </c>
      <c r="CE10" s="46">
        <v>1</v>
      </c>
      <c r="CF10" s="46">
        <v>613</v>
      </c>
      <c r="CG10" s="46">
        <v>686482944</v>
      </c>
      <c r="CH10" s="46">
        <v>152</v>
      </c>
      <c r="CI10" s="46">
        <v>0</v>
      </c>
      <c r="CJ10" s="46">
        <v>0</v>
      </c>
      <c r="CK10" s="46">
        <v>1</v>
      </c>
      <c r="CL10" s="46">
        <v>5</v>
      </c>
      <c r="CM10" s="46">
        <v>0</v>
      </c>
      <c r="CN10" s="46">
        <v>0</v>
      </c>
      <c r="CO10" s="46">
        <v>0</v>
      </c>
      <c r="CP10" s="46">
        <v>-24.88</v>
      </c>
      <c r="CQ10" s="46">
        <v>1</v>
      </c>
      <c r="CR10" s="46">
        <v>1</v>
      </c>
      <c r="CS10" s="46">
        <v>0</v>
      </c>
      <c r="CT10" s="46">
        <v>1</v>
      </c>
      <c r="CU10" s="46">
        <v>1</v>
      </c>
      <c r="CV10" s="46">
        <v>1</v>
      </c>
      <c r="CW10" s="46">
        <v>0</v>
      </c>
      <c r="CX10" s="46">
        <v>0</v>
      </c>
      <c r="CY10" s="50" t="s">
        <v>159</v>
      </c>
      <c r="CZ10" s="37"/>
      <c r="DA10" s="38"/>
    </row>
    <row r="11" spans="1:105" x14ac:dyDescent="0.25">
      <c r="A11" s="36">
        <v>8</v>
      </c>
      <c r="B11" s="46" t="s">
        <v>739</v>
      </c>
      <c r="C11" s="46">
        <v>8273</v>
      </c>
      <c r="D11" s="56">
        <v>1299</v>
      </c>
      <c r="E11" s="46">
        <v>3</v>
      </c>
      <c r="F11" s="46">
        <v>2</v>
      </c>
      <c r="G11" s="46">
        <v>-5</v>
      </c>
      <c r="H11" s="46">
        <v>-11</v>
      </c>
      <c r="I11" s="46">
        <v>0.72</v>
      </c>
      <c r="J11" s="46">
        <v>1964</v>
      </c>
      <c r="K11" s="46">
        <v>55.854100000000003</v>
      </c>
      <c r="L11" s="46">
        <v>69.350700000000003</v>
      </c>
      <c r="M11" s="46">
        <v>1</v>
      </c>
      <c r="N11" s="46">
        <v>1</v>
      </c>
      <c r="O11" s="46">
        <v>204.30250000000001</v>
      </c>
      <c r="P11" s="46">
        <v>0</v>
      </c>
      <c r="Q11" s="46">
        <v>270</v>
      </c>
      <c r="R11" s="46">
        <v>0</v>
      </c>
      <c r="S11" s="46">
        <v>736</v>
      </c>
      <c r="T11" s="46">
        <v>4227207424</v>
      </c>
      <c r="U11" s="46">
        <v>108</v>
      </c>
      <c r="V11" s="46">
        <v>172</v>
      </c>
      <c r="W11" s="46">
        <v>82.842500000000001</v>
      </c>
      <c r="X11" s="46">
        <v>44.949399999999997</v>
      </c>
      <c r="Y11" s="46">
        <v>0.73</v>
      </c>
      <c r="Z11" s="46">
        <v>79</v>
      </c>
      <c r="AA11" s="63">
        <v>3</v>
      </c>
      <c r="AB11" s="63">
        <v>2</v>
      </c>
      <c r="AC11" s="46">
        <v>6</v>
      </c>
      <c r="AD11" s="46">
        <v>111</v>
      </c>
      <c r="AE11" s="46">
        <v>21076</v>
      </c>
      <c r="AF11" s="46">
        <v>785264896</v>
      </c>
      <c r="AG11" s="37" t="s">
        <v>159</v>
      </c>
      <c r="AH11" s="37" t="s">
        <v>159</v>
      </c>
      <c r="AI11" s="37" t="s">
        <v>159</v>
      </c>
      <c r="AJ11" s="37" t="s">
        <v>159</v>
      </c>
      <c r="AK11" s="37" t="s">
        <v>159</v>
      </c>
      <c r="AL11" s="37" t="s">
        <v>159</v>
      </c>
      <c r="AM11" s="37" t="s">
        <v>159</v>
      </c>
      <c r="AN11" s="37" t="s">
        <v>159</v>
      </c>
      <c r="AO11" s="37" t="s">
        <v>159</v>
      </c>
      <c r="AP11" s="37" t="s">
        <v>159</v>
      </c>
      <c r="AQ11" s="37" t="s">
        <v>159</v>
      </c>
      <c r="AR11" s="37" t="s">
        <v>159</v>
      </c>
      <c r="AS11" s="37" t="s">
        <v>159</v>
      </c>
      <c r="AT11" s="37" t="s">
        <v>159</v>
      </c>
      <c r="AU11" s="37" t="s">
        <v>159</v>
      </c>
      <c r="AV11" s="37" t="s">
        <v>159</v>
      </c>
      <c r="AW11" s="37" t="s">
        <v>159</v>
      </c>
      <c r="AX11" s="37" t="s">
        <v>159</v>
      </c>
      <c r="AY11" s="37" t="s">
        <v>159</v>
      </c>
      <c r="AZ11" s="37" t="s">
        <v>159</v>
      </c>
      <c r="BA11" s="37" t="s">
        <v>159</v>
      </c>
      <c r="BB11" s="37" t="s">
        <v>159</v>
      </c>
      <c r="BC11" s="37" t="s">
        <v>159</v>
      </c>
      <c r="BD11" s="37" t="s">
        <v>159</v>
      </c>
      <c r="BE11" s="37" t="s">
        <v>159</v>
      </c>
      <c r="BF11" s="37" t="s">
        <v>159</v>
      </c>
      <c r="BG11" s="37" t="s">
        <v>159</v>
      </c>
      <c r="BH11" s="37" t="s">
        <v>159</v>
      </c>
      <c r="BI11" s="37" t="s">
        <v>159</v>
      </c>
      <c r="BJ11" s="37" t="s">
        <v>159</v>
      </c>
      <c r="BK11" s="37" t="s">
        <v>159</v>
      </c>
      <c r="BL11" s="37" t="s">
        <v>159</v>
      </c>
      <c r="BM11" s="37" t="s">
        <v>159</v>
      </c>
      <c r="BN11" s="37" t="s">
        <v>159</v>
      </c>
      <c r="BO11" s="37" t="s">
        <v>159</v>
      </c>
      <c r="BP11" s="46">
        <v>6</v>
      </c>
      <c r="BQ11" s="46">
        <v>69.350700000000003</v>
      </c>
      <c r="BR11" s="46">
        <v>-5</v>
      </c>
      <c r="BS11" s="46">
        <v>-11</v>
      </c>
      <c r="BT11" s="46">
        <v>50</v>
      </c>
      <c r="BU11" s="46">
        <v>88</v>
      </c>
      <c r="BV11" s="46">
        <v>79</v>
      </c>
      <c r="BW11" s="46">
        <v>204.30250000000001</v>
      </c>
      <c r="BX11" s="46">
        <v>1964</v>
      </c>
      <c r="BY11" s="46">
        <v>82.842500000000001</v>
      </c>
      <c r="BZ11" s="46">
        <v>44.949399999999997</v>
      </c>
      <c r="CA11" s="46">
        <v>1</v>
      </c>
      <c r="CB11" s="46">
        <v>1</v>
      </c>
      <c r="CC11" s="46">
        <v>1</v>
      </c>
      <c r="CD11" s="46">
        <v>111</v>
      </c>
      <c r="CE11" s="46">
        <v>1</v>
      </c>
      <c r="CF11" s="46">
        <v>736</v>
      </c>
      <c r="CG11" s="46">
        <v>4227207424</v>
      </c>
      <c r="CH11" s="46">
        <v>107</v>
      </c>
      <c r="CI11" s="46">
        <v>0</v>
      </c>
      <c r="CJ11" s="46">
        <v>0</v>
      </c>
      <c r="CK11" s="46">
        <v>1</v>
      </c>
      <c r="CL11" s="46">
        <v>6</v>
      </c>
      <c r="CM11" s="46">
        <v>0</v>
      </c>
      <c r="CN11" s="46">
        <v>0</v>
      </c>
      <c r="CO11" s="46">
        <v>0</v>
      </c>
      <c r="CP11" s="46">
        <v>79</v>
      </c>
      <c r="CQ11" s="46">
        <v>1</v>
      </c>
      <c r="CR11" s="46">
        <v>1</v>
      </c>
      <c r="CS11" s="46">
        <v>0</v>
      </c>
      <c r="CT11" s="46">
        <v>1</v>
      </c>
      <c r="CU11" s="46">
        <v>1</v>
      </c>
      <c r="CV11" s="46">
        <v>1</v>
      </c>
      <c r="CW11" s="46">
        <v>0</v>
      </c>
      <c r="CX11" s="46">
        <v>0</v>
      </c>
      <c r="CY11" s="50" t="s">
        <v>159</v>
      </c>
      <c r="CZ11" s="37"/>
      <c r="DA11" s="38"/>
    </row>
    <row r="12" spans="1:105" x14ac:dyDescent="0.25">
      <c r="A12" s="36">
        <v>9</v>
      </c>
      <c r="B12" s="46" t="s">
        <v>688</v>
      </c>
      <c r="C12" s="46">
        <v>24220</v>
      </c>
      <c r="D12" s="46">
        <v>18625</v>
      </c>
      <c r="E12" s="56">
        <v>0</v>
      </c>
      <c r="F12" s="46">
        <v>10</v>
      </c>
      <c r="G12" s="46">
        <v>1</v>
      </c>
      <c r="H12" s="46">
        <v>-6</v>
      </c>
      <c r="I12" s="46">
        <v>0.84</v>
      </c>
      <c r="J12" s="46">
        <v>220</v>
      </c>
      <c r="K12" s="46">
        <v>233.52950000000001</v>
      </c>
      <c r="L12" s="46">
        <v>204.61</v>
      </c>
      <c r="M12" s="46">
        <v>1</v>
      </c>
      <c r="N12" s="46">
        <v>0</v>
      </c>
      <c r="O12" s="46">
        <v>188.5171</v>
      </c>
      <c r="P12" s="46">
        <v>1</v>
      </c>
      <c r="Q12" s="46">
        <v>349</v>
      </c>
      <c r="R12" s="46">
        <v>1</v>
      </c>
      <c r="S12" s="46">
        <v>859</v>
      </c>
      <c r="T12" s="46">
        <v>4181757952</v>
      </c>
      <c r="U12" s="46">
        <v>165</v>
      </c>
      <c r="V12" s="46">
        <v>4</v>
      </c>
      <c r="W12" s="46">
        <v>57.2273</v>
      </c>
      <c r="X12" s="46">
        <v>194.2621</v>
      </c>
      <c r="Y12" s="46">
        <v>0.93</v>
      </c>
      <c r="Z12" s="46">
        <v>182.88</v>
      </c>
      <c r="AA12" s="63">
        <v>0</v>
      </c>
      <c r="AB12" s="63">
        <v>10</v>
      </c>
      <c r="AC12" s="46">
        <v>7</v>
      </c>
      <c r="AD12" s="46">
        <v>131</v>
      </c>
      <c r="AE12" s="46">
        <v>18965</v>
      </c>
      <c r="AF12" s="46">
        <v>1765289984</v>
      </c>
      <c r="AG12" s="37" t="s">
        <v>159</v>
      </c>
      <c r="AH12" s="37" t="s">
        <v>159</v>
      </c>
      <c r="AI12" s="37" t="s">
        <v>159</v>
      </c>
      <c r="AJ12" s="37" t="s">
        <v>159</v>
      </c>
      <c r="AK12" s="37" t="s">
        <v>159</v>
      </c>
      <c r="AL12" s="37" t="s">
        <v>159</v>
      </c>
      <c r="AM12" s="37" t="s">
        <v>159</v>
      </c>
      <c r="AN12" s="37" t="s">
        <v>159</v>
      </c>
      <c r="AO12" s="37" t="s">
        <v>159</v>
      </c>
      <c r="AP12" s="37" t="s">
        <v>159</v>
      </c>
      <c r="AQ12" s="37" t="s">
        <v>159</v>
      </c>
      <c r="AR12" s="37" t="s">
        <v>159</v>
      </c>
      <c r="AS12" s="37" t="s">
        <v>159</v>
      </c>
      <c r="AT12" s="37" t="s">
        <v>159</v>
      </c>
      <c r="AU12" s="37" t="s">
        <v>159</v>
      </c>
      <c r="AV12" s="37" t="s">
        <v>159</v>
      </c>
      <c r="AW12" s="37" t="s">
        <v>159</v>
      </c>
      <c r="AX12" s="37" t="s">
        <v>159</v>
      </c>
      <c r="AY12" s="37" t="s">
        <v>159</v>
      </c>
      <c r="AZ12" s="37" t="s">
        <v>159</v>
      </c>
      <c r="BA12" s="37" t="s">
        <v>159</v>
      </c>
      <c r="BB12" s="37" t="s">
        <v>159</v>
      </c>
      <c r="BC12" s="37" t="s">
        <v>159</v>
      </c>
      <c r="BD12" s="37" t="s">
        <v>159</v>
      </c>
      <c r="BE12" s="37" t="s">
        <v>159</v>
      </c>
      <c r="BF12" s="37" t="s">
        <v>159</v>
      </c>
      <c r="BG12" s="37" t="s">
        <v>159</v>
      </c>
      <c r="BH12" s="37" t="s">
        <v>159</v>
      </c>
      <c r="BI12" s="37" t="s">
        <v>159</v>
      </c>
      <c r="BJ12" s="37" t="s">
        <v>159</v>
      </c>
      <c r="BK12" s="37" t="s">
        <v>159</v>
      </c>
      <c r="BL12" s="37" t="s">
        <v>159</v>
      </c>
      <c r="BM12" s="37" t="s">
        <v>159</v>
      </c>
      <c r="BN12" s="37" t="s">
        <v>159</v>
      </c>
      <c r="BO12" s="37" t="s">
        <v>159</v>
      </c>
      <c r="BP12" s="46">
        <v>7</v>
      </c>
      <c r="BQ12" s="46">
        <v>204.61</v>
      </c>
      <c r="BR12" s="46">
        <v>1</v>
      </c>
      <c r="BS12" s="46">
        <v>-6</v>
      </c>
      <c r="BT12" s="46">
        <v>96</v>
      </c>
      <c r="BU12" s="46">
        <v>80</v>
      </c>
      <c r="BV12" s="46">
        <v>112</v>
      </c>
      <c r="BW12" s="46">
        <v>188.5171</v>
      </c>
      <c r="BX12" s="46">
        <v>220</v>
      </c>
      <c r="BY12" s="46">
        <v>57.2273</v>
      </c>
      <c r="BZ12" s="46">
        <v>194.2621</v>
      </c>
      <c r="CA12" s="46">
        <v>1</v>
      </c>
      <c r="CB12" s="46">
        <v>0</v>
      </c>
      <c r="CC12" s="46">
        <v>1</v>
      </c>
      <c r="CD12" s="46">
        <v>349</v>
      </c>
      <c r="CE12" s="46">
        <v>1</v>
      </c>
      <c r="CF12" s="46">
        <v>18965</v>
      </c>
      <c r="CG12" s="46">
        <v>1765289984</v>
      </c>
      <c r="CH12" s="46">
        <v>164</v>
      </c>
      <c r="CI12" s="46">
        <v>0</v>
      </c>
      <c r="CJ12" s="46">
        <v>0</v>
      </c>
      <c r="CK12" s="46">
        <v>1</v>
      </c>
      <c r="CL12" s="46">
        <v>7</v>
      </c>
      <c r="CM12" s="46">
        <v>0</v>
      </c>
      <c r="CN12" s="46">
        <v>0</v>
      </c>
      <c r="CO12" s="46">
        <v>0</v>
      </c>
      <c r="CP12" s="46">
        <v>182.88</v>
      </c>
      <c r="CQ12" s="46">
        <v>1</v>
      </c>
      <c r="CR12" s="46">
        <v>1</v>
      </c>
      <c r="CS12" s="46">
        <v>0</v>
      </c>
      <c r="CT12" s="46">
        <v>1</v>
      </c>
      <c r="CU12" s="46">
        <v>1</v>
      </c>
      <c r="CV12" s="46">
        <v>0</v>
      </c>
      <c r="CW12" s="46">
        <v>1</v>
      </c>
      <c r="CX12" s="46">
        <v>1</v>
      </c>
      <c r="CY12" s="50" t="s">
        <v>159</v>
      </c>
      <c r="CZ12" s="37"/>
      <c r="DA12" s="38"/>
    </row>
    <row r="13" spans="1:105" x14ac:dyDescent="0.25">
      <c r="A13" s="36">
        <v>10</v>
      </c>
      <c r="B13" s="46" t="s">
        <v>689</v>
      </c>
      <c r="C13" s="46">
        <v>26295</v>
      </c>
      <c r="D13" s="46">
        <v>21146</v>
      </c>
      <c r="E13" s="56">
        <v>4</v>
      </c>
      <c r="F13" s="46">
        <v>22</v>
      </c>
      <c r="G13" s="46">
        <v>-2</v>
      </c>
      <c r="H13" s="46">
        <v>-6</v>
      </c>
      <c r="I13" s="46">
        <v>0.96</v>
      </c>
      <c r="J13" s="46">
        <v>1727</v>
      </c>
      <c r="K13" s="46">
        <v>263.48770000000002</v>
      </c>
      <c r="L13" s="46">
        <v>315.98489999999998</v>
      </c>
      <c r="M13" s="46">
        <v>1</v>
      </c>
      <c r="N13" s="46">
        <v>1</v>
      </c>
      <c r="O13" s="46">
        <v>190.72640000000001</v>
      </c>
      <c r="P13" s="46">
        <v>0</v>
      </c>
      <c r="Q13" s="46">
        <v>428</v>
      </c>
      <c r="R13" s="46">
        <v>0</v>
      </c>
      <c r="S13" s="46">
        <v>982</v>
      </c>
      <c r="T13" s="46">
        <v>1310528256</v>
      </c>
      <c r="U13" s="46">
        <v>143</v>
      </c>
      <c r="V13" s="46">
        <v>86</v>
      </c>
      <c r="W13" s="46">
        <v>266.60559999999998</v>
      </c>
      <c r="X13" s="46">
        <v>236.68389999999999</v>
      </c>
      <c r="Y13" s="46">
        <v>0.02</v>
      </c>
      <c r="Z13" s="46">
        <v>286.76</v>
      </c>
      <c r="AA13" s="63">
        <v>4</v>
      </c>
      <c r="AB13" s="63">
        <v>22</v>
      </c>
      <c r="AC13" s="46">
        <v>8</v>
      </c>
      <c r="AD13" s="46">
        <v>151</v>
      </c>
      <c r="AE13" s="46">
        <v>8141</v>
      </c>
      <c r="AF13" s="46">
        <v>3837145856</v>
      </c>
      <c r="AG13" s="37" t="s">
        <v>159</v>
      </c>
      <c r="AH13" s="37" t="s">
        <v>159</v>
      </c>
      <c r="AI13" s="37" t="s">
        <v>159</v>
      </c>
      <c r="AJ13" s="37" t="s">
        <v>159</v>
      </c>
      <c r="AK13" s="37" t="s">
        <v>159</v>
      </c>
      <c r="AL13" s="37" t="s">
        <v>159</v>
      </c>
      <c r="AM13" s="37" t="s">
        <v>159</v>
      </c>
      <c r="AN13" s="37" t="s">
        <v>159</v>
      </c>
      <c r="AO13" s="37" t="s">
        <v>159</v>
      </c>
      <c r="AP13" s="37" t="s">
        <v>159</v>
      </c>
      <c r="AQ13" s="37" t="s">
        <v>159</v>
      </c>
      <c r="AR13" s="37" t="s">
        <v>159</v>
      </c>
      <c r="AS13" s="37" t="s">
        <v>159</v>
      </c>
      <c r="AT13" s="37" t="s">
        <v>159</v>
      </c>
      <c r="AU13" s="37" t="s">
        <v>159</v>
      </c>
      <c r="AV13" s="37" t="s">
        <v>159</v>
      </c>
      <c r="AW13" s="37" t="s">
        <v>159</v>
      </c>
      <c r="AX13" s="37" t="s">
        <v>159</v>
      </c>
      <c r="AY13" s="37" t="s">
        <v>159</v>
      </c>
      <c r="AZ13" s="37" t="s">
        <v>159</v>
      </c>
      <c r="BA13" s="37" t="s">
        <v>159</v>
      </c>
      <c r="BB13" s="37" t="s">
        <v>159</v>
      </c>
      <c r="BC13" s="37" t="s">
        <v>159</v>
      </c>
      <c r="BD13" s="37" t="s">
        <v>159</v>
      </c>
      <c r="BE13" s="37" t="s">
        <v>159</v>
      </c>
      <c r="BF13" s="37" t="s">
        <v>159</v>
      </c>
      <c r="BG13" s="37" t="s">
        <v>159</v>
      </c>
      <c r="BH13" s="37" t="s">
        <v>159</v>
      </c>
      <c r="BI13" s="37" t="s">
        <v>159</v>
      </c>
      <c r="BJ13" s="37" t="s">
        <v>159</v>
      </c>
      <c r="BK13" s="37" t="s">
        <v>159</v>
      </c>
      <c r="BL13" s="37" t="s">
        <v>159</v>
      </c>
      <c r="BM13" s="37" t="s">
        <v>159</v>
      </c>
      <c r="BN13" s="37" t="s">
        <v>159</v>
      </c>
      <c r="BO13" s="37" t="s">
        <v>159</v>
      </c>
      <c r="BP13" s="46">
        <v>8</v>
      </c>
      <c r="BQ13" s="46">
        <v>315.98489999999998</v>
      </c>
      <c r="BR13" s="46">
        <v>-2</v>
      </c>
      <c r="BS13" s="46">
        <v>-6</v>
      </c>
      <c r="BT13" s="46">
        <v>69</v>
      </c>
      <c r="BU13" s="46">
        <v>37</v>
      </c>
      <c r="BV13" s="46">
        <v>113</v>
      </c>
      <c r="BW13" s="46">
        <v>190.72640000000001</v>
      </c>
      <c r="BX13" s="46">
        <v>1727</v>
      </c>
      <c r="BY13" s="46">
        <v>266.60559999999998</v>
      </c>
      <c r="BZ13" s="46">
        <v>236.68389999999999</v>
      </c>
      <c r="CA13" s="46">
        <v>1</v>
      </c>
      <c r="CB13" s="46">
        <v>1</v>
      </c>
      <c r="CC13" s="46">
        <v>1</v>
      </c>
      <c r="CD13" s="46">
        <v>151</v>
      </c>
      <c r="CE13" s="46">
        <v>1</v>
      </c>
      <c r="CF13" s="46">
        <v>982</v>
      </c>
      <c r="CG13" s="46">
        <v>1310528256</v>
      </c>
      <c r="CH13" s="46">
        <v>142</v>
      </c>
      <c r="CI13" s="46">
        <v>0</v>
      </c>
      <c r="CJ13" s="46">
        <v>0</v>
      </c>
      <c r="CK13" s="46">
        <v>1</v>
      </c>
      <c r="CL13" s="46">
        <v>8</v>
      </c>
      <c r="CM13" s="46">
        <v>0</v>
      </c>
      <c r="CN13" s="46">
        <v>0</v>
      </c>
      <c r="CO13" s="46">
        <v>0</v>
      </c>
      <c r="CP13" s="46">
        <v>286.76</v>
      </c>
      <c r="CQ13" s="46">
        <v>1</v>
      </c>
      <c r="CR13" s="46">
        <v>1</v>
      </c>
      <c r="CS13" s="46">
        <v>0</v>
      </c>
      <c r="CT13" s="46">
        <v>1</v>
      </c>
      <c r="CU13" s="46">
        <v>1</v>
      </c>
      <c r="CV13" s="46">
        <v>1</v>
      </c>
      <c r="CW13" s="46">
        <v>0</v>
      </c>
      <c r="CX13" s="46">
        <v>0</v>
      </c>
      <c r="CY13" s="50" t="s">
        <v>159</v>
      </c>
      <c r="CZ13" s="37"/>
      <c r="DA13" s="38"/>
    </row>
    <row r="14" spans="1:105" x14ac:dyDescent="0.25">
      <c r="A14" s="36">
        <v>11</v>
      </c>
      <c r="B14" s="46" t="s">
        <v>690</v>
      </c>
      <c r="C14" s="46">
        <v>62835</v>
      </c>
      <c r="D14" s="46">
        <v>29402</v>
      </c>
      <c r="E14" s="56">
        <v>2</v>
      </c>
      <c r="F14" s="46">
        <v>4</v>
      </c>
      <c r="G14" s="46">
        <v>-5</v>
      </c>
      <c r="H14" s="46">
        <v>-3</v>
      </c>
      <c r="I14" s="46">
        <v>0.01</v>
      </c>
      <c r="J14" s="46">
        <v>213</v>
      </c>
      <c r="K14" s="46">
        <v>69.597700000000003</v>
      </c>
      <c r="L14" s="46">
        <v>212.83949999999999</v>
      </c>
      <c r="M14" s="46">
        <v>1</v>
      </c>
      <c r="N14" s="46">
        <v>1</v>
      </c>
      <c r="O14" s="46">
        <v>296.97710000000001</v>
      </c>
      <c r="P14" s="46">
        <v>0</v>
      </c>
      <c r="Q14" s="46">
        <v>303</v>
      </c>
      <c r="R14" s="46">
        <v>1</v>
      </c>
      <c r="S14" s="46">
        <v>1105</v>
      </c>
      <c r="T14" s="46">
        <v>1498647040</v>
      </c>
      <c r="U14" s="46">
        <v>254</v>
      </c>
      <c r="V14" s="46">
        <v>60</v>
      </c>
      <c r="W14" s="46">
        <v>301.31020000000001</v>
      </c>
      <c r="X14" s="46">
        <v>59.776600000000002</v>
      </c>
      <c r="Y14" s="46">
        <v>0.73</v>
      </c>
      <c r="Z14" s="46">
        <v>390.64</v>
      </c>
      <c r="AA14" s="63">
        <v>2</v>
      </c>
      <c r="AB14" s="63">
        <v>4</v>
      </c>
      <c r="AC14" s="46">
        <v>9</v>
      </c>
      <c r="AD14" s="46">
        <v>171</v>
      </c>
      <c r="AE14" s="46">
        <v>22451</v>
      </c>
      <c r="AF14" s="46">
        <v>3792185856</v>
      </c>
      <c r="AG14" s="37" t="s">
        <v>159</v>
      </c>
      <c r="AH14" s="37" t="s">
        <v>159</v>
      </c>
      <c r="AI14" s="37" t="s">
        <v>159</v>
      </c>
      <c r="AJ14" s="37" t="s">
        <v>159</v>
      </c>
      <c r="AK14" s="37" t="s">
        <v>159</v>
      </c>
      <c r="AL14" s="37" t="s">
        <v>159</v>
      </c>
      <c r="AM14" s="37" t="s">
        <v>159</v>
      </c>
      <c r="AN14" s="37" t="s">
        <v>159</v>
      </c>
      <c r="AO14" s="37" t="s">
        <v>159</v>
      </c>
      <c r="AP14" s="37" t="s">
        <v>159</v>
      </c>
      <c r="AQ14" s="37" t="s">
        <v>159</v>
      </c>
      <c r="AR14" s="37" t="s">
        <v>159</v>
      </c>
      <c r="AS14" s="37" t="s">
        <v>159</v>
      </c>
      <c r="AT14" s="37" t="s">
        <v>159</v>
      </c>
      <c r="AU14" s="37" t="s">
        <v>159</v>
      </c>
      <c r="AV14" s="37" t="s">
        <v>159</v>
      </c>
      <c r="AW14" s="37" t="s">
        <v>159</v>
      </c>
      <c r="AX14" s="37" t="s">
        <v>159</v>
      </c>
      <c r="AY14" s="37" t="s">
        <v>159</v>
      </c>
      <c r="AZ14" s="37" t="s">
        <v>159</v>
      </c>
      <c r="BA14" s="37" t="s">
        <v>159</v>
      </c>
      <c r="BB14" s="37" t="s">
        <v>159</v>
      </c>
      <c r="BC14" s="37" t="s">
        <v>159</v>
      </c>
      <c r="BD14" s="37" t="s">
        <v>159</v>
      </c>
      <c r="BE14" s="37" t="s">
        <v>159</v>
      </c>
      <c r="BF14" s="37" t="s">
        <v>159</v>
      </c>
      <c r="BG14" s="37" t="s">
        <v>159</v>
      </c>
      <c r="BH14" s="37" t="s">
        <v>159</v>
      </c>
      <c r="BI14" s="37" t="s">
        <v>159</v>
      </c>
      <c r="BJ14" s="37" t="s">
        <v>159</v>
      </c>
      <c r="BK14" s="37" t="s">
        <v>159</v>
      </c>
      <c r="BL14" s="37" t="s">
        <v>159</v>
      </c>
      <c r="BM14" s="37" t="s">
        <v>159</v>
      </c>
      <c r="BN14" s="37" t="s">
        <v>159</v>
      </c>
      <c r="BO14" s="37" t="s">
        <v>159</v>
      </c>
      <c r="BP14" s="46">
        <v>9</v>
      </c>
      <c r="BQ14" s="46">
        <v>212.83949999999999</v>
      </c>
      <c r="BR14" s="46">
        <v>-5</v>
      </c>
      <c r="BS14" s="46">
        <v>-3</v>
      </c>
      <c r="BT14" s="46">
        <v>22</v>
      </c>
      <c r="BU14" s="46">
        <v>98</v>
      </c>
      <c r="BV14" s="46">
        <v>57</v>
      </c>
      <c r="BW14" s="46">
        <v>296.97710000000001</v>
      </c>
      <c r="BX14" s="46">
        <v>213</v>
      </c>
      <c r="BY14" s="46">
        <v>301.31020000000001</v>
      </c>
      <c r="BZ14" s="46">
        <v>59.776600000000002</v>
      </c>
      <c r="CA14" s="46">
        <v>1</v>
      </c>
      <c r="CB14" s="46">
        <v>1</v>
      </c>
      <c r="CC14" s="46">
        <v>1</v>
      </c>
      <c r="CD14" s="46">
        <v>171</v>
      </c>
      <c r="CE14" s="46">
        <v>1</v>
      </c>
      <c r="CF14" s="46">
        <v>22451</v>
      </c>
      <c r="CG14" s="46">
        <v>3792185856</v>
      </c>
      <c r="CH14" s="46">
        <v>253</v>
      </c>
      <c r="CI14" s="46">
        <v>0</v>
      </c>
      <c r="CJ14" s="46">
        <v>0</v>
      </c>
      <c r="CK14" s="46">
        <v>1</v>
      </c>
      <c r="CL14" s="46">
        <v>9</v>
      </c>
      <c r="CM14" s="46">
        <v>0</v>
      </c>
      <c r="CN14" s="46">
        <v>0</v>
      </c>
      <c r="CO14" s="46">
        <v>0</v>
      </c>
      <c r="CP14" s="46">
        <v>390.64</v>
      </c>
      <c r="CQ14" s="46">
        <v>1</v>
      </c>
      <c r="CR14" s="46">
        <v>1</v>
      </c>
      <c r="CS14" s="46">
        <v>0</v>
      </c>
      <c r="CT14" s="46">
        <v>1</v>
      </c>
      <c r="CU14" s="46">
        <v>1</v>
      </c>
      <c r="CV14" s="46">
        <v>1</v>
      </c>
      <c r="CW14" s="46">
        <v>1</v>
      </c>
      <c r="CX14" s="46">
        <v>1</v>
      </c>
      <c r="CY14" s="50" t="s">
        <v>159</v>
      </c>
      <c r="CZ14" s="37"/>
      <c r="DA14" s="38"/>
    </row>
    <row r="15" spans="1:105" x14ac:dyDescent="0.25">
      <c r="A15" s="36">
        <v>12</v>
      </c>
      <c r="B15" s="46" t="s">
        <v>740</v>
      </c>
      <c r="C15" s="46">
        <v>33820</v>
      </c>
      <c r="D15" s="46">
        <v>34999</v>
      </c>
      <c r="E15" s="46">
        <v>4</v>
      </c>
      <c r="F15" s="56">
        <v>0</v>
      </c>
      <c r="G15" s="46">
        <v>3</v>
      </c>
      <c r="H15" s="46">
        <v>10</v>
      </c>
      <c r="I15" s="46">
        <v>0.05</v>
      </c>
      <c r="J15" s="46">
        <v>439</v>
      </c>
      <c r="K15" s="46">
        <v>60.501600000000003</v>
      </c>
      <c r="L15" s="46">
        <v>258.02569999999997</v>
      </c>
      <c r="M15" s="46">
        <v>1</v>
      </c>
      <c r="N15" s="46">
        <v>1</v>
      </c>
      <c r="O15" s="46">
        <v>68.276600000000002</v>
      </c>
      <c r="P15" s="46">
        <v>0</v>
      </c>
      <c r="Q15" s="46">
        <v>178</v>
      </c>
      <c r="R15" s="46">
        <v>0</v>
      </c>
      <c r="S15" s="46">
        <v>1228</v>
      </c>
      <c r="T15" s="46">
        <v>1246504192</v>
      </c>
      <c r="U15" s="46">
        <v>93</v>
      </c>
      <c r="V15" s="46">
        <v>40</v>
      </c>
      <c r="W15" s="46">
        <v>81.365300000000005</v>
      </c>
      <c r="X15" s="46">
        <v>85.111800000000002</v>
      </c>
      <c r="Y15" s="46">
        <v>2.4E-2</v>
      </c>
      <c r="Z15" s="46">
        <v>494.52</v>
      </c>
      <c r="AA15" s="63">
        <v>4</v>
      </c>
      <c r="AB15" s="63">
        <v>0</v>
      </c>
      <c r="AC15" s="46">
        <v>10</v>
      </c>
      <c r="AD15" s="46">
        <v>191</v>
      </c>
      <c r="AE15" s="46">
        <v>46301</v>
      </c>
      <c r="AF15" s="46">
        <v>3400418560</v>
      </c>
      <c r="AG15" s="37" t="s">
        <v>159</v>
      </c>
      <c r="AH15" s="37" t="s">
        <v>159</v>
      </c>
      <c r="AI15" s="37" t="s">
        <v>159</v>
      </c>
      <c r="AJ15" s="37" t="s">
        <v>159</v>
      </c>
      <c r="AK15" s="37" t="s">
        <v>159</v>
      </c>
      <c r="AL15" s="37" t="s">
        <v>159</v>
      </c>
      <c r="AM15" s="37" t="s">
        <v>159</v>
      </c>
      <c r="AN15" s="37" t="s">
        <v>159</v>
      </c>
      <c r="AO15" s="37" t="s">
        <v>159</v>
      </c>
      <c r="AP15" s="37" t="s">
        <v>159</v>
      </c>
      <c r="AQ15" s="37" t="s">
        <v>159</v>
      </c>
      <c r="AR15" s="37" t="s">
        <v>159</v>
      </c>
      <c r="AS15" s="37" t="s">
        <v>159</v>
      </c>
      <c r="AT15" s="37" t="s">
        <v>159</v>
      </c>
      <c r="AU15" s="37" t="s">
        <v>159</v>
      </c>
      <c r="AV15" s="37" t="s">
        <v>159</v>
      </c>
      <c r="AW15" s="37" t="s">
        <v>159</v>
      </c>
      <c r="AX15" s="37" t="s">
        <v>159</v>
      </c>
      <c r="AY15" s="37" t="s">
        <v>159</v>
      </c>
      <c r="AZ15" s="37" t="s">
        <v>159</v>
      </c>
      <c r="BA15" s="37" t="s">
        <v>159</v>
      </c>
      <c r="BB15" s="37" t="s">
        <v>159</v>
      </c>
      <c r="BC15" s="37" t="s">
        <v>159</v>
      </c>
      <c r="BD15" s="37" t="s">
        <v>159</v>
      </c>
      <c r="BE15" s="37" t="s">
        <v>159</v>
      </c>
      <c r="BF15" s="37" t="s">
        <v>159</v>
      </c>
      <c r="BG15" s="37" t="s">
        <v>159</v>
      </c>
      <c r="BH15" s="37" t="s">
        <v>159</v>
      </c>
      <c r="BI15" s="37" t="s">
        <v>159</v>
      </c>
      <c r="BJ15" s="37" t="s">
        <v>159</v>
      </c>
      <c r="BK15" s="37" t="s">
        <v>159</v>
      </c>
      <c r="BL15" s="37" t="s">
        <v>159</v>
      </c>
      <c r="BM15" s="37" t="s">
        <v>159</v>
      </c>
      <c r="BN15" s="37" t="s">
        <v>159</v>
      </c>
      <c r="BO15" s="37" t="s">
        <v>159</v>
      </c>
      <c r="BP15" s="46">
        <v>10</v>
      </c>
      <c r="BQ15" s="46">
        <v>258.02569999999997</v>
      </c>
      <c r="BR15" s="46">
        <v>3</v>
      </c>
      <c r="BS15" s="46">
        <v>10</v>
      </c>
      <c r="BT15" s="46">
        <v>87</v>
      </c>
      <c r="BU15" s="46">
        <v>45</v>
      </c>
      <c r="BV15" s="46">
        <v>67</v>
      </c>
      <c r="BW15" s="46">
        <v>68.276600000000002</v>
      </c>
      <c r="BX15" s="46">
        <v>439</v>
      </c>
      <c r="BY15" s="46">
        <v>81.365300000000005</v>
      </c>
      <c r="BZ15" s="46">
        <v>85.111800000000002</v>
      </c>
      <c r="CA15" s="46">
        <v>1</v>
      </c>
      <c r="CB15" s="46">
        <v>1</v>
      </c>
      <c r="CC15" s="46">
        <v>1</v>
      </c>
      <c r="CD15" s="46">
        <v>191</v>
      </c>
      <c r="CE15" s="46">
        <v>1</v>
      </c>
      <c r="CF15" s="46">
        <v>1228</v>
      </c>
      <c r="CG15" s="46">
        <v>1246504192</v>
      </c>
      <c r="CH15" s="46">
        <v>92</v>
      </c>
      <c r="CI15" s="46">
        <v>0</v>
      </c>
      <c r="CJ15" s="46">
        <v>0</v>
      </c>
      <c r="CK15" s="46">
        <v>1</v>
      </c>
      <c r="CL15" s="46">
        <v>10</v>
      </c>
      <c r="CM15" s="46">
        <v>0</v>
      </c>
      <c r="CN15" s="46">
        <v>0</v>
      </c>
      <c r="CO15" s="46">
        <v>0</v>
      </c>
      <c r="CP15" s="46">
        <v>494.52</v>
      </c>
      <c r="CQ15" s="46">
        <v>1</v>
      </c>
      <c r="CR15" s="46">
        <v>1</v>
      </c>
      <c r="CS15" s="46">
        <v>0</v>
      </c>
      <c r="CT15" s="46">
        <v>1</v>
      </c>
      <c r="CU15" s="46">
        <v>1</v>
      </c>
      <c r="CV15" s="46">
        <v>1</v>
      </c>
      <c r="CW15" s="46">
        <v>0</v>
      </c>
      <c r="CX15" s="46">
        <v>0</v>
      </c>
      <c r="CY15" s="50" t="s">
        <v>159</v>
      </c>
      <c r="CZ15" s="37"/>
      <c r="DA15" s="38"/>
    </row>
    <row r="16" spans="1:105" x14ac:dyDescent="0.25">
      <c r="A16" s="36">
        <v>13</v>
      </c>
      <c r="B16" s="46" t="s">
        <v>741</v>
      </c>
      <c r="C16" s="46">
        <v>38796</v>
      </c>
      <c r="D16" s="46">
        <v>21323</v>
      </c>
      <c r="E16" s="46">
        <v>4</v>
      </c>
      <c r="F16" s="56">
        <v>31</v>
      </c>
      <c r="G16" s="46">
        <v>0</v>
      </c>
      <c r="H16" s="46">
        <v>3</v>
      </c>
      <c r="I16" s="46">
        <v>0.09</v>
      </c>
      <c r="J16" s="46">
        <v>-1405</v>
      </c>
      <c r="K16" s="46">
        <v>74.525899999999993</v>
      </c>
      <c r="L16" s="46">
        <v>351.15480000000002</v>
      </c>
      <c r="M16" s="46">
        <v>1</v>
      </c>
      <c r="N16" s="46">
        <v>1</v>
      </c>
      <c r="O16" s="46">
        <v>281.16059999999999</v>
      </c>
      <c r="P16" s="46">
        <v>1</v>
      </c>
      <c r="Q16" s="46">
        <v>53</v>
      </c>
      <c r="R16" s="46">
        <v>0</v>
      </c>
      <c r="S16" s="46">
        <v>1351</v>
      </c>
      <c r="T16" s="46">
        <v>2945340416</v>
      </c>
      <c r="U16" s="46">
        <v>176</v>
      </c>
      <c r="V16" s="46">
        <v>251</v>
      </c>
      <c r="W16" s="46">
        <v>163.63079999999999</v>
      </c>
      <c r="X16" s="46">
        <v>239.20400000000001</v>
      </c>
      <c r="Y16" s="46">
        <v>2.8000000000000001E-2</v>
      </c>
      <c r="Z16" s="46">
        <v>598.4</v>
      </c>
      <c r="AA16" s="63">
        <v>4</v>
      </c>
      <c r="AB16" s="63">
        <v>31</v>
      </c>
      <c r="AC16" s="46">
        <v>11</v>
      </c>
      <c r="AD16" s="46">
        <v>211</v>
      </c>
      <c r="AE16" s="46">
        <v>65227</v>
      </c>
      <c r="AF16" s="46">
        <v>3739743232</v>
      </c>
      <c r="AG16" s="37" t="s">
        <v>159</v>
      </c>
      <c r="AH16" s="37" t="s">
        <v>159</v>
      </c>
      <c r="AI16" s="37" t="s">
        <v>159</v>
      </c>
      <c r="AJ16" s="37" t="s">
        <v>159</v>
      </c>
      <c r="AK16" s="37" t="s">
        <v>159</v>
      </c>
      <c r="AL16" s="37" t="s">
        <v>159</v>
      </c>
      <c r="AM16" s="37" t="s">
        <v>159</v>
      </c>
      <c r="AN16" s="37" t="s">
        <v>159</v>
      </c>
      <c r="AO16" s="37" t="s">
        <v>159</v>
      </c>
      <c r="AP16" s="37" t="s">
        <v>159</v>
      </c>
      <c r="AQ16" s="37" t="s">
        <v>159</v>
      </c>
      <c r="AR16" s="37" t="s">
        <v>159</v>
      </c>
      <c r="AS16" s="37" t="s">
        <v>159</v>
      </c>
      <c r="AT16" s="37" t="s">
        <v>159</v>
      </c>
      <c r="AU16" s="37" t="s">
        <v>159</v>
      </c>
      <c r="AV16" s="37" t="s">
        <v>159</v>
      </c>
      <c r="AW16" s="37" t="s">
        <v>159</v>
      </c>
      <c r="AX16" s="37" t="s">
        <v>159</v>
      </c>
      <c r="AY16" s="37" t="s">
        <v>159</v>
      </c>
      <c r="AZ16" s="37" t="s">
        <v>159</v>
      </c>
      <c r="BA16" s="37" t="s">
        <v>159</v>
      </c>
      <c r="BB16" s="37" t="s">
        <v>159</v>
      </c>
      <c r="BC16" s="37" t="s">
        <v>159</v>
      </c>
      <c r="BD16" s="37" t="s">
        <v>159</v>
      </c>
      <c r="BE16" s="37" t="s">
        <v>159</v>
      </c>
      <c r="BF16" s="37" t="s">
        <v>159</v>
      </c>
      <c r="BG16" s="37" t="s">
        <v>159</v>
      </c>
      <c r="BH16" s="37" t="s">
        <v>159</v>
      </c>
      <c r="BI16" s="37" t="s">
        <v>159</v>
      </c>
      <c r="BJ16" s="37" t="s">
        <v>159</v>
      </c>
      <c r="BK16" s="37" t="s">
        <v>159</v>
      </c>
      <c r="BL16" s="37" t="s">
        <v>159</v>
      </c>
      <c r="BM16" s="37" t="s">
        <v>159</v>
      </c>
      <c r="BN16" s="37" t="s">
        <v>159</v>
      </c>
      <c r="BO16" s="37" t="s">
        <v>159</v>
      </c>
      <c r="BP16" s="46">
        <v>11</v>
      </c>
      <c r="BQ16" s="46">
        <v>351.15480000000002</v>
      </c>
      <c r="BR16" s="46">
        <v>0</v>
      </c>
      <c r="BS16" s="46">
        <v>3</v>
      </c>
      <c r="BT16" s="46">
        <v>117</v>
      </c>
      <c r="BU16" s="46">
        <v>51</v>
      </c>
      <c r="BV16" s="46">
        <v>29</v>
      </c>
      <c r="BW16" s="46">
        <v>281.16059999999999</v>
      </c>
      <c r="BX16" s="46">
        <v>-1405</v>
      </c>
      <c r="BY16" s="46">
        <v>163.63079999999999</v>
      </c>
      <c r="BZ16" s="46">
        <v>239.20400000000001</v>
      </c>
      <c r="CA16" s="46">
        <v>1</v>
      </c>
      <c r="CB16" s="46">
        <v>1</v>
      </c>
      <c r="CC16" s="46">
        <v>1</v>
      </c>
      <c r="CD16" s="46">
        <v>53</v>
      </c>
      <c r="CE16" s="46">
        <v>1</v>
      </c>
      <c r="CF16" s="46">
        <v>1351</v>
      </c>
      <c r="CG16" s="46">
        <v>2945340416</v>
      </c>
      <c r="CH16" s="46">
        <v>175</v>
      </c>
      <c r="CI16" s="46">
        <v>0</v>
      </c>
      <c r="CJ16" s="46">
        <v>0</v>
      </c>
      <c r="CK16" s="46">
        <v>1</v>
      </c>
      <c r="CL16" s="46">
        <v>11</v>
      </c>
      <c r="CM16" s="46">
        <v>0</v>
      </c>
      <c r="CN16" s="46">
        <v>0</v>
      </c>
      <c r="CO16" s="46">
        <v>0</v>
      </c>
      <c r="CP16" s="46">
        <v>598.4</v>
      </c>
      <c r="CQ16" s="46">
        <v>1</v>
      </c>
      <c r="CR16" s="46">
        <v>1</v>
      </c>
      <c r="CS16" s="46">
        <v>0</v>
      </c>
      <c r="CT16" s="46">
        <v>1</v>
      </c>
      <c r="CU16" s="46">
        <v>1</v>
      </c>
      <c r="CV16" s="46">
        <v>0</v>
      </c>
      <c r="CW16" s="46">
        <v>0</v>
      </c>
      <c r="CX16" s="46">
        <v>0</v>
      </c>
      <c r="CY16" s="50" t="s">
        <v>159</v>
      </c>
      <c r="CZ16" s="37"/>
      <c r="DA16" s="38"/>
    </row>
    <row r="17" spans="1:105" x14ac:dyDescent="0.25">
      <c r="A17" s="36">
        <v>14</v>
      </c>
      <c r="B17" s="46" t="s">
        <v>742</v>
      </c>
      <c r="C17" s="46">
        <v>52985</v>
      </c>
      <c r="D17" s="46">
        <v>32525</v>
      </c>
      <c r="E17" s="46">
        <v>0</v>
      </c>
      <c r="F17" s="56">
        <v>2</v>
      </c>
      <c r="G17" s="46">
        <v>-4</v>
      </c>
      <c r="H17" s="46">
        <v>9</v>
      </c>
      <c r="I17" s="46">
        <v>0.13</v>
      </c>
      <c r="J17" s="46">
        <v>-1536</v>
      </c>
      <c r="K17" s="46">
        <v>292.93220000000002</v>
      </c>
      <c r="L17" s="46">
        <v>355.89179999999999</v>
      </c>
      <c r="M17" s="46">
        <v>0</v>
      </c>
      <c r="N17" s="46">
        <v>0</v>
      </c>
      <c r="O17" s="46">
        <v>227.34889999999999</v>
      </c>
      <c r="P17" s="46">
        <v>1</v>
      </c>
      <c r="Q17" s="46">
        <v>11</v>
      </c>
      <c r="R17" s="46">
        <v>1</v>
      </c>
      <c r="S17" s="46">
        <v>1474</v>
      </c>
      <c r="T17" s="46">
        <v>2269366016</v>
      </c>
      <c r="U17" s="46">
        <v>20</v>
      </c>
      <c r="V17" s="46">
        <v>113</v>
      </c>
      <c r="W17" s="46">
        <v>92.729200000000006</v>
      </c>
      <c r="X17" s="46">
        <v>56.821300000000001</v>
      </c>
      <c r="Y17" s="46">
        <v>3.2000000000000001E-2</v>
      </c>
      <c r="Z17" s="46">
        <v>702.28</v>
      </c>
      <c r="AA17" s="63">
        <v>0</v>
      </c>
      <c r="AB17" s="63">
        <v>2</v>
      </c>
      <c r="AC17" s="46">
        <v>12</v>
      </c>
      <c r="AD17" s="46">
        <v>231</v>
      </c>
      <c r="AE17" s="46">
        <v>44220</v>
      </c>
      <c r="AF17" s="46">
        <v>3887523584</v>
      </c>
      <c r="AG17" s="37" t="s">
        <v>159</v>
      </c>
      <c r="AH17" s="37" t="s">
        <v>159</v>
      </c>
      <c r="AI17" s="37" t="s">
        <v>159</v>
      </c>
      <c r="AJ17" s="37" t="s">
        <v>159</v>
      </c>
      <c r="AK17" s="37" t="s">
        <v>159</v>
      </c>
      <c r="AL17" s="37" t="s">
        <v>159</v>
      </c>
      <c r="AM17" s="37" t="s">
        <v>159</v>
      </c>
      <c r="AN17" s="37" t="s">
        <v>159</v>
      </c>
      <c r="AO17" s="37" t="s">
        <v>159</v>
      </c>
      <c r="AP17" s="37" t="s">
        <v>159</v>
      </c>
      <c r="AQ17" s="37" t="s">
        <v>159</v>
      </c>
      <c r="AR17" s="37" t="s">
        <v>159</v>
      </c>
      <c r="AS17" s="37" t="s">
        <v>159</v>
      </c>
      <c r="AT17" s="37" t="s">
        <v>159</v>
      </c>
      <c r="AU17" s="37" t="s">
        <v>159</v>
      </c>
      <c r="AV17" s="37" t="s">
        <v>159</v>
      </c>
      <c r="AW17" s="37" t="s">
        <v>159</v>
      </c>
      <c r="AX17" s="37" t="s">
        <v>159</v>
      </c>
      <c r="AY17" s="37" t="s">
        <v>159</v>
      </c>
      <c r="AZ17" s="37" t="s">
        <v>159</v>
      </c>
      <c r="BA17" s="37" t="s">
        <v>159</v>
      </c>
      <c r="BB17" s="37" t="s">
        <v>159</v>
      </c>
      <c r="BC17" s="37" t="s">
        <v>159</v>
      </c>
      <c r="BD17" s="37" t="s">
        <v>159</v>
      </c>
      <c r="BE17" s="37" t="s">
        <v>159</v>
      </c>
      <c r="BF17" s="37" t="s">
        <v>159</v>
      </c>
      <c r="BG17" s="37" t="s">
        <v>159</v>
      </c>
      <c r="BH17" s="37" t="s">
        <v>159</v>
      </c>
      <c r="BI17" s="37" t="s">
        <v>159</v>
      </c>
      <c r="BJ17" s="37" t="s">
        <v>159</v>
      </c>
      <c r="BK17" s="37" t="s">
        <v>159</v>
      </c>
      <c r="BL17" s="37" t="s">
        <v>159</v>
      </c>
      <c r="BM17" s="37" t="s">
        <v>159</v>
      </c>
      <c r="BN17" s="37" t="s">
        <v>159</v>
      </c>
      <c r="BO17" s="37" t="s">
        <v>159</v>
      </c>
      <c r="BP17" s="46">
        <v>12</v>
      </c>
      <c r="BQ17" s="46">
        <v>355.89179999999999</v>
      </c>
      <c r="BR17" s="46">
        <v>-4</v>
      </c>
      <c r="BS17" s="46">
        <v>9</v>
      </c>
      <c r="BT17" s="46">
        <v>56</v>
      </c>
      <c r="BU17" s="46">
        <v>34</v>
      </c>
      <c r="BV17" s="46">
        <v>59</v>
      </c>
      <c r="BW17" s="46">
        <v>227.34889999999999</v>
      </c>
      <c r="BX17" s="46">
        <v>-1536</v>
      </c>
      <c r="BY17" s="46">
        <v>92.729200000000006</v>
      </c>
      <c r="BZ17" s="46">
        <v>56.821300000000001</v>
      </c>
      <c r="CA17" s="46">
        <v>0</v>
      </c>
      <c r="CB17" s="46">
        <v>0</v>
      </c>
      <c r="CC17" s="46">
        <v>1</v>
      </c>
      <c r="CD17" s="46">
        <v>11</v>
      </c>
      <c r="CE17" s="46">
        <v>1</v>
      </c>
      <c r="CF17" s="46">
        <v>44220</v>
      </c>
      <c r="CG17" s="46">
        <v>3887523584</v>
      </c>
      <c r="CH17" s="46">
        <v>19</v>
      </c>
      <c r="CI17" s="46">
        <v>0</v>
      </c>
      <c r="CJ17" s="46">
        <v>0</v>
      </c>
      <c r="CK17" s="46">
        <v>1</v>
      </c>
      <c r="CL17" s="46">
        <v>12</v>
      </c>
      <c r="CM17" s="46">
        <v>0</v>
      </c>
      <c r="CN17" s="46">
        <v>0</v>
      </c>
      <c r="CO17" s="46">
        <v>0</v>
      </c>
      <c r="CP17" s="46">
        <v>702.28</v>
      </c>
      <c r="CQ17" s="46">
        <v>1</v>
      </c>
      <c r="CR17" s="46">
        <v>1</v>
      </c>
      <c r="CS17" s="46">
        <v>0</v>
      </c>
      <c r="CT17" s="46">
        <v>1</v>
      </c>
      <c r="CU17" s="46">
        <v>1</v>
      </c>
      <c r="CV17" s="46">
        <v>0</v>
      </c>
      <c r="CW17" s="46">
        <v>1</v>
      </c>
      <c r="CX17" s="46">
        <v>1</v>
      </c>
      <c r="CY17" s="50" t="s">
        <v>159</v>
      </c>
      <c r="CZ17" s="37"/>
      <c r="DA17" s="38"/>
    </row>
    <row r="18" spans="1:105" x14ac:dyDescent="0.25">
      <c r="A18" s="36">
        <v>15</v>
      </c>
      <c r="B18" s="46" t="s">
        <v>743</v>
      </c>
      <c r="C18" s="46">
        <v>50046</v>
      </c>
      <c r="D18" s="46">
        <v>18770</v>
      </c>
      <c r="E18" s="46">
        <v>3</v>
      </c>
      <c r="F18" s="46">
        <v>13</v>
      </c>
      <c r="G18" s="56">
        <v>-5</v>
      </c>
      <c r="H18" s="46">
        <v>-7</v>
      </c>
      <c r="I18" s="46">
        <v>0.17</v>
      </c>
      <c r="J18" s="46">
        <v>-244</v>
      </c>
      <c r="K18" s="46">
        <v>120.21259999999999</v>
      </c>
      <c r="L18" s="46">
        <v>188.745</v>
      </c>
      <c r="M18" s="46">
        <v>0</v>
      </c>
      <c r="N18" s="46">
        <v>0</v>
      </c>
      <c r="O18" s="46">
        <v>55.700699999999998</v>
      </c>
      <c r="P18" s="46">
        <v>0</v>
      </c>
      <c r="Q18" s="46">
        <v>37</v>
      </c>
      <c r="R18" s="46">
        <v>0</v>
      </c>
      <c r="S18" s="46">
        <v>1597</v>
      </c>
      <c r="T18" s="46">
        <v>3652152832</v>
      </c>
      <c r="U18" s="46">
        <v>194</v>
      </c>
      <c r="V18" s="46">
        <v>51</v>
      </c>
      <c r="W18" s="46">
        <v>116.1866</v>
      </c>
      <c r="X18" s="46">
        <v>102.7252</v>
      </c>
      <c r="Y18" s="46">
        <v>3.5999999999999997E-2</v>
      </c>
      <c r="Z18" s="46">
        <v>806.16</v>
      </c>
      <c r="AA18" s="63">
        <v>3</v>
      </c>
      <c r="AB18" s="63">
        <v>13</v>
      </c>
      <c r="AC18" s="46">
        <v>13</v>
      </c>
      <c r="AD18" s="46">
        <v>251</v>
      </c>
      <c r="AE18" s="46">
        <v>61364</v>
      </c>
      <c r="AF18" s="46">
        <v>3973451264</v>
      </c>
      <c r="AG18" s="37" t="s">
        <v>159</v>
      </c>
      <c r="AH18" s="37" t="s">
        <v>159</v>
      </c>
      <c r="AI18" s="37" t="s">
        <v>159</v>
      </c>
      <c r="AJ18" s="37" t="s">
        <v>159</v>
      </c>
      <c r="AK18" s="37" t="s">
        <v>159</v>
      </c>
      <c r="AL18" s="37" t="s">
        <v>159</v>
      </c>
      <c r="AM18" s="37" t="s">
        <v>159</v>
      </c>
      <c r="AN18" s="37" t="s">
        <v>159</v>
      </c>
      <c r="AO18" s="37" t="s">
        <v>159</v>
      </c>
      <c r="AP18" s="37" t="s">
        <v>159</v>
      </c>
      <c r="AQ18" s="37" t="s">
        <v>159</v>
      </c>
      <c r="AR18" s="37" t="s">
        <v>159</v>
      </c>
      <c r="AS18" s="37" t="s">
        <v>159</v>
      </c>
      <c r="AT18" s="37" t="s">
        <v>159</v>
      </c>
      <c r="AU18" s="37" t="s">
        <v>159</v>
      </c>
      <c r="AV18" s="37" t="s">
        <v>159</v>
      </c>
      <c r="AW18" s="37" t="s">
        <v>159</v>
      </c>
      <c r="AX18" s="37" t="s">
        <v>159</v>
      </c>
      <c r="AY18" s="37" t="s">
        <v>159</v>
      </c>
      <c r="AZ18" s="37" t="s">
        <v>159</v>
      </c>
      <c r="BA18" s="37" t="s">
        <v>159</v>
      </c>
      <c r="BB18" s="37" t="s">
        <v>159</v>
      </c>
      <c r="BC18" s="37" t="s">
        <v>159</v>
      </c>
      <c r="BD18" s="37" t="s">
        <v>159</v>
      </c>
      <c r="BE18" s="37" t="s">
        <v>159</v>
      </c>
      <c r="BF18" s="37" t="s">
        <v>159</v>
      </c>
      <c r="BG18" s="37" t="s">
        <v>159</v>
      </c>
      <c r="BH18" s="37" t="s">
        <v>159</v>
      </c>
      <c r="BI18" s="37" t="s">
        <v>159</v>
      </c>
      <c r="BJ18" s="37" t="s">
        <v>159</v>
      </c>
      <c r="BK18" s="37" t="s">
        <v>159</v>
      </c>
      <c r="BL18" s="37" t="s">
        <v>159</v>
      </c>
      <c r="BM18" s="37" t="s">
        <v>159</v>
      </c>
      <c r="BN18" s="37" t="s">
        <v>159</v>
      </c>
      <c r="BO18" s="37" t="s">
        <v>159</v>
      </c>
      <c r="BP18" s="46">
        <v>13</v>
      </c>
      <c r="BQ18" s="46">
        <v>188.745</v>
      </c>
      <c r="BR18" s="46">
        <v>-5</v>
      </c>
      <c r="BS18" s="46">
        <v>-7</v>
      </c>
      <c r="BT18" s="46">
        <v>96</v>
      </c>
      <c r="BU18" s="46">
        <v>1</v>
      </c>
      <c r="BV18" s="46">
        <v>40</v>
      </c>
      <c r="BW18" s="46">
        <v>55.700699999999998</v>
      </c>
      <c r="BX18" s="46">
        <v>-244</v>
      </c>
      <c r="BY18" s="46">
        <v>116.1866</v>
      </c>
      <c r="BZ18" s="46">
        <v>102.7252</v>
      </c>
      <c r="CA18" s="46">
        <v>0</v>
      </c>
      <c r="CB18" s="46">
        <v>0</v>
      </c>
      <c r="CC18" s="46">
        <v>1</v>
      </c>
      <c r="CD18" s="46">
        <v>251</v>
      </c>
      <c r="CE18" s="46">
        <v>1</v>
      </c>
      <c r="CF18" s="46">
        <v>1597</v>
      </c>
      <c r="CG18" s="46">
        <v>3652152832</v>
      </c>
      <c r="CH18" s="46">
        <v>193</v>
      </c>
      <c r="CI18" s="46">
        <v>0</v>
      </c>
      <c r="CJ18" s="46">
        <v>0</v>
      </c>
      <c r="CK18" s="46">
        <v>1</v>
      </c>
      <c r="CL18" s="46">
        <v>13</v>
      </c>
      <c r="CM18" s="46">
        <v>0</v>
      </c>
      <c r="CN18" s="46">
        <v>0</v>
      </c>
      <c r="CO18" s="46">
        <v>0</v>
      </c>
      <c r="CP18" s="46">
        <v>806.16</v>
      </c>
      <c r="CQ18" s="46">
        <v>1</v>
      </c>
      <c r="CR18" s="46">
        <v>1</v>
      </c>
      <c r="CS18" s="46">
        <v>0</v>
      </c>
      <c r="CT18" s="46">
        <v>1</v>
      </c>
      <c r="CU18" s="46">
        <v>1</v>
      </c>
      <c r="CV18" s="46">
        <v>1</v>
      </c>
      <c r="CW18" s="46">
        <v>0</v>
      </c>
      <c r="CX18" s="46">
        <v>0</v>
      </c>
      <c r="CY18" s="50" t="s">
        <v>159</v>
      </c>
      <c r="CZ18" s="37"/>
      <c r="DA18" s="38"/>
    </row>
    <row r="19" spans="1:105" x14ac:dyDescent="0.25">
      <c r="A19" s="36">
        <v>16</v>
      </c>
      <c r="B19" s="46" t="s">
        <v>744</v>
      </c>
      <c r="C19" s="46">
        <v>17801</v>
      </c>
      <c r="D19" s="46">
        <v>12768</v>
      </c>
      <c r="E19" s="46">
        <v>3</v>
      </c>
      <c r="F19" s="46">
        <v>12</v>
      </c>
      <c r="G19" s="56">
        <v>5</v>
      </c>
      <c r="H19" s="46">
        <v>-7</v>
      </c>
      <c r="I19" s="46">
        <v>0.21</v>
      </c>
      <c r="J19" s="46">
        <v>1850</v>
      </c>
      <c r="K19" s="46">
        <v>214.06139999999999</v>
      </c>
      <c r="L19" s="46">
        <v>133.68029999999999</v>
      </c>
      <c r="M19" s="46">
        <v>1</v>
      </c>
      <c r="N19" s="46">
        <v>0</v>
      </c>
      <c r="O19" s="46">
        <v>193.58260000000001</v>
      </c>
      <c r="P19" s="46">
        <v>0</v>
      </c>
      <c r="Q19" s="46">
        <v>63</v>
      </c>
      <c r="R19" s="46">
        <v>0</v>
      </c>
      <c r="S19" s="46">
        <v>1720</v>
      </c>
      <c r="T19" s="46">
        <v>2244507904</v>
      </c>
      <c r="U19" s="46">
        <v>95</v>
      </c>
      <c r="V19" s="46">
        <v>179</v>
      </c>
      <c r="W19" s="46">
        <v>320.24400000000003</v>
      </c>
      <c r="X19" s="46">
        <v>92.434299999999993</v>
      </c>
      <c r="Y19" s="46">
        <v>0.04</v>
      </c>
      <c r="Z19" s="46">
        <v>910.04</v>
      </c>
      <c r="AA19" s="63">
        <v>3</v>
      </c>
      <c r="AB19" s="63">
        <v>12</v>
      </c>
      <c r="AC19" s="46">
        <v>14</v>
      </c>
      <c r="AD19" s="46">
        <v>271</v>
      </c>
      <c r="AE19" s="46">
        <v>28776</v>
      </c>
      <c r="AF19" s="46">
        <v>2933168384</v>
      </c>
      <c r="AG19" s="37" t="s">
        <v>159</v>
      </c>
      <c r="AH19" s="37" t="s">
        <v>159</v>
      </c>
      <c r="AI19" s="37" t="s">
        <v>159</v>
      </c>
      <c r="AJ19" s="37" t="s">
        <v>159</v>
      </c>
      <c r="AK19" s="37" t="s">
        <v>159</v>
      </c>
      <c r="AL19" s="37" t="s">
        <v>159</v>
      </c>
      <c r="AM19" s="37" t="s">
        <v>159</v>
      </c>
      <c r="AN19" s="37" t="s">
        <v>159</v>
      </c>
      <c r="AO19" s="37" t="s">
        <v>159</v>
      </c>
      <c r="AP19" s="37" t="s">
        <v>159</v>
      </c>
      <c r="AQ19" s="37" t="s">
        <v>159</v>
      </c>
      <c r="AR19" s="37" t="s">
        <v>159</v>
      </c>
      <c r="AS19" s="37" t="s">
        <v>159</v>
      </c>
      <c r="AT19" s="37" t="s">
        <v>159</v>
      </c>
      <c r="AU19" s="37" t="s">
        <v>159</v>
      </c>
      <c r="AV19" s="37" t="s">
        <v>159</v>
      </c>
      <c r="AW19" s="37" t="s">
        <v>159</v>
      </c>
      <c r="AX19" s="37" t="s">
        <v>159</v>
      </c>
      <c r="AY19" s="37" t="s">
        <v>159</v>
      </c>
      <c r="AZ19" s="37" t="s">
        <v>159</v>
      </c>
      <c r="BA19" s="37" t="s">
        <v>159</v>
      </c>
      <c r="BB19" s="37" t="s">
        <v>159</v>
      </c>
      <c r="BC19" s="37" t="s">
        <v>159</v>
      </c>
      <c r="BD19" s="37" t="s">
        <v>159</v>
      </c>
      <c r="BE19" s="37" t="s">
        <v>159</v>
      </c>
      <c r="BF19" s="37" t="s">
        <v>159</v>
      </c>
      <c r="BG19" s="37" t="s">
        <v>159</v>
      </c>
      <c r="BH19" s="37" t="s">
        <v>159</v>
      </c>
      <c r="BI19" s="37" t="s">
        <v>159</v>
      </c>
      <c r="BJ19" s="37" t="s">
        <v>159</v>
      </c>
      <c r="BK19" s="37" t="s">
        <v>159</v>
      </c>
      <c r="BL19" s="37" t="s">
        <v>159</v>
      </c>
      <c r="BM19" s="37" t="s">
        <v>159</v>
      </c>
      <c r="BN19" s="37" t="s">
        <v>159</v>
      </c>
      <c r="BO19" s="37" t="s">
        <v>159</v>
      </c>
      <c r="BP19" s="46">
        <v>14</v>
      </c>
      <c r="BQ19" s="46">
        <v>133.68029999999999</v>
      </c>
      <c r="BR19" s="46">
        <v>5</v>
      </c>
      <c r="BS19" s="46">
        <v>-7</v>
      </c>
      <c r="BT19" s="46">
        <v>0</v>
      </c>
      <c r="BU19" s="46">
        <v>104</v>
      </c>
      <c r="BV19" s="46">
        <v>48</v>
      </c>
      <c r="BW19" s="46">
        <v>193.58260000000001</v>
      </c>
      <c r="BX19" s="46">
        <v>1850</v>
      </c>
      <c r="BY19" s="46">
        <v>320.24400000000003</v>
      </c>
      <c r="BZ19" s="46">
        <v>92.434299999999993</v>
      </c>
      <c r="CA19" s="46">
        <v>1</v>
      </c>
      <c r="CB19" s="46">
        <v>0</v>
      </c>
      <c r="CC19" s="46">
        <v>1</v>
      </c>
      <c r="CD19" s="46">
        <v>271</v>
      </c>
      <c r="CE19" s="46">
        <v>1</v>
      </c>
      <c r="CF19" s="46">
        <v>1720</v>
      </c>
      <c r="CG19" s="46">
        <v>2244507904</v>
      </c>
      <c r="CH19" s="46">
        <v>94</v>
      </c>
      <c r="CI19" s="46">
        <v>0</v>
      </c>
      <c r="CJ19" s="46">
        <v>0</v>
      </c>
      <c r="CK19" s="46">
        <v>1</v>
      </c>
      <c r="CL19" s="46">
        <v>14</v>
      </c>
      <c r="CM19" s="46">
        <v>0</v>
      </c>
      <c r="CN19" s="46">
        <v>0</v>
      </c>
      <c r="CO19" s="46">
        <v>0</v>
      </c>
      <c r="CP19" s="46">
        <v>910.04</v>
      </c>
      <c r="CQ19" s="46">
        <v>1</v>
      </c>
      <c r="CR19" s="46">
        <v>1</v>
      </c>
      <c r="CS19" s="46">
        <v>0</v>
      </c>
      <c r="CT19" s="46">
        <v>1</v>
      </c>
      <c r="CU19" s="46">
        <v>1</v>
      </c>
      <c r="CV19" s="46">
        <v>1</v>
      </c>
      <c r="CW19" s="46">
        <v>0</v>
      </c>
      <c r="CX19" s="46">
        <v>0</v>
      </c>
      <c r="CY19" s="50" t="s">
        <v>159</v>
      </c>
      <c r="CZ19" s="37"/>
      <c r="DA19" s="38"/>
    </row>
    <row r="20" spans="1:105" x14ac:dyDescent="0.25">
      <c r="A20" s="36">
        <v>17</v>
      </c>
      <c r="B20" s="46" t="s">
        <v>745</v>
      </c>
      <c r="C20" s="46">
        <v>4245</v>
      </c>
      <c r="D20" s="46">
        <v>4642</v>
      </c>
      <c r="E20" s="46">
        <v>3</v>
      </c>
      <c r="F20" s="46">
        <v>6</v>
      </c>
      <c r="G20" s="56">
        <v>1</v>
      </c>
      <c r="H20" s="46">
        <v>5</v>
      </c>
      <c r="I20" s="46">
        <v>0.25</v>
      </c>
      <c r="J20" s="46">
        <v>-805</v>
      </c>
      <c r="K20" s="46">
        <v>61.882899999999999</v>
      </c>
      <c r="L20" s="46">
        <v>321.32679999999999</v>
      </c>
      <c r="M20" s="46">
        <v>1</v>
      </c>
      <c r="N20" s="46">
        <v>1</v>
      </c>
      <c r="O20" s="46">
        <v>347.06209999999999</v>
      </c>
      <c r="P20" s="46">
        <v>0</v>
      </c>
      <c r="Q20" s="46">
        <v>89</v>
      </c>
      <c r="R20" s="46">
        <v>1</v>
      </c>
      <c r="S20" s="46">
        <v>1843</v>
      </c>
      <c r="T20" s="46">
        <v>124344320</v>
      </c>
      <c r="U20" s="46">
        <v>2</v>
      </c>
      <c r="V20" s="46">
        <v>79</v>
      </c>
      <c r="W20" s="46">
        <v>125.7205</v>
      </c>
      <c r="X20" s="46">
        <v>259.9819</v>
      </c>
      <c r="Y20" s="46">
        <v>4.3999999999999997E-2</v>
      </c>
      <c r="Z20" s="46">
        <v>1013.92</v>
      </c>
      <c r="AA20" s="63">
        <v>3</v>
      </c>
      <c r="AB20" s="63">
        <v>6</v>
      </c>
      <c r="AC20" s="46">
        <v>15</v>
      </c>
      <c r="AD20" s="46">
        <v>291</v>
      </c>
      <c r="AE20" s="46">
        <v>33146</v>
      </c>
      <c r="AF20" s="46">
        <v>1690630144</v>
      </c>
      <c r="AG20" s="37" t="s">
        <v>159</v>
      </c>
      <c r="AH20" s="37" t="s">
        <v>159</v>
      </c>
      <c r="AI20" s="37" t="s">
        <v>159</v>
      </c>
      <c r="AJ20" s="37" t="s">
        <v>159</v>
      </c>
      <c r="AK20" s="37" t="s">
        <v>159</v>
      </c>
      <c r="AL20" s="37" t="s">
        <v>159</v>
      </c>
      <c r="AM20" s="37" t="s">
        <v>159</v>
      </c>
      <c r="AN20" s="37" t="s">
        <v>159</v>
      </c>
      <c r="AO20" s="37" t="s">
        <v>159</v>
      </c>
      <c r="AP20" s="37" t="s">
        <v>159</v>
      </c>
      <c r="AQ20" s="37" t="s">
        <v>159</v>
      </c>
      <c r="AR20" s="37" t="s">
        <v>159</v>
      </c>
      <c r="AS20" s="37" t="s">
        <v>159</v>
      </c>
      <c r="AT20" s="37" t="s">
        <v>159</v>
      </c>
      <c r="AU20" s="37" t="s">
        <v>159</v>
      </c>
      <c r="AV20" s="37" t="s">
        <v>159</v>
      </c>
      <c r="AW20" s="37" t="s">
        <v>159</v>
      </c>
      <c r="AX20" s="37" t="s">
        <v>159</v>
      </c>
      <c r="AY20" s="37" t="s">
        <v>159</v>
      </c>
      <c r="AZ20" s="37" t="s">
        <v>159</v>
      </c>
      <c r="BA20" s="37" t="s">
        <v>159</v>
      </c>
      <c r="BB20" s="37" t="s">
        <v>159</v>
      </c>
      <c r="BC20" s="37" t="s">
        <v>159</v>
      </c>
      <c r="BD20" s="37" t="s">
        <v>159</v>
      </c>
      <c r="BE20" s="37" t="s">
        <v>159</v>
      </c>
      <c r="BF20" s="37" t="s">
        <v>159</v>
      </c>
      <c r="BG20" s="37" t="s">
        <v>159</v>
      </c>
      <c r="BH20" s="37" t="s">
        <v>159</v>
      </c>
      <c r="BI20" s="37" t="s">
        <v>159</v>
      </c>
      <c r="BJ20" s="37" t="s">
        <v>159</v>
      </c>
      <c r="BK20" s="37" t="s">
        <v>159</v>
      </c>
      <c r="BL20" s="37" t="s">
        <v>159</v>
      </c>
      <c r="BM20" s="37" t="s">
        <v>159</v>
      </c>
      <c r="BN20" s="37" t="s">
        <v>159</v>
      </c>
      <c r="BO20" s="37" t="s">
        <v>159</v>
      </c>
      <c r="BP20" s="46">
        <v>15</v>
      </c>
      <c r="BQ20" s="46">
        <v>321.32679999999999</v>
      </c>
      <c r="BR20" s="46">
        <v>1</v>
      </c>
      <c r="BS20" s="46">
        <v>5</v>
      </c>
      <c r="BT20" s="46">
        <v>54</v>
      </c>
      <c r="BU20" s="46">
        <v>21</v>
      </c>
      <c r="BV20" s="46">
        <v>75</v>
      </c>
      <c r="BW20" s="46">
        <v>347.06209999999999</v>
      </c>
      <c r="BX20" s="46">
        <v>-805</v>
      </c>
      <c r="BY20" s="46">
        <v>125.7205</v>
      </c>
      <c r="BZ20" s="46">
        <v>259.9819</v>
      </c>
      <c r="CA20" s="46">
        <v>1</v>
      </c>
      <c r="CB20" s="46">
        <v>1</v>
      </c>
      <c r="CC20" s="46">
        <v>1</v>
      </c>
      <c r="CD20" s="46">
        <v>291</v>
      </c>
      <c r="CE20" s="46">
        <v>1</v>
      </c>
      <c r="CF20" s="46">
        <v>33146</v>
      </c>
      <c r="CG20" s="46">
        <v>1690630144</v>
      </c>
      <c r="CH20" s="46">
        <v>1</v>
      </c>
      <c r="CI20" s="46">
        <v>0</v>
      </c>
      <c r="CJ20" s="46">
        <v>0</v>
      </c>
      <c r="CK20" s="46">
        <v>1</v>
      </c>
      <c r="CL20" s="46">
        <v>15</v>
      </c>
      <c r="CM20" s="46">
        <v>0</v>
      </c>
      <c r="CN20" s="46">
        <v>0</v>
      </c>
      <c r="CO20" s="46">
        <v>0</v>
      </c>
      <c r="CP20" s="46">
        <v>1013.92</v>
      </c>
      <c r="CQ20" s="46">
        <v>1</v>
      </c>
      <c r="CR20" s="46">
        <v>1</v>
      </c>
      <c r="CS20" s="46">
        <v>0</v>
      </c>
      <c r="CT20" s="46">
        <v>1</v>
      </c>
      <c r="CU20" s="46">
        <v>1</v>
      </c>
      <c r="CV20" s="46">
        <v>1</v>
      </c>
      <c r="CW20" s="46">
        <v>1</v>
      </c>
      <c r="CX20" s="46">
        <v>1</v>
      </c>
      <c r="CY20" s="50" t="s">
        <v>159</v>
      </c>
      <c r="CZ20" s="37"/>
      <c r="DA20" s="38"/>
    </row>
    <row r="21" spans="1:105" x14ac:dyDescent="0.25">
      <c r="A21" s="36">
        <v>18</v>
      </c>
      <c r="B21" s="46" t="s">
        <v>746</v>
      </c>
      <c r="C21" s="46">
        <v>27630</v>
      </c>
      <c r="D21" s="46">
        <v>21400</v>
      </c>
      <c r="E21" s="46">
        <v>0</v>
      </c>
      <c r="F21" s="46">
        <v>12</v>
      </c>
      <c r="G21" s="56">
        <v>0</v>
      </c>
      <c r="H21" s="46">
        <v>-1</v>
      </c>
      <c r="I21" s="46">
        <v>0.28999999999999998</v>
      </c>
      <c r="J21" s="46">
        <v>-998</v>
      </c>
      <c r="K21" s="46">
        <v>30.002300000000002</v>
      </c>
      <c r="L21" s="46">
        <v>300.21789999999999</v>
      </c>
      <c r="M21" s="46">
        <v>1</v>
      </c>
      <c r="N21" s="46">
        <v>1</v>
      </c>
      <c r="O21" s="46">
        <v>238.4357</v>
      </c>
      <c r="P21" s="46">
        <v>1</v>
      </c>
      <c r="Q21" s="46">
        <v>115</v>
      </c>
      <c r="R21" s="46">
        <v>1</v>
      </c>
      <c r="S21" s="46">
        <v>1966</v>
      </c>
      <c r="T21" s="46">
        <v>2697116416</v>
      </c>
      <c r="U21" s="46">
        <v>88</v>
      </c>
      <c r="V21" s="46">
        <v>215</v>
      </c>
      <c r="W21" s="46">
        <v>65.532499999999999</v>
      </c>
      <c r="X21" s="46">
        <v>317.5016</v>
      </c>
      <c r="Y21" s="46">
        <v>4.8000000000000001E-2</v>
      </c>
      <c r="Z21" s="46">
        <v>1117.8</v>
      </c>
      <c r="AA21" s="63">
        <v>0</v>
      </c>
      <c r="AB21" s="63">
        <v>12</v>
      </c>
      <c r="AC21" s="46">
        <v>16</v>
      </c>
      <c r="AD21" s="46">
        <v>311</v>
      </c>
      <c r="AE21" s="46">
        <v>17600</v>
      </c>
      <c r="AF21" s="46">
        <v>4281326336</v>
      </c>
      <c r="AG21" s="37" t="s">
        <v>159</v>
      </c>
      <c r="AH21" s="37" t="s">
        <v>159</v>
      </c>
      <c r="AI21" s="37" t="s">
        <v>159</v>
      </c>
      <c r="AJ21" s="37" t="s">
        <v>159</v>
      </c>
      <c r="AK21" s="37" t="s">
        <v>159</v>
      </c>
      <c r="AL21" s="37" t="s">
        <v>159</v>
      </c>
      <c r="AM21" s="37" t="s">
        <v>159</v>
      </c>
      <c r="AN21" s="37" t="s">
        <v>159</v>
      </c>
      <c r="AO21" s="37" t="s">
        <v>159</v>
      </c>
      <c r="AP21" s="37" t="s">
        <v>159</v>
      </c>
      <c r="AQ21" s="37" t="s">
        <v>159</v>
      </c>
      <c r="AR21" s="37" t="s">
        <v>159</v>
      </c>
      <c r="AS21" s="37" t="s">
        <v>159</v>
      </c>
      <c r="AT21" s="37" t="s">
        <v>159</v>
      </c>
      <c r="AU21" s="37" t="s">
        <v>159</v>
      </c>
      <c r="AV21" s="37" t="s">
        <v>159</v>
      </c>
      <c r="AW21" s="37" t="s">
        <v>159</v>
      </c>
      <c r="AX21" s="37" t="s">
        <v>159</v>
      </c>
      <c r="AY21" s="37" t="s">
        <v>159</v>
      </c>
      <c r="AZ21" s="37" t="s">
        <v>159</v>
      </c>
      <c r="BA21" s="37" t="s">
        <v>159</v>
      </c>
      <c r="BB21" s="37" t="s">
        <v>159</v>
      </c>
      <c r="BC21" s="37" t="s">
        <v>159</v>
      </c>
      <c r="BD21" s="37" t="s">
        <v>159</v>
      </c>
      <c r="BE21" s="37" t="s">
        <v>159</v>
      </c>
      <c r="BF21" s="37" t="s">
        <v>159</v>
      </c>
      <c r="BG21" s="37" t="s">
        <v>159</v>
      </c>
      <c r="BH21" s="37" t="s">
        <v>159</v>
      </c>
      <c r="BI21" s="37" t="s">
        <v>159</v>
      </c>
      <c r="BJ21" s="37" t="s">
        <v>159</v>
      </c>
      <c r="BK21" s="37" t="s">
        <v>159</v>
      </c>
      <c r="BL21" s="37" t="s">
        <v>159</v>
      </c>
      <c r="BM21" s="37" t="s">
        <v>159</v>
      </c>
      <c r="BN21" s="37" t="s">
        <v>159</v>
      </c>
      <c r="BO21" s="37" t="s">
        <v>159</v>
      </c>
      <c r="BP21" s="46">
        <v>16</v>
      </c>
      <c r="BQ21" s="46">
        <v>300.21789999999999</v>
      </c>
      <c r="BR21" s="46">
        <v>0</v>
      </c>
      <c r="BS21" s="46">
        <v>-1</v>
      </c>
      <c r="BT21" s="46">
        <v>2</v>
      </c>
      <c r="BU21" s="46">
        <v>43</v>
      </c>
      <c r="BV21" s="46">
        <v>43</v>
      </c>
      <c r="BW21" s="46">
        <v>238.4357</v>
      </c>
      <c r="BX21" s="46">
        <v>-998</v>
      </c>
      <c r="BY21" s="46">
        <v>65.532499999999999</v>
      </c>
      <c r="BZ21" s="46">
        <v>317.5016</v>
      </c>
      <c r="CA21" s="46">
        <v>1</v>
      </c>
      <c r="CB21" s="46">
        <v>1</v>
      </c>
      <c r="CC21" s="46">
        <v>1</v>
      </c>
      <c r="CD21" s="46">
        <v>115</v>
      </c>
      <c r="CE21" s="46">
        <v>1</v>
      </c>
      <c r="CF21" s="46">
        <v>17600</v>
      </c>
      <c r="CG21" s="46">
        <v>4281326336</v>
      </c>
      <c r="CH21" s="46">
        <v>87</v>
      </c>
      <c r="CI21" s="46">
        <v>0</v>
      </c>
      <c r="CJ21" s="46">
        <v>0</v>
      </c>
      <c r="CK21" s="46">
        <v>1</v>
      </c>
      <c r="CL21" s="46">
        <v>16</v>
      </c>
      <c r="CM21" s="46">
        <v>0</v>
      </c>
      <c r="CN21" s="46">
        <v>0</v>
      </c>
      <c r="CO21" s="46">
        <v>0</v>
      </c>
      <c r="CP21" s="46">
        <v>1117.8</v>
      </c>
      <c r="CQ21" s="46">
        <v>1</v>
      </c>
      <c r="CR21" s="46">
        <v>1</v>
      </c>
      <c r="CS21" s="46">
        <v>0</v>
      </c>
      <c r="CT21" s="46">
        <v>1</v>
      </c>
      <c r="CU21" s="46">
        <v>1</v>
      </c>
      <c r="CV21" s="46">
        <v>0</v>
      </c>
      <c r="CW21" s="46">
        <v>1</v>
      </c>
      <c r="CX21" s="46">
        <v>1</v>
      </c>
      <c r="CY21" s="50" t="s">
        <v>159</v>
      </c>
      <c r="CZ21" s="37"/>
      <c r="DA21" s="38"/>
    </row>
    <row r="22" spans="1:105" x14ac:dyDescent="0.25">
      <c r="A22" s="36">
        <v>19</v>
      </c>
      <c r="B22" s="46" t="s">
        <v>747</v>
      </c>
      <c r="C22" s="46">
        <v>5229</v>
      </c>
      <c r="D22" s="46">
        <v>55425</v>
      </c>
      <c r="E22" s="46">
        <v>4</v>
      </c>
      <c r="F22" s="46">
        <v>28</v>
      </c>
      <c r="G22" s="56">
        <v>-2</v>
      </c>
      <c r="H22" s="46">
        <v>-7</v>
      </c>
      <c r="I22" s="46">
        <v>0.33</v>
      </c>
      <c r="J22" s="46">
        <v>41</v>
      </c>
      <c r="K22" s="46">
        <v>286.8297</v>
      </c>
      <c r="L22" s="46">
        <v>159.4906</v>
      </c>
      <c r="M22" s="46">
        <v>1</v>
      </c>
      <c r="N22" s="46">
        <v>0</v>
      </c>
      <c r="O22" s="46">
        <v>208.31649999999999</v>
      </c>
      <c r="P22" s="46">
        <v>1</v>
      </c>
      <c r="Q22" s="46">
        <v>141</v>
      </c>
      <c r="R22" s="46">
        <v>1</v>
      </c>
      <c r="S22" s="46">
        <v>2089</v>
      </c>
      <c r="T22" s="46">
        <v>1778553344</v>
      </c>
      <c r="U22" s="46">
        <v>135</v>
      </c>
      <c r="V22" s="46">
        <v>23</v>
      </c>
      <c r="W22" s="46">
        <v>349.80930000000001</v>
      </c>
      <c r="X22" s="46">
        <v>246.89240000000001</v>
      </c>
      <c r="Y22" s="46">
        <v>5.1999999999999998E-2</v>
      </c>
      <c r="Z22" s="46">
        <v>1221.68</v>
      </c>
      <c r="AA22" s="63">
        <v>4</v>
      </c>
      <c r="AB22" s="63">
        <v>28</v>
      </c>
      <c r="AC22" s="46">
        <v>15</v>
      </c>
      <c r="AD22" s="46">
        <v>331</v>
      </c>
      <c r="AE22" s="46">
        <v>1913</v>
      </c>
      <c r="AF22" s="46">
        <v>3946525184</v>
      </c>
      <c r="AG22" s="37" t="s">
        <v>159</v>
      </c>
      <c r="AH22" s="37" t="s">
        <v>159</v>
      </c>
      <c r="AI22" s="37" t="s">
        <v>159</v>
      </c>
      <c r="AJ22" s="37" t="s">
        <v>159</v>
      </c>
      <c r="AK22" s="37" t="s">
        <v>159</v>
      </c>
      <c r="AL22" s="37" t="s">
        <v>159</v>
      </c>
      <c r="AM22" s="37" t="s">
        <v>159</v>
      </c>
      <c r="AN22" s="37" t="s">
        <v>159</v>
      </c>
      <c r="AO22" s="37" t="s">
        <v>159</v>
      </c>
      <c r="AP22" s="37" t="s">
        <v>159</v>
      </c>
      <c r="AQ22" s="37" t="s">
        <v>159</v>
      </c>
      <c r="AR22" s="37" t="s">
        <v>159</v>
      </c>
      <c r="AS22" s="37" t="s">
        <v>159</v>
      </c>
      <c r="AT22" s="37" t="s">
        <v>159</v>
      </c>
      <c r="AU22" s="37" t="s">
        <v>159</v>
      </c>
      <c r="AV22" s="37" t="s">
        <v>159</v>
      </c>
      <c r="AW22" s="37" t="s">
        <v>159</v>
      </c>
      <c r="AX22" s="37" t="s">
        <v>159</v>
      </c>
      <c r="AY22" s="37" t="s">
        <v>159</v>
      </c>
      <c r="AZ22" s="37" t="s">
        <v>159</v>
      </c>
      <c r="BA22" s="37" t="s">
        <v>159</v>
      </c>
      <c r="BB22" s="37" t="s">
        <v>159</v>
      </c>
      <c r="BC22" s="37" t="s">
        <v>159</v>
      </c>
      <c r="BD22" s="37" t="s">
        <v>159</v>
      </c>
      <c r="BE22" s="37" t="s">
        <v>159</v>
      </c>
      <c r="BF22" s="37" t="s">
        <v>159</v>
      </c>
      <c r="BG22" s="37" t="s">
        <v>159</v>
      </c>
      <c r="BH22" s="37" t="s">
        <v>159</v>
      </c>
      <c r="BI22" s="37" t="s">
        <v>159</v>
      </c>
      <c r="BJ22" s="37" t="s">
        <v>159</v>
      </c>
      <c r="BK22" s="37" t="s">
        <v>159</v>
      </c>
      <c r="BL22" s="37" t="s">
        <v>159</v>
      </c>
      <c r="BM22" s="37" t="s">
        <v>159</v>
      </c>
      <c r="BN22" s="37" t="s">
        <v>159</v>
      </c>
      <c r="BO22" s="37" t="s">
        <v>159</v>
      </c>
      <c r="BP22" s="46">
        <v>15</v>
      </c>
      <c r="BQ22" s="46">
        <v>159.4906</v>
      </c>
      <c r="BR22" s="46">
        <v>-2</v>
      </c>
      <c r="BS22" s="46">
        <v>-7</v>
      </c>
      <c r="BT22" s="46">
        <v>32</v>
      </c>
      <c r="BU22" s="46">
        <v>95</v>
      </c>
      <c r="BV22" s="46">
        <v>118</v>
      </c>
      <c r="BW22" s="46">
        <v>208.31649999999999</v>
      </c>
      <c r="BX22" s="46">
        <v>41</v>
      </c>
      <c r="BY22" s="46">
        <v>349.80930000000001</v>
      </c>
      <c r="BZ22" s="46">
        <v>246.89240000000001</v>
      </c>
      <c r="CA22" s="46">
        <v>1</v>
      </c>
      <c r="CB22" s="46">
        <v>0</v>
      </c>
      <c r="CC22" s="46">
        <v>1</v>
      </c>
      <c r="CD22" s="46">
        <v>141</v>
      </c>
      <c r="CE22" s="46">
        <v>1</v>
      </c>
      <c r="CF22" s="46">
        <v>1913</v>
      </c>
      <c r="CG22" s="46">
        <v>3946525184</v>
      </c>
      <c r="CH22" s="46">
        <v>134</v>
      </c>
      <c r="CI22" s="46">
        <v>0</v>
      </c>
      <c r="CJ22" s="46">
        <v>0</v>
      </c>
      <c r="CK22" s="46">
        <v>1</v>
      </c>
      <c r="CL22" s="46">
        <v>15</v>
      </c>
      <c r="CM22" s="46">
        <v>0</v>
      </c>
      <c r="CN22" s="46">
        <v>0</v>
      </c>
      <c r="CO22" s="46">
        <v>0</v>
      </c>
      <c r="CP22" s="46">
        <v>1221.68</v>
      </c>
      <c r="CQ22" s="46">
        <v>1</v>
      </c>
      <c r="CR22" s="46">
        <v>1</v>
      </c>
      <c r="CS22" s="46">
        <v>0</v>
      </c>
      <c r="CT22" s="46">
        <v>1</v>
      </c>
      <c r="CU22" s="46">
        <v>1</v>
      </c>
      <c r="CV22" s="46">
        <v>0</v>
      </c>
      <c r="CW22" s="46">
        <v>1</v>
      </c>
      <c r="CX22" s="46">
        <v>1</v>
      </c>
      <c r="CY22" s="50" t="s">
        <v>159</v>
      </c>
      <c r="CZ22" s="37"/>
      <c r="DA22" s="38"/>
    </row>
    <row r="23" spans="1:105" x14ac:dyDescent="0.25">
      <c r="A23" s="36">
        <v>20</v>
      </c>
      <c r="B23" s="46" t="s">
        <v>748</v>
      </c>
      <c r="C23" s="46">
        <v>6989</v>
      </c>
      <c r="D23" s="46">
        <v>40418</v>
      </c>
      <c r="E23" s="46">
        <v>4</v>
      </c>
      <c r="F23" s="46">
        <v>13</v>
      </c>
      <c r="G23" s="46">
        <v>-3</v>
      </c>
      <c r="H23" s="56">
        <v>-11</v>
      </c>
      <c r="I23" s="46">
        <v>0.37</v>
      </c>
      <c r="J23" s="46">
        <v>247</v>
      </c>
      <c r="K23" s="46">
        <v>55.977699999999999</v>
      </c>
      <c r="L23" s="46">
        <v>178.52209999999999</v>
      </c>
      <c r="M23" s="46">
        <v>0</v>
      </c>
      <c r="N23" s="46">
        <v>1</v>
      </c>
      <c r="O23" s="46">
        <v>351.35669999999999</v>
      </c>
      <c r="P23" s="46">
        <v>0</v>
      </c>
      <c r="Q23" s="46">
        <v>167</v>
      </c>
      <c r="R23" s="46">
        <v>1</v>
      </c>
      <c r="S23" s="46">
        <v>2212</v>
      </c>
      <c r="T23" s="46">
        <v>2120158464</v>
      </c>
      <c r="U23" s="46">
        <v>154</v>
      </c>
      <c r="V23" s="46">
        <v>2</v>
      </c>
      <c r="W23" s="46">
        <v>336.52870000000001</v>
      </c>
      <c r="X23" s="46">
        <v>220.55789999999999</v>
      </c>
      <c r="Y23" s="46">
        <v>5.6000000000000001E-2</v>
      </c>
      <c r="Z23" s="46">
        <v>1325.56</v>
      </c>
      <c r="AA23" s="63">
        <v>4</v>
      </c>
      <c r="AB23" s="63">
        <v>13</v>
      </c>
      <c r="AC23" s="46">
        <v>14</v>
      </c>
      <c r="AD23" s="46">
        <v>351</v>
      </c>
      <c r="AE23" s="46">
        <v>51625</v>
      </c>
      <c r="AF23" s="46">
        <v>624241920</v>
      </c>
      <c r="AG23" s="37" t="s">
        <v>159</v>
      </c>
      <c r="AH23" s="37" t="s">
        <v>159</v>
      </c>
      <c r="AI23" s="37" t="s">
        <v>159</v>
      </c>
      <c r="AJ23" s="37" t="s">
        <v>159</v>
      </c>
      <c r="AK23" s="37" t="s">
        <v>159</v>
      </c>
      <c r="AL23" s="37" t="s">
        <v>159</v>
      </c>
      <c r="AM23" s="37" t="s">
        <v>159</v>
      </c>
      <c r="AN23" s="37" t="s">
        <v>159</v>
      </c>
      <c r="AO23" s="37" t="s">
        <v>159</v>
      </c>
      <c r="AP23" s="37" t="s">
        <v>159</v>
      </c>
      <c r="AQ23" s="37" t="s">
        <v>159</v>
      </c>
      <c r="AR23" s="37" t="s">
        <v>159</v>
      </c>
      <c r="AS23" s="37" t="s">
        <v>159</v>
      </c>
      <c r="AT23" s="37" t="s">
        <v>159</v>
      </c>
      <c r="AU23" s="37" t="s">
        <v>159</v>
      </c>
      <c r="AV23" s="37" t="s">
        <v>159</v>
      </c>
      <c r="AW23" s="37" t="s">
        <v>159</v>
      </c>
      <c r="AX23" s="37" t="s">
        <v>159</v>
      </c>
      <c r="AY23" s="37" t="s">
        <v>159</v>
      </c>
      <c r="AZ23" s="37" t="s">
        <v>159</v>
      </c>
      <c r="BA23" s="37" t="s">
        <v>159</v>
      </c>
      <c r="BB23" s="37" t="s">
        <v>159</v>
      </c>
      <c r="BC23" s="37" t="s">
        <v>159</v>
      </c>
      <c r="BD23" s="37" t="s">
        <v>159</v>
      </c>
      <c r="BE23" s="37" t="s">
        <v>159</v>
      </c>
      <c r="BF23" s="37" t="s">
        <v>159</v>
      </c>
      <c r="BG23" s="37" t="s">
        <v>159</v>
      </c>
      <c r="BH23" s="37" t="s">
        <v>159</v>
      </c>
      <c r="BI23" s="37" t="s">
        <v>159</v>
      </c>
      <c r="BJ23" s="37" t="s">
        <v>159</v>
      </c>
      <c r="BK23" s="37" t="s">
        <v>159</v>
      </c>
      <c r="BL23" s="37" t="s">
        <v>159</v>
      </c>
      <c r="BM23" s="37" t="s">
        <v>159</v>
      </c>
      <c r="BN23" s="37" t="s">
        <v>159</v>
      </c>
      <c r="BO23" s="37" t="s">
        <v>159</v>
      </c>
      <c r="BP23" s="46">
        <v>14</v>
      </c>
      <c r="BQ23" s="46">
        <v>178.52209999999999</v>
      </c>
      <c r="BR23" s="46">
        <v>-3</v>
      </c>
      <c r="BS23" s="46">
        <v>-11</v>
      </c>
      <c r="BT23" s="46">
        <v>108</v>
      </c>
      <c r="BU23" s="46">
        <v>12</v>
      </c>
      <c r="BV23" s="46">
        <v>76</v>
      </c>
      <c r="BW23" s="46">
        <v>351.35669999999999</v>
      </c>
      <c r="BX23" s="46">
        <v>247</v>
      </c>
      <c r="BY23" s="46">
        <v>336.52870000000001</v>
      </c>
      <c r="BZ23" s="46">
        <v>220.55789999999999</v>
      </c>
      <c r="CA23" s="46">
        <v>0</v>
      </c>
      <c r="CB23" s="46">
        <v>1</v>
      </c>
      <c r="CC23" s="46">
        <v>1</v>
      </c>
      <c r="CD23" s="46">
        <v>351</v>
      </c>
      <c r="CE23" s="46">
        <v>1</v>
      </c>
      <c r="CF23" s="46">
        <v>51625</v>
      </c>
      <c r="CG23" s="46">
        <v>624241920</v>
      </c>
      <c r="CH23" s="46">
        <v>153</v>
      </c>
      <c r="CI23" s="46">
        <v>0</v>
      </c>
      <c r="CJ23" s="46">
        <v>0</v>
      </c>
      <c r="CK23" s="46">
        <v>1</v>
      </c>
      <c r="CL23" s="46">
        <v>14</v>
      </c>
      <c r="CM23" s="46">
        <v>0</v>
      </c>
      <c r="CN23" s="46">
        <v>0</v>
      </c>
      <c r="CO23" s="46">
        <v>0</v>
      </c>
      <c r="CP23" s="46">
        <v>1325.56</v>
      </c>
      <c r="CQ23" s="46">
        <v>1</v>
      </c>
      <c r="CR23" s="46">
        <v>1</v>
      </c>
      <c r="CS23" s="46">
        <v>0</v>
      </c>
      <c r="CT23" s="46">
        <v>1</v>
      </c>
      <c r="CU23" s="46">
        <v>1</v>
      </c>
      <c r="CV23" s="46">
        <v>1</v>
      </c>
      <c r="CW23" s="46">
        <v>1</v>
      </c>
      <c r="CX23" s="46">
        <v>1</v>
      </c>
      <c r="CY23" s="50" t="s">
        <v>159</v>
      </c>
      <c r="CZ23" s="37"/>
      <c r="DA23" s="38"/>
    </row>
    <row r="24" spans="1:105" x14ac:dyDescent="0.25">
      <c r="A24" s="36">
        <v>21</v>
      </c>
      <c r="B24" s="46" t="s">
        <v>749</v>
      </c>
      <c r="C24" s="46">
        <v>30107</v>
      </c>
      <c r="D24" s="46">
        <v>49514</v>
      </c>
      <c r="E24" s="46">
        <v>1</v>
      </c>
      <c r="F24" s="46">
        <v>2</v>
      </c>
      <c r="G24" s="46">
        <v>1</v>
      </c>
      <c r="H24" s="56">
        <v>11</v>
      </c>
      <c r="I24" s="46">
        <v>0.41</v>
      </c>
      <c r="J24" s="46">
        <v>-679</v>
      </c>
      <c r="K24" s="46">
        <v>233.08029999999999</v>
      </c>
      <c r="L24" s="46">
        <v>44.816400000000002</v>
      </c>
      <c r="M24" s="46">
        <v>1</v>
      </c>
      <c r="N24" s="46">
        <v>0</v>
      </c>
      <c r="O24" s="46">
        <v>283.1259</v>
      </c>
      <c r="P24" s="46">
        <v>0</v>
      </c>
      <c r="Q24" s="46">
        <v>193</v>
      </c>
      <c r="R24" s="46">
        <v>1</v>
      </c>
      <c r="S24" s="46">
        <v>2335</v>
      </c>
      <c r="T24" s="46">
        <v>1626708992</v>
      </c>
      <c r="U24" s="46">
        <v>239</v>
      </c>
      <c r="V24" s="46">
        <v>174</v>
      </c>
      <c r="W24" s="46">
        <v>181.65870000000001</v>
      </c>
      <c r="X24" s="46">
        <v>88.985399999999998</v>
      </c>
      <c r="Y24" s="46">
        <v>0.06</v>
      </c>
      <c r="Z24" s="46">
        <v>1429.44</v>
      </c>
      <c r="AA24" s="63">
        <v>1</v>
      </c>
      <c r="AB24" s="63">
        <v>2</v>
      </c>
      <c r="AC24" s="46">
        <v>13</v>
      </c>
      <c r="AD24" s="46">
        <v>371</v>
      </c>
      <c r="AE24" s="46">
        <v>54278</v>
      </c>
      <c r="AF24" s="46">
        <v>3975363584</v>
      </c>
      <c r="AG24" s="37" t="s">
        <v>159</v>
      </c>
      <c r="AH24" s="37" t="s">
        <v>159</v>
      </c>
      <c r="AI24" s="37" t="s">
        <v>159</v>
      </c>
      <c r="AJ24" s="37" t="s">
        <v>159</v>
      </c>
      <c r="AK24" s="37" t="s">
        <v>159</v>
      </c>
      <c r="AL24" s="37" t="s">
        <v>159</v>
      </c>
      <c r="AM24" s="37" t="s">
        <v>159</v>
      </c>
      <c r="AN24" s="37" t="s">
        <v>159</v>
      </c>
      <c r="AO24" s="37" t="s">
        <v>159</v>
      </c>
      <c r="AP24" s="37" t="s">
        <v>159</v>
      </c>
      <c r="AQ24" s="37" t="s">
        <v>159</v>
      </c>
      <c r="AR24" s="37" t="s">
        <v>159</v>
      </c>
      <c r="AS24" s="37" t="s">
        <v>159</v>
      </c>
      <c r="AT24" s="37" t="s">
        <v>159</v>
      </c>
      <c r="AU24" s="37" t="s">
        <v>159</v>
      </c>
      <c r="AV24" s="37" t="s">
        <v>159</v>
      </c>
      <c r="AW24" s="37" t="s">
        <v>159</v>
      </c>
      <c r="AX24" s="37" t="s">
        <v>159</v>
      </c>
      <c r="AY24" s="37" t="s">
        <v>159</v>
      </c>
      <c r="AZ24" s="37" t="s">
        <v>159</v>
      </c>
      <c r="BA24" s="37" t="s">
        <v>159</v>
      </c>
      <c r="BB24" s="37" t="s">
        <v>159</v>
      </c>
      <c r="BC24" s="37" t="s">
        <v>159</v>
      </c>
      <c r="BD24" s="37" t="s">
        <v>159</v>
      </c>
      <c r="BE24" s="37" t="s">
        <v>159</v>
      </c>
      <c r="BF24" s="37" t="s">
        <v>159</v>
      </c>
      <c r="BG24" s="37" t="s">
        <v>159</v>
      </c>
      <c r="BH24" s="37" t="s">
        <v>159</v>
      </c>
      <c r="BI24" s="37" t="s">
        <v>159</v>
      </c>
      <c r="BJ24" s="37" t="s">
        <v>159</v>
      </c>
      <c r="BK24" s="37" t="s">
        <v>159</v>
      </c>
      <c r="BL24" s="37" t="s">
        <v>159</v>
      </c>
      <c r="BM24" s="37" t="s">
        <v>159</v>
      </c>
      <c r="BN24" s="37" t="s">
        <v>159</v>
      </c>
      <c r="BO24" s="37" t="s">
        <v>159</v>
      </c>
      <c r="BP24" s="46">
        <v>13</v>
      </c>
      <c r="BQ24" s="46">
        <v>44.816400000000002</v>
      </c>
      <c r="BR24" s="46">
        <v>1</v>
      </c>
      <c r="BS24" s="46">
        <v>11</v>
      </c>
      <c r="BT24" s="46">
        <v>117</v>
      </c>
      <c r="BU24" s="46">
        <v>64</v>
      </c>
      <c r="BV24" s="46">
        <v>86</v>
      </c>
      <c r="BW24" s="46">
        <v>283.1259</v>
      </c>
      <c r="BX24" s="46">
        <v>-679</v>
      </c>
      <c r="BY24" s="46">
        <v>181.65870000000001</v>
      </c>
      <c r="BZ24" s="46">
        <v>88.985399999999998</v>
      </c>
      <c r="CA24" s="46">
        <v>1</v>
      </c>
      <c r="CB24" s="46">
        <v>0</v>
      </c>
      <c r="CC24" s="46">
        <v>1</v>
      </c>
      <c r="CD24" s="46">
        <v>371</v>
      </c>
      <c r="CE24" s="46">
        <v>1</v>
      </c>
      <c r="CF24" s="46">
        <v>54278</v>
      </c>
      <c r="CG24" s="46">
        <v>3975363584</v>
      </c>
      <c r="CH24" s="46">
        <v>238</v>
      </c>
      <c r="CI24" s="46">
        <v>1435</v>
      </c>
      <c r="CJ24" s="46">
        <v>362</v>
      </c>
      <c r="CK24" s="46">
        <v>1</v>
      </c>
      <c r="CL24" s="46">
        <v>77</v>
      </c>
      <c r="CM24" s="46">
        <v>1</v>
      </c>
      <c r="CN24" s="46">
        <v>1</v>
      </c>
      <c r="CO24" s="46">
        <v>0</v>
      </c>
      <c r="CP24" s="46">
        <v>1429.44</v>
      </c>
      <c r="CQ24" s="46">
        <v>1</v>
      </c>
      <c r="CR24" s="46">
        <v>1</v>
      </c>
      <c r="CS24" s="46">
        <v>0</v>
      </c>
      <c r="CT24" s="46">
        <v>1</v>
      </c>
      <c r="CU24" s="46">
        <v>1</v>
      </c>
      <c r="CV24" s="46">
        <v>1</v>
      </c>
      <c r="CW24" s="46">
        <v>1</v>
      </c>
      <c r="CX24" s="46">
        <v>1</v>
      </c>
      <c r="CY24" s="50" t="s">
        <v>159</v>
      </c>
      <c r="CZ24" s="37"/>
      <c r="DA24" s="38"/>
    </row>
    <row r="25" spans="1:105" x14ac:dyDescent="0.25">
      <c r="A25" s="36">
        <v>22</v>
      </c>
      <c r="B25" s="46" t="s">
        <v>750</v>
      </c>
      <c r="C25" s="46">
        <v>51692</v>
      </c>
      <c r="D25" s="46">
        <v>43983</v>
      </c>
      <c r="E25" s="46">
        <v>2</v>
      </c>
      <c r="F25" s="46">
        <v>31</v>
      </c>
      <c r="G25" s="46">
        <v>0</v>
      </c>
      <c r="H25" s="56">
        <v>4</v>
      </c>
      <c r="I25" s="46">
        <v>0.45</v>
      </c>
      <c r="J25" s="46">
        <v>1781</v>
      </c>
      <c r="K25" s="46">
        <v>184.8203</v>
      </c>
      <c r="L25" s="46">
        <v>201.95429999999999</v>
      </c>
      <c r="M25" s="46">
        <v>1</v>
      </c>
      <c r="N25" s="46">
        <v>1</v>
      </c>
      <c r="O25" s="46">
        <v>14.3363</v>
      </c>
      <c r="P25" s="46">
        <v>1</v>
      </c>
      <c r="Q25" s="46">
        <v>219</v>
      </c>
      <c r="R25" s="46">
        <v>1</v>
      </c>
      <c r="S25" s="46">
        <v>2458</v>
      </c>
      <c r="T25" s="46">
        <v>170782464</v>
      </c>
      <c r="U25" s="46">
        <v>239</v>
      </c>
      <c r="V25" s="46">
        <v>19</v>
      </c>
      <c r="W25" s="46">
        <v>34.5914</v>
      </c>
      <c r="X25" s="46">
        <v>280.61829999999998</v>
      </c>
      <c r="Y25" s="46">
        <v>6.4000000000000001E-2</v>
      </c>
      <c r="Z25" s="46">
        <v>1533.32</v>
      </c>
      <c r="AA25" s="63">
        <v>2</v>
      </c>
      <c r="AB25" s="63">
        <v>31</v>
      </c>
      <c r="AC25" s="46">
        <v>12</v>
      </c>
      <c r="AD25" s="46">
        <v>391</v>
      </c>
      <c r="AE25" s="46">
        <v>29228</v>
      </c>
      <c r="AF25" s="46">
        <v>3837071104</v>
      </c>
      <c r="AG25" s="37" t="s">
        <v>159</v>
      </c>
      <c r="AH25" s="37" t="s">
        <v>159</v>
      </c>
      <c r="AI25" s="37" t="s">
        <v>159</v>
      </c>
      <c r="AJ25" s="37" t="s">
        <v>159</v>
      </c>
      <c r="AK25" s="37" t="s">
        <v>159</v>
      </c>
      <c r="AL25" s="37" t="s">
        <v>159</v>
      </c>
      <c r="AM25" s="37" t="s">
        <v>159</v>
      </c>
      <c r="AN25" s="37" t="s">
        <v>159</v>
      </c>
      <c r="AO25" s="37" t="s">
        <v>159</v>
      </c>
      <c r="AP25" s="37" t="s">
        <v>159</v>
      </c>
      <c r="AQ25" s="37" t="s">
        <v>159</v>
      </c>
      <c r="AR25" s="37" t="s">
        <v>159</v>
      </c>
      <c r="AS25" s="37" t="s">
        <v>159</v>
      </c>
      <c r="AT25" s="37" t="s">
        <v>159</v>
      </c>
      <c r="AU25" s="37" t="s">
        <v>159</v>
      </c>
      <c r="AV25" s="37" t="s">
        <v>159</v>
      </c>
      <c r="AW25" s="37" t="s">
        <v>159</v>
      </c>
      <c r="AX25" s="37" t="s">
        <v>159</v>
      </c>
      <c r="AY25" s="37" t="s">
        <v>159</v>
      </c>
      <c r="AZ25" s="37" t="s">
        <v>159</v>
      </c>
      <c r="BA25" s="37" t="s">
        <v>159</v>
      </c>
      <c r="BB25" s="37" t="s">
        <v>159</v>
      </c>
      <c r="BC25" s="37" t="s">
        <v>159</v>
      </c>
      <c r="BD25" s="37" t="s">
        <v>159</v>
      </c>
      <c r="BE25" s="37" t="s">
        <v>159</v>
      </c>
      <c r="BF25" s="37" t="s">
        <v>159</v>
      </c>
      <c r="BG25" s="37" t="s">
        <v>159</v>
      </c>
      <c r="BH25" s="37" t="s">
        <v>159</v>
      </c>
      <c r="BI25" s="37" t="s">
        <v>159</v>
      </c>
      <c r="BJ25" s="37" t="s">
        <v>159</v>
      </c>
      <c r="BK25" s="37" t="s">
        <v>159</v>
      </c>
      <c r="BL25" s="37" t="s">
        <v>159</v>
      </c>
      <c r="BM25" s="37" t="s">
        <v>159</v>
      </c>
      <c r="BN25" s="37" t="s">
        <v>159</v>
      </c>
      <c r="BO25" s="37" t="s">
        <v>159</v>
      </c>
      <c r="BP25" s="46">
        <v>12</v>
      </c>
      <c r="BQ25" s="46">
        <v>201.95429999999999</v>
      </c>
      <c r="BR25" s="46">
        <v>0</v>
      </c>
      <c r="BS25" s="46">
        <v>4</v>
      </c>
      <c r="BT25" s="46">
        <v>124</v>
      </c>
      <c r="BU25" s="46">
        <v>120</v>
      </c>
      <c r="BV25" s="46">
        <v>86</v>
      </c>
      <c r="BW25" s="46">
        <v>14.3363</v>
      </c>
      <c r="BX25" s="46">
        <v>1781</v>
      </c>
      <c r="BY25" s="46">
        <v>34.5914</v>
      </c>
      <c r="BZ25" s="46">
        <v>280.61829999999998</v>
      </c>
      <c r="CA25" s="46">
        <v>1</v>
      </c>
      <c r="CB25" s="46">
        <v>1</v>
      </c>
      <c r="CC25" s="46">
        <v>1</v>
      </c>
      <c r="CD25" s="46">
        <v>219</v>
      </c>
      <c r="CE25" s="46">
        <v>1</v>
      </c>
      <c r="CF25" s="46">
        <v>29228</v>
      </c>
      <c r="CG25" s="46">
        <v>3837071104</v>
      </c>
      <c r="CH25" s="46">
        <v>238</v>
      </c>
      <c r="CI25" s="46">
        <v>0</v>
      </c>
      <c r="CJ25" s="46">
        <v>0</v>
      </c>
      <c r="CK25" s="46">
        <v>1</v>
      </c>
      <c r="CL25" s="46">
        <v>12</v>
      </c>
      <c r="CM25" s="46">
        <v>0</v>
      </c>
      <c r="CN25" s="46">
        <v>0</v>
      </c>
      <c r="CO25" s="46">
        <v>0</v>
      </c>
      <c r="CP25" s="46">
        <v>1533.32</v>
      </c>
      <c r="CQ25" s="46">
        <v>1</v>
      </c>
      <c r="CR25" s="46">
        <v>1</v>
      </c>
      <c r="CS25" s="46">
        <v>0</v>
      </c>
      <c r="CT25" s="46">
        <v>1</v>
      </c>
      <c r="CU25" s="46">
        <v>1</v>
      </c>
      <c r="CV25" s="46">
        <v>0</v>
      </c>
      <c r="CW25" s="46">
        <v>1</v>
      </c>
      <c r="CX25" s="46">
        <v>1</v>
      </c>
      <c r="CY25" s="50" t="s">
        <v>159</v>
      </c>
      <c r="CZ25" s="37"/>
      <c r="DA25" s="38"/>
    </row>
    <row r="26" spans="1:105" x14ac:dyDescent="0.25">
      <c r="A26" s="36">
        <v>23</v>
      </c>
      <c r="B26" s="46" t="s">
        <v>751</v>
      </c>
      <c r="C26" s="46">
        <v>37700</v>
      </c>
      <c r="D26" s="46">
        <v>56747</v>
      </c>
      <c r="E26" s="46">
        <v>4</v>
      </c>
      <c r="F26" s="46">
        <v>14</v>
      </c>
      <c r="G26" s="46">
        <v>1</v>
      </c>
      <c r="H26" s="56">
        <v>0</v>
      </c>
      <c r="I26" s="46">
        <v>0.49</v>
      </c>
      <c r="J26" s="46">
        <v>-933</v>
      </c>
      <c r="K26" s="46">
        <v>144.39449999999999</v>
      </c>
      <c r="L26" s="46">
        <v>78.915499999999994</v>
      </c>
      <c r="M26" s="46">
        <v>0</v>
      </c>
      <c r="N26" s="46">
        <v>1</v>
      </c>
      <c r="O26" s="46">
        <v>52.5886</v>
      </c>
      <c r="P26" s="46">
        <v>0</v>
      </c>
      <c r="Q26" s="46">
        <v>245</v>
      </c>
      <c r="R26" s="46">
        <v>0</v>
      </c>
      <c r="S26" s="46">
        <v>2581</v>
      </c>
      <c r="T26" s="46">
        <v>194049536</v>
      </c>
      <c r="U26" s="46">
        <v>228</v>
      </c>
      <c r="V26" s="46">
        <v>154</v>
      </c>
      <c r="W26" s="46">
        <v>122.26260000000001</v>
      </c>
      <c r="X26" s="46">
        <v>292.41059999999999</v>
      </c>
      <c r="Y26" s="46">
        <v>6.8000000000000005E-2</v>
      </c>
      <c r="Z26" s="46">
        <v>1637.2</v>
      </c>
      <c r="AA26" s="63">
        <v>4</v>
      </c>
      <c r="AB26" s="63">
        <v>14</v>
      </c>
      <c r="AC26" s="46">
        <v>11</v>
      </c>
      <c r="AD26" s="46">
        <v>411</v>
      </c>
      <c r="AE26" s="46">
        <v>20485</v>
      </c>
      <c r="AF26" s="46">
        <v>8099328</v>
      </c>
      <c r="AG26" s="37" t="s">
        <v>159</v>
      </c>
      <c r="AH26" s="37" t="s">
        <v>159</v>
      </c>
      <c r="AI26" s="37" t="s">
        <v>159</v>
      </c>
      <c r="AJ26" s="37" t="s">
        <v>159</v>
      </c>
      <c r="AK26" s="37" t="s">
        <v>159</v>
      </c>
      <c r="AL26" s="37" t="s">
        <v>159</v>
      </c>
      <c r="AM26" s="37" t="s">
        <v>159</v>
      </c>
      <c r="AN26" s="37" t="s">
        <v>159</v>
      </c>
      <c r="AO26" s="37" t="s">
        <v>159</v>
      </c>
      <c r="AP26" s="37" t="s">
        <v>159</v>
      </c>
      <c r="AQ26" s="37" t="s">
        <v>159</v>
      </c>
      <c r="AR26" s="37" t="s">
        <v>159</v>
      </c>
      <c r="AS26" s="37" t="s">
        <v>159</v>
      </c>
      <c r="AT26" s="37" t="s">
        <v>159</v>
      </c>
      <c r="AU26" s="37" t="s">
        <v>159</v>
      </c>
      <c r="AV26" s="37" t="s">
        <v>159</v>
      </c>
      <c r="AW26" s="37" t="s">
        <v>159</v>
      </c>
      <c r="AX26" s="37" t="s">
        <v>159</v>
      </c>
      <c r="AY26" s="37" t="s">
        <v>159</v>
      </c>
      <c r="AZ26" s="37" t="s">
        <v>159</v>
      </c>
      <c r="BA26" s="37" t="s">
        <v>159</v>
      </c>
      <c r="BB26" s="37" t="s">
        <v>159</v>
      </c>
      <c r="BC26" s="37" t="s">
        <v>159</v>
      </c>
      <c r="BD26" s="37" t="s">
        <v>159</v>
      </c>
      <c r="BE26" s="37" t="s">
        <v>159</v>
      </c>
      <c r="BF26" s="37" t="s">
        <v>159</v>
      </c>
      <c r="BG26" s="37" t="s">
        <v>159</v>
      </c>
      <c r="BH26" s="37" t="s">
        <v>159</v>
      </c>
      <c r="BI26" s="37" t="s">
        <v>159</v>
      </c>
      <c r="BJ26" s="37" t="s">
        <v>159</v>
      </c>
      <c r="BK26" s="37" t="s">
        <v>159</v>
      </c>
      <c r="BL26" s="37" t="s">
        <v>159</v>
      </c>
      <c r="BM26" s="37" t="s">
        <v>159</v>
      </c>
      <c r="BN26" s="37" t="s">
        <v>159</v>
      </c>
      <c r="BO26" s="37" t="s">
        <v>159</v>
      </c>
      <c r="BP26" s="46">
        <v>11</v>
      </c>
      <c r="BQ26" s="46">
        <v>78.915499999999994</v>
      </c>
      <c r="BR26" s="46">
        <v>1</v>
      </c>
      <c r="BS26" s="46">
        <v>0</v>
      </c>
      <c r="BT26" s="46">
        <v>73</v>
      </c>
      <c r="BU26" s="46">
        <v>100</v>
      </c>
      <c r="BV26" s="46">
        <v>40</v>
      </c>
      <c r="BW26" s="46">
        <v>52.5886</v>
      </c>
      <c r="BX26" s="46">
        <v>-933</v>
      </c>
      <c r="BY26" s="46">
        <v>122.26260000000001</v>
      </c>
      <c r="BZ26" s="46">
        <v>292.41059999999999</v>
      </c>
      <c r="CA26" s="46">
        <v>0</v>
      </c>
      <c r="CB26" s="46">
        <v>1</v>
      </c>
      <c r="CC26" s="46">
        <v>1</v>
      </c>
      <c r="CD26" s="46">
        <v>411</v>
      </c>
      <c r="CE26" s="46">
        <v>1</v>
      </c>
      <c r="CF26" s="46">
        <v>2581</v>
      </c>
      <c r="CG26" s="46">
        <v>194049536</v>
      </c>
      <c r="CH26" s="46">
        <v>227</v>
      </c>
      <c r="CI26" s="46">
        <v>0</v>
      </c>
      <c r="CJ26" s="46">
        <v>0</v>
      </c>
      <c r="CK26" s="46">
        <v>1</v>
      </c>
      <c r="CL26" s="46">
        <v>11</v>
      </c>
      <c r="CM26" s="46">
        <v>0</v>
      </c>
      <c r="CN26" s="46">
        <v>0</v>
      </c>
      <c r="CO26" s="46">
        <v>0</v>
      </c>
      <c r="CP26" s="46">
        <v>1637.2</v>
      </c>
      <c r="CQ26" s="46">
        <v>1</v>
      </c>
      <c r="CR26" s="46">
        <v>1</v>
      </c>
      <c r="CS26" s="46">
        <v>0</v>
      </c>
      <c r="CT26" s="46">
        <v>1</v>
      </c>
      <c r="CU26" s="46">
        <v>1</v>
      </c>
      <c r="CV26" s="46">
        <v>1</v>
      </c>
      <c r="CW26" s="46">
        <v>0</v>
      </c>
      <c r="CX26" s="46">
        <v>0</v>
      </c>
      <c r="CY26" s="50" t="s">
        <v>159</v>
      </c>
      <c r="CZ26" s="37"/>
      <c r="DA26" s="38"/>
    </row>
    <row r="27" spans="1:105" x14ac:dyDescent="0.25">
      <c r="A27" s="36">
        <v>24</v>
      </c>
      <c r="B27" s="46" t="s">
        <v>752</v>
      </c>
      <c r="C27" s="46">
        <v>5210</v>
      </c>
      <c r="D27" s="46">
        <v>42227</v>
      </c>
      <c r="E27" s="46">
        <v>2</v>
      </c>
      <c r="F27" s="46">
        <v>23</v>
      </c>
      <c r="G27" s="46">
        <v>-1</v>
      </c>
      <c r="H27" s="56">
        <v>-10</v>
      </c>
      <c r="I27" s="46">
        <v>0.53</v>
      </c>
      <c r="J27" s="46">
        <v>1876</v>
      </c>
      <c r="K27" s="46">
        <v>239.477</v>
      </c>
      <c r="L27" s="46">
        <v>192.5951</v>
      </c>
      <c r="M27" s="46">
        <v>1</v>
      </c>
      <c r="N27" s="46">
        <v>1</v>
      </c>
      <c r="O27" s="46">
        <v>143.86859999999999</v>
      </c>
      <c r="P27" s="46">
        <v>1</v>
      </c>
      <c r="Q27" s="46">
        <v>271</v>
      </c>
      <c r="R27" s="46">
        <v>0</v>
      </c>
      <c r="S27" s="46">
        <v>2704</v>
      </c>
      <c r="T27" s="46">
        <v>1078190336</v>
      </c>
      <c r="U27" s="46">
        <v>89</v>
      </c>
      <c r="V27" s="46">
        <v>17</v>
      </c>
      <c r="W27" s="46">
        <v>265.5283</v>
      </c>
      <c r="X27" s="46">
        <v>8.6478999999999999</v>
      </c>
      <c r="Y27" s="46">
        <v>7.1999999999999995E-2</v>
      </c>
      <c r="Z27" s="46">
        <v>1741.08</v>
      </c>
      <c r="AA27" s="63">
        <v>2</v>
      </c>
      <c r="AB27" s="63">
        <v>23</v>
      </c>
      <c r="AC27" s="46">
        <v>10</v>
      </c>
      <c r="AD27" s="46">
        <v>431</v>
      </c>
      <c r="AE27" s="46">
        <v>48533</v>
      </c>
      <c r="AF27" s="46">
        <v>3557032192</v>
      </c>
      <c r="AG27" s="37" t="s">
        <v>159</v>
      </c>
      <c r="AH27" s="37" t="s">
        <v>159</v>
      </c>
      <c r="AI27" s="37" t="s">
        <v>159</v>
      </c>
      <c r="AJ27" s="37" t="s">
        <v>159</v>
      </c>
      <c r="AK27" s="37" t="s">
        <v>159</v>
      </c>
      <c r="AL27" s="37" t="s">
        <v>159</v>
      </c>
      <c r="AM27" s="37" t="s">
        <v>159</v>
      </c>
      <c r="AN27" s="37" t="s">
        <v>159</v>
      </c>
      <c r="AO27" s="37" t="s">
        <v>159</v>
      </c>
      <c r="AP27" s="37" t="s">
        <v>159</v>
      </c>
      <c r="AQ27" s="37" t="s">
        <v>159</v>
      </c>
      <c r="AR27" s="37" t="s">
        <v>159</v>
      </c>
      <c r="AS27" s="37" t="s">
        <v>159</v>
      </c>
      <c r="AT27" s="37" t="s">
        <v>159</v>
      </c>
      <c r="AU27" s="37" t="s">
        <v>159</v>
      </c>
      <c r="AV27" s="37" t="s">
        <v>159</v>
      </c>
      <c r="AW27" s="37" t="s">
        <v>159</v>
      </c>
      <c r="AX27" s="37" t="s">
        <v>159</v>
      </c>
      <c r="AY27" s="37" t="s">
        <v>159</v>
      </c>
      <c r="AZ27" s="37" t="s">
        <v>159</v>
      </c>
      <c r="BA27" s="37" t="s">
        <v>159</v>
      </c>
      <c r="BB27" s="37" t="s">
        <v>159</v>
      </c>
      <c r="BC27" s="37" t="s">
        <v>159</v>
      </c>
      <c r="BD27" s="37" t="s">
        <v>159</v>
      </c>
      <c r="BE27" s="37" t="s">
        <v>159</v>
      </c>
      <c r="BF27" s="37" t="s">
        <v>159</v>
      </c>
      <c r="BG27" s="37" t="s">
        <v>159</v>
      </c>
      <c r="BH27" s="37" t="s">
        <v>159</v>
      </c>
      <c r="BI27" s="37" t="s">
        <v>159</v>
      </c>
      <c r="BJ27" s="37" t="s">
        <v>159</v>
      </c>
      <c r="BK27" s="37" t="s">
        <v>159</v>
      </c>
      <c r="BL27" s="37" t="s">
        <v>159</v>
      </c>
      <c r="BM27" s="37" t="s">
        <v>159</v>
      </c>
      <c r="BN27" s="37" t="s">
        <v>159</v>
      </c>
      <c r="BO27" s="37" t="s">
        <v>159</v>
      </c>
      <c r="BP27" s="46">
        <v>10</v>
      </c>
      <c r="BQ27" s="46">
        <v>192.5951</v>
      </c>
      <c r="BR27" s="46">
        <v>-1</v>
      </c>
      <c r="BS27" s="46">
        <v>-10</v>
      </c>
      <c r="BT27" s="46">
        <v>92</v>
      </c>
      <c r="BU27" s="46">
        <v>23</v>
      </c>
      <c r="BV27" s="46">
        <v>92</v>
      </c>
      <c r="BW27" s="46">
        <v>143.86859999999999</v>
      </c>
      <c r="BX27" s="46">
        <v>1876</v>
      </c>
      <c r="BY27" s="46">
        <v>265.5283</v>
      </c>
      <c r="BZ27" s="46">
        <v>8.6478999999999999</v>
      </c>
      <c r="CA27" s="46">
        <v>1</v>
      </c>
      <c r="CB27" s="46">
        <v>1</v>
      </c>
      <c r="CC27" s="46">
        <v>1</v>
      </c>
      <c r="CD27" s="46">
        <v>271</v>
      </c>
      <c r="CE27" s="46">
        <v>1</v>
      </c>
      <c r="CF27" s="46">
        <v>2704</v>
      </c>
      <c r="CG27" s="46">
        <v>1078190336</v>
      </c>
      <c r="CH27" s="46">
        <v>88</v>
      </c>
      <c r="CI27" s="46">
        <v>0</v>
      </c>
      <c r="CJ27" s="46">
        <v>0</v>
      </c>
      <c r="CK27" s="46">
        <v>1</v>
      </c>
      <c r="CL27" s="46">
        <v>10</v>
      </c>
      <c r="CM27" s="46">
        <v>0</v>
      </c>
      <c r="CN27" s="46">
        <v>0</v>
      </c>
      <c r="CO27" s="46">
        <v>0</v>
      </c>
      <c r="CP27" s="46">
        <v>1741.08</v>
      </c>
      <c r="CQ27" s="46">
        <v>1</v>
      </c>
      <c r="CR27" s="46">
        <v>1</v>
      </c>
      <c r="CS27" s="46">
        <v>0</v>
      </c>
      <c r="CT27" s="46">
        <v>1</v>
      </c>
      <c r="CU27" s="46">
        <v>1</v>
      </c>
      <c r="CV27" s="46">
        <v>0</v>
      </c>
      <c r="CW27" s="46">
        <v>0</v>
      </c>
      <c r="CX27" s="46">
        <v>0</v>
      </c>
      <c r="CY27" s="50" t="s">
        <v>159</v>
      </c>
      <c r="CZ27" s="37"/>
      <c r="DA27" s="38"/>
    </row>
    <row r="28" spans="1:105" x14ac:dyDescent="0.25">
      <c r="A28" s="36">
        <v>25</v>
      </c>
      <c r="B28" s="46" t="s">
        <v>753</v>
      </c>
      <c r="C28" s="46">
        <v>27074</v>
      </c>
      <c r="D28" s="46">
        <v>43143</v>
      </c>
      <c r="E28" s="46">
        <v>4</v>
      </c>
      <c r="F28" s="46">
        <v>8</v>
      </c>
      <c r="G28" s="46">
        <v>-3</v>
      </c>
      <c r="H28" s="46">
        <v>-2</v>
      </c>
      <c r="I28" s="56">
        <v>0</v>
      </c>
      <c r="J28" s="46">
        <v>-703</v>
      </c>
      <c r="K28" s="46">
        <v>173.2517</v>
      </c>
      <c r="L28" s="46">
        <v>53.8035</v>
      </c>
      <c r="M28" s="46">
        <v>1</v>
      </c>
      <c r="N28" s="46">
        <v>1</v>
      </c>
      <c r="O28" s="46">
        <v>131.85499999999999</v>
      </c>
      <c r="P28" s="46">
        <v>1</v>
      </c>
      <c r="Q28" s="46">
        <v>297</v>
      </c>
      <c r="R28" s="46">
        <v>1</v>
      </c>
      <c r="S28" s="46">
        <v>2827</v>
      </c>
      <c r="T28" s="46">
        <v>1737957376</v>
      </c>
      <c r="U28" s="46">
        <v>108</v>
      </c>
      <c r="V28" s="46">
        <v>247</v>
      </c>
      <c r="W28" s="46">
        <v>218.83099999999999</v>
      </c>
      <c r="X28" s="46">
        <v>319.03100000000001</v>
      </c>
      <c r="Y28" s="46">
        <v>7.5999999999999998E-2</v>
      </c>
      <c r="Z28" s="46">
        <v>1844.96</v>
      </c>
      <c r="AA28" s="63">
        <v>4</v>
      </c>
      <c r="AB28" s="63">
        <v>8</v>
      </c>
      <c r="AC28" s="46">
        <v>9</v>
      </c>
      <c r="AD28" s="46">
        <v>451</v>
      </c>
      <c r="AE28" s="46">
        <v>53139</v>
      </c>
      <c r="AF28" s="46">
        <v>1423360000</v>
      </c>
      <c r="AG28" s="37" t="s">
        <v>159</v>
      </c>
      <c r="AH28" s="37" t="s">
        <v>159</v>
      </c>
      <c r="AI28" s="37" t="s">
        <v>159</v>
      </c>
      <c r="AJ28" s="37" t="s">
        <v>159</v>
      </c>
      <c r="AK28" s="37" t="s">
        <v>159</v>
      </c>
      <c r="AL28" s="37" t="s">
        <v>159</v>
      </c>
      <c r="AM28" s="37" t="s">
        <v>159</v>
      </c>
      <c r="AN28" s="37" t="s">
        <v>159</v>
      </c>
      <c r="AO28" s="37" t="s">
        <v>159</v>
      </c>
      <c r="AP28" s="37" t="s">
        <v>159</v>
      </c>
      <c r="AQ28" s="37" t="s">
        <v>159</v>
      </c>
      <c r="AR28" s="37" t="s">
        <v>159</v>
      </c>
      <c r="AS28" s="37" t="s">
        <v>159</v>
      </c>
      <c r="AT28" s="37" t="s">
        <v>159</v>
      </c>
      <c r="AU28" s="37" t="s">
        <v>159</v>
      </c>
      <c r="AV28" s="37" t="s">
        <v>159</v>
      </c>
      <c r="AW28" s="37" t="s">
        <v>159</v>
      </c>
      <c r="AX28" s="37" t="s">
        <v>159</v>
      </c>
      <c r="AY28" s="37" t="s">
        <v>159</v>
      </c>
      <c r="AZ28" s="37" t="s">
        <v>159</v>
      </c>
      <c r="BA28" s="37" t="s">
        <v>159</v>
      </c>
      <c r="BB28" s="37" t="s">
        <v>159</v>
      </c>
      <c r="BC28" s="37" t="s">
        <v>159</v>
      </c>
      <c r="BD28" s="37" t="s">
        <v>159</v>
      </c>
      <c r="BE28" s="37" t="s">
        <v>159</v>
      </c>
      <c r="BF28" s="37" t="s">
        <v>159</v>
      </c>
      <c r="BG28" s="37" t="s">
        <v>159</v>
      </c>
      <c r="BH28" s="37" t="s">
        <v>159</v>
      </c>
      <c r="BI28" s="37" t="s">
        <v>159</v>
      </c>
      <c r="BJ28" s="37" t="s">
        <v>159</v>
      </c>
      <c r="BK28" s="37" t="s">
        <v>159</v>
      </c>
      <c r="BL28" s="37" t="s">
        <v>159</v>
      </c>
      <c r="BM28" s="37" t="s">
        <v>159</v>
      </c>
      <c r="BN28" s="37" t="s">
        <v>159</v>
      </c>
      <c r="BO28" s="37" t="s">
        <v>159</v>
      </c>
      <c r="BP28" s="46">
        <v>9</v>
      </c>
      <c r="BQ28" s="46">
        <v>53.8035</v>
      </c>
      <c r="BR28" s="46">
        <v>-3</v>
      </c>
      <c r="BS28" s="46">
        <v>-2</v>
      </c>
      <c r="BT28" s="46">
        <v>20</v>
      </c>
      <c r="BU28" s="46">
        <v>74</v>
      </c>
      <c r="BV28" s="46">
        <v>59</v>
      </c>
      <c r="BW28" s="46">
        <v>131.85499999999999</v>
      </c>
      <c r="BX28" s="46">
        <v>-703</v>
      </c>
      <c r="BY28" s="46">
        <v>218.83099999999999</v>
      </c>
      <c r="BZ28" s="46">
        <v>319.03100000000001</v>
      </c>
      <c r="CA28" s="46">
        <v>1</v>
      </c>
      <c r="CB28" s="46">
        <v>1</v>
      </c>
      <c r="CC28" s="46">
        <v>1</v>
      </c>
      <c r="CD28" s="46">
        <v>297</v>
      </c>
      <c r="CE28" s="46">
        <v>1</v>
      </c>
      <c r="CF28" s="46">
        <v>53139</v>
      </c>
      <c r="CG28" s="46">
        <v>1423360000</v>
      </c>
      <c r="CH28" s="46">
        <v>107</v>
      </c>
      <c r="CI28" s="46">
        <v>0</v>
      </c>
      <c r="CJ28" s="46">
        <v>0</v>
      </c>
      <c r="CK28" s="46">
        <v>1</v>
      </c>
      <c r="CL28" s="46">
        <v>9</v>
      </c>
      <c r="CM28" s="46">
        <v>0</v>
      </c>
      <c r="CN28" s="46">
        <v>0</v>
      </c>
      <c r="CO28" s="46">
        <v>0</v>
      </c>
      <c r="CP28" s="46">
        <v>1844.96</v>
      </c>
      <c r="CQ28" s="46">
        <v>1</v>
      </c>
      <c r="CR28" s="46">
        <v>1</v>
      </c>
      <c r="CS28" s="46">
        <v>0</v>
      </c>
      <c r="CT28" s="46">
        <v>1</v>
      </c>
      <c r="CU28" s="46">
        <v>1</v>
      </c>
      <c r="CV28" s="46">
        <v>0</v>
      </c>
      <c r="CW28" s="46">
        <v>1</v>
      </c>
      <c r="CX28" s="46">
        <v>1</v>
      </c>
      <c r="CY28" s="50" t="s">
        <v>159</v>
      </c>
      <c r="CZ28" s="37"/>
      <c r="DA28" s="38"/>
    </row>
    <row r="29" spans="1:105" x14ac:dyDescent="0.25">
      <c r="A29" s="36">
        <v>26</v>
      </c>
      <c r="B29" s="46" t="s">
        <v>754</v>
      </c>
      <c r="C29" s="46">
        <v>36743</v>
      </c>
      <c r="D29" s="46">
        <v>16775</v>
      </c>
      <c r="E29" s="46">
        <v>1</v>
      </c>
      <c r="F29" s="46">
        <v>6</v>
      </c>
      <c r="G29" s="46">
        <v>-2</v>
      </c>
      <c r="H29" s="46">
        <v>-2</v>
      </c>
      <c r="I29" s="56">
        <v>1</v>
      </c>
      <c r="J29" s="46">
        <v>136</v>
      </c>
      <c r="K29" s="46">
        <v>256.5487</v>
      </c>
      <c r="L29" s="46">
        <v>111.6241</v>
      </c>
      <c r="M29" s="46">
        <v>1</v>
      </c>
      <c r="N29" s="46">
        <v>0</v>
      </c>
      <c r="O29" s="46">
        <v>352.60410000000002</v>
      </c>
      <c r="P29" s="46">
        <v>0</v>
      </c>
      <c r="Q29" s="46">
        <v>323</v>
      </c>
      <c r="R29" s="46">
        <v>0</v>
      </c>
      <c r="S29" s="46">
        <v>2950</v>
      </c>
      <c r="T29" s="46">
        <v>1364812544</v>
      </c>
      <c r="U29" s="46">
        <v>142</v>
      </c>
      <c r="V29" s="46">
        <v>22</v>
      </c>
      <c r="W29" s="46">
        <v>179.81110000000001</v>
      </c>
      <c r="X29" s="46">
        <v>175.78450000000001</v>
      </c>
      <c r="Y29" s="46">
        <v>0.08</v>
      </c>
      <c r="Z29" s="46">
        <v>1948.84</v>
      </c>
      <c r="AA29" s="63">
        <v>1</v>
      </c>
      <c r="AB29" s="63">
        <v>6</v>
      </c>
      <c r="AC29" s="46">
        <v>8</v>
      </c>
      <c r="AD29" s="46">
        <v>471</v>
      </c>
      <c r="AE29" s="46">
        <v>14740</v>
      </c>
      <c r="AF29" s="46">
        <v>2417656576</v>
      </c>
      <c r="AG29" s="37" t="s">
        <v>159</v>
      </c>
      <c r="AH29" s="37" t="s">
        <v>159</v>
      </c>
      <c r="AI29" s="37" t="s">
        <v>159</v>
      </c>
      <c r="AJ29" s="37" t="s">
        <v>159</v>
      </c>
      <c r="AK29" s="37" t="s">
        <v>159</v>
      </c>
      <c r="AL29" s="37" t="s">
        <v>159</v>
      </c>
      <c r="AM29" s="37" t="s">
        <v>159</v>
      </c>
      <c r="AN29" s="37" t="s">
        <v>159</v>
      </c>
      <c r="AO29" s="37" t="s">
        <v>159</v>
      </c>
      <c r="AP29" s="37" t="s">
        <v>159</v>
      </c>
      <c r="AQ29" s="37" t="s">
        <v>159</v>
      </c>
      <c r="AR29" s="37" t="s">
        <v>159</v>
      </c>
      <c r="AS29" s="37" t="s">
        <v>159</v>
      </c>
      <c r="AT29" s="37" t="s">
        <v>159</v>
      </c>
      <c r="AU29" s="37" t="s">
        <v>159</v>
      </c>
      <c r="AV29" s="37" t="s">
        <v>159</v>
      </c>
      <c r="AW29" s="37" t="s">
        <v>159</v>
      </c>
      <c r="AX29" s="37" t="s">
        <v>159</v>
      </c>
      <c r="AY29" s="37" t="s">
        <v>159</v>
      </c>
      <c r="AZ29" s="37" t="s">
        <v>159</v>
      </c>
      <c r="BA29" s="37" t="s">
        <v>159</v>
      </c>
      <c r="BB29" s="37" t="s">
        <v>159</v>
      </c>
      <c r="BC29" s="37" t="s">
        <v>159</v>
      </c>
      <c r="BD29" s="37" t="s">
        <v>159</v>
      </c>
      <c r="BE29" s="37" t="s">
        <v>159</v>
      </c>
      <c r="BF29" s="37" t="s">
        <v>159</v>
      </c>
      <c r="BG29" s="37" t="s">
        <v>159</v>
      </c>
      <c r="BH29" s="37" t="s">
        <v>159</v>
      </c>
      <c r="BI29" s="37" t="s">
        <v>159</v>
      </c>
      <c r="BJ29" s="37" t="s">
        <v>159</v>
      </c>
      <c r="BK29" s="37" t="s">
        <v>159</v>
      </c>
      <c r="BL29" s="37" t="s">
        <v>159</v>
      </c>
      <c r="BM29" s="37" t="s">
        <v>159</v>
      </c>
      <c r="BN29" s="37" t="s">
        <v>159</v>
      </c>
      <c r="BO29" s="37" t="s">
        <v>159</v>
      </c>
      <c r="BP29" s="46">
        <v>8</v>
      </c>
      <c r="BQ29" s="46">
        <v>111.6241</v>
      </c>
      <c r="BR29" s="46">
        <v>-2</v>
      </c>
      <c r="BS29" s="46">
        <v>-2</v>
      </c>
      <c r="BT29" s="46">
        <v>30</v>
      </c>
      <c r="BU29" s="46">
        <v>93</v>
      </c>
      <c r="BV29" s="46">
        <v>5</v>
      </c>
      <c r="BW29" s="46">
        <v>352.60410000000002</v>
      </c>
      <c r="BX29" s="46">
        <v>136</v>
      </c>
      <c r="BY29" s="46">
        <v>179.81110000000001</v>
      </c>
      <c r="BZ29" s="46">
        <v>175.78450000000001</v>
      </c>
      <c r="CA29" s="46">
        <v>1</v>
      </c>
      <c r="CB29" s="46">
        <v>0</v>
      </c>
      <c r="CC29" s="46">
        <v>1</v>
      </c>
      <c r="CD29" s="46">
        <v>471</v>
      </c>
      <c r="CE29" s="46">
        <v>1</v>
      </c>
      <c r="CF29" s="46">
        <v>2950</v>
      </c>
      <c r="CG29" s="46">
        <v>1364812544</v>
      </c>
      <c r="CH29" s="46">
        <v>141</v>
      </c>
      <c r="CI29" s="46">
        <v>3975</v>
      </c>
      <c r="CJ29" s="46">
        <v>391</v>
      </c>
      <c r="CK29" s="46">
        <v>1</v>
      </c>
      <c r="CL29" s="46">
        <v>73</v>
      </c>
      <c r="CM29" s="46">
        <v>1</v>
      </c>
      <c r="CN29" s="46">
        <v>1</v>
      </c>
      <c r="CO29" s="46">
        <v>0</v>
      </c>
      <c r="CP29" s="46">
        <v>1948.84</v>
      </c>
      <c r="CQ29" s="46">
        <v>1</v>
      </c>
      <c r="CR29" s="46">
        <v>1</v>
      </c>
      <c r="CS29" s="46">
        <v>0</v>
      </c>
      <c r="CT29" s="46">
        <v>1</v>
      </c>
      <c r="CU29" s="46">
        <v>1</v>
      </c>
      <c r="CV29" s="46">
        <v>1</v>
      </c>
      <c r="CW29" s="46">
        <v>0</v>
      </c>
      <c r="CX29" s="46">
        <v>0</v>
      </c>
      <c r="CY29" s="50" t="s">
        <v>159</v>
      </c>
      <c r="CZ29" s="37"/>
      <c r="DA29" s="38"/>
    </row>
    <row r="30" spans="1:105" x14ac:dyDescent="0.25">
      <c r="A30" s="36">
        <v>27</v>
      </c>
      <c r="B30" s="46" t="s">
        <v>755</v>
      </c>
      <c r="C30" s="46">
        <v>40005</v>
      </c>
      <c r="D30" s="46">
        <v>31573</v>
      </c>
      <c r="E30" s="46">
        <v>4</v>
      </c>
      <c r="F30" s="46">
        <v>19</v>
      </c>
      <c r="G30" s="46">
        <v>1</v>
      </c>
      <c r="H30" s="46">
        <v>11</v>
      </c>
      <c r="I30" s="56">
        <v>0.124</v>
      </c>
      <c r="J30" s="46">
        <v>-1740</v>
      </c>
      <c r="K30" s="46">
        <v>332.73219999999998</v>
      </c>
      <c r="L30" s="46">
        <v>269.26260000000002</v>
      </c>
      <c r="M30" s="46">
        <v>0</v>
      </c>
      <c r="N30" s="46">
        <v>0</v>
      </c>
      <c r="O30" s="46">
        <v>196.66909999999999</v>
      </c>
      <c r="P30" s="46">
        <v>0</v>
      </c>
      <c r="Q30" s="46">
        <v>349</v>
      </c>
      <c r="R30" s="46">
        <v>1</v>
      </c>
      <c r="S30" s="46">
        <v>3073</v>
      </c>
      <c r="T30" s="46">
        <v>1692310016</v>
      </c>
      <c r="U30" s="46">
        <v>11</v>
      </c>
      <c r="V30" s="46">
        <v>59</v>
      </c>
      <c r="W30" s="46">
        <v>89.643900000000002</v>
      </c>
      <c r="X30" s="46">
        <v>24.2531</v>
      </c>
      <c r="Y30" s="46">
        <v>8.4000000000000005E-2</v>
      </c>
      <c r="Z30" s="46">
        <v>2052.7199999999998</v>
      </c>
      <c r="AA30" s="63">
        <v>4</v>
      </c>
      <c r="AB30" s="63">
        <v>19</v>
      </c>
      <c r="AC30" s="46">
        <v>7</v>
      </c>
      <c r="AD30" s="46">
        <v>491</v>
      </c>
      <c r="AE30" s="46">
        <v>2973</v>
      </c>
      <c r="AF30" s="46">
        <v>2501589504</v>
      </c>
      <c r="AG30" s="37" t="s">
        <v>159</v>
      </c>
      <c r="AH30" s="37" t="s">
        <v>159</v>
      </c>
      <c r="AI30" s="37" t="s">
        <v>159</v>
      </c>
      <c r="AJ30" s="37" t="s">
        <v>159</v>
      </c>
      <c r="AK30" s="37" t="s">
        <v>159</v>
      </c>
      <c r="AL30" s="37" t="s">
        <v>159</v>
      </c>
      <c r="AM30" s="37" t="s">
        <v>159</v>
      </c>
      <c r="AN30" s="37" t="s">
        <v>159</v>
      </c>
      <c r="AO30" s="37" t="s">
        <v>159</v>
      </c>
      <c r="AP30" s="37" t="s">
        <v>159</v>
      </c>
      <c r="AQ30" s="37" t="s">
        <v>159</v>
      </c>
      <c r="AR30" s="37" t="s">
        <v>159</v>
      </c>
      <c r="AS30" s="37" t="s">
        <v>159</v>
      </c>
      <c r="AT30" s="37" t="s">
        <v>159</v>
      </c>
      <c r="AU30" s="37" t="s">
        <v>159</v>
      </c>
      <c r="AV30" s="37" t="s">
        <v>159</v>
      </c>
      <c r="AW30" s="37" t="s">
        <v>159</v>
      </c>
      <c r="AX30" s="37" t="s">
        <v>159</v>
      </c>
      <c r="AY30" s="37" t="s">
        <v>159</v>
      </c>
      <c r="AZ30" s="37" t="s">
        <v>159</v>
      </c>
      <c r="BA30" s="37" t="s">
        <v>159</v>
      </c>
      <c r="BB30" s="37" t="s">
        <v>159</v>
      </c>
      <c r="BC30" s="37" t="s">
        <v>159</v>
      </c>
      <c r="BD30" s="37" t="s">
        <v>159</v>
      </c>
      <c r="BE30" s="37" t="s">
        <v>159</v>
      </c>
      <c r="BF30" s="37" t="s">
        <v>159</v>
      </c>
      <c r="BG30" s="37" t="s">
        <v>159</v>
      </c>
      <c r="BH30" s="37" t="s">
        <v>159</v>
      </c>
      <c r="BI30" s="37" t="s">
        <v>159</v>
      </c>
      <c r="BJ30" s="37" t="s">
        <v>159</v>
      </c>
      <c r="BK30" s="37" t="s">
        <v>159</v>
      </c>
      <c r="BL30" s="37" t="s">
        <v>159</v>
      </c>
      <c r="BM30" s="37" t="s">
        <v>159</v>
      </c>
      <c r="BN30" s="37" t="s">
        <v>159</v>
      </c>
      <c r="BO30" s="37" t="s">
        <v>159</v>
      </c>
      <c r="BP30" s="46">
        <v>7</v>
      </c>
      <c r="BQ30" s="46">
        <v>269.26260000000002</v>
      </c>
      <c r="BR30" s="46">
        <v>1</v>
      </c>
      <c r="BS30" s="46">
        <v>11</v>
      </c>
      <c r="BT30" s="46">
        <v>127</v>
      </c>
      <c r="BU30" s="46">
        <v>100</v>
      </c>
      <c r="BV30" s="46">
        <v>3</v>
      </c>
      <c r="BW30" s="46">
        <v>196.66909999999999</v>
      </c>
      <c r="BX30" s="46">
        <v>-1740</v>
      </c>
      <c r="BY30" s="46">
        <v>89.643900000000002</v>
      </c>
      <c r="BZ30" s="46">
        <v>24.2531</v>
      </c>
      <c r="CA30" s="46">
        <v>0</v>
      </c>
      <c r="CB30" s="46">
        <v>0</v>
      </c>
      <c r="CC30" s="46">
        <v>1</v>
      </c>
      <c r="CD30" s="46">
        <v>491</v>
      </c>
      <c r="CE30" s="46">
        <v>1</v>
      </c>
      <c r="CF30" s="46">
        <v>2973</v>
      </c>
      <c r="CG30" s="46">
        <v>2501589504</v>
      </c>
      <c r="CH30" s="46">
        <v>10</v>
      </c>
      <c r="CI30" s="46">
        <v>0</v>
      </c>
      <c r="CJ30" s="46">
        <v>0</v>
      </c>
      <c r="CK30" s="46">
        <v>1</v>
      </c>
      <c r="CL30" s="46">
        <v>7</v>
      </c>
      <c r="CM30" s="46">
        <v>0</v>
      </c>
      <c r="CN30" s="46">
        <v>0</v>
      </c>
      <c r="CO30" s="46">
        <v>0</v>
      </c>
      <c r="CP30" s="46">
        <v>2052.7199999999998</v>
      </c>
      <c r="CQ30" s="46">
        <v>1</v>
      </c>
      <c r="CR30" s="46">
        <v>1</v>
      </c>
      <c r="CS30" s="46">
        <v>0</v>
      </c>
      <c r="CT30" s="46">
        <v>1</v>
      </c>
      <c r="CU30" s="46">
        <v>1</v>
      </c>
      <c r="CV30" s="46">
        <v>1</v>
      </c>
      <c r="CW30" s="46">
        <v>1</v>
      </c>
      <c r="CX30" s="46">
        <v>1</v>
      </c>
      <c r="CY30" s="50" t="s">
        <v>159</v>
      </c>
      <c r="CZ30" s="37"/>
      <c r="DA30" s="38"/>
    </row>
    <row r="31" spans="1:105" x14ac:dyDescent="0.25">
      <c r="A31" s="36">
        <v>28</v>
      </c>
      <c r="B31" s="46" t="s">
        <v>756</v>
      </c>
      <c r="C31" s="46">
        <v>11238</v>
      </c>
      <c r="D31" s="46">
        <v>61318</v>
      </c>
      <c r="E31" s="46">
        <v>0</v>
      </c>
      <c r="F31" s="46">
        <v>30</v>
      </c>
      <c r="G31" s="46">
        <v>3</v>
      </c>
      <c r="H31" s="46">
        <v>3</v>
      </c>
      <c r="I31" s="46">
        <v>0</v>
      </c>
      <c r="J31" s="56">
        <v>-1800</v>
      </c>
      <c r="K31" s="46">
        <v>149.14590000000001</v>
      </c>
      <c r="L31" s="46">
        <v>314.73379999999997</v>
      </c>
      <c r="M31" s="46">
        <v>0</v>
      </c>
      <c r="N31" s="46">
        <v>0</v>
      </c>
      <c r="O31" s="46">
        <v>296.2251</v>
      </c>
      <c r="P31" s="46">
        <v>0</v>
      </c>
      <c r="Q31" s="46">
        <v>375</v>
      </c>
      <c r="R31" s="46">
        <v>0</v>
      </c>
      <c r="S31" s="46">
        <v>3196</v>
      </c>
      <c r="T31" s="46">
        <v>3890935040</v>
      </c>
      <c r="U31" s="46">
        <v>25</v>
      </c>
      <c r="V31" s="46">
        <v>115</v>
      </c>
      <c r="W31" s="46">
        <v>327.5136</v>
      </c>
      <c r="X31" s="46">
        <v>124.3472</v>
      </c>
      <c r="Y31" s="46">
        <v>8.7999999999999995E-2</v>
      </c>
      <c r="Z31" s="46">
        <v>2156.6</v>
      </c>
      <c r="AA31" s="63">
        <v>0</v>
      </c>
      <c r="AB31" s="63">
        <v>30</v>
      </c>
      <c r="AC31" s="46">
        <v>6</v>
      </c>
      <c r="AD31" s="46">
        <v>2</v>
      </c>
      <c r="AE31" s="46">
        <v>38238</v>
      </c>
      <c r="AF31" s="46">
        <v>2444563712</v>
      </c>
      <c r="AG31" s="37" t="s">
        <v>159</v>
      </c>
      <c r="AH31" s="37" t="s">
        <v>159</v>
      </c>
      <c r="AI31" s="37" t="s">
        <v>159</v>
      </c>
      <c r="AJ31" s="37" t="s">
        <v>159</v>
      </c>
      <c r="AK31" s="37" t="s">
        <v>159</v>
      </c>
      <c r="AL31" s="37" t="s">
        <v>159</v>
      </c>
      <c r="AM31" s="37" t="s">
        <v>159</v>
      </c>
      <c r="AN31" s="37" t="s">
        <v>159</v>
      </c>
      <c r="AO31" s="37" t="s">
        <v>159</v>
      </c>
      <c r="AP31" s="37" t="s">
        <v>159</v>
      </c>
      <c r="AQ31" s="37" t="s">
        <v>159</v>
      </c>
      <c r="AR31" s="37" t="s">
        <v>159</v>
      </c>
      <c r="AS31" s="37" t="s">
        <v>159</v>
      </c>
      <c r="AT31" s="37" t="s">
        <v>159</v>
      </c>
      <c r="AU31" s="37" t="s">
        <v>159</v>
      </c>
      <c r="AV31" s="37" t="s">
        <v>159</v>
      </c>
      <c r="AW31" s="37" t="s">
        <v>159</v>
      </c>
      <c r="AX31" s="37" t="s">
        <v>159</v>
      </c>
      <c r="AY31" s="37" t="s">
        <v>159</v>
      </c>
      <c r="AZ31" s="37" t="s">
        <v>159</v>
      </c>
      <c r="BA31" s="37" t="s">
        <v>159</v>
      </c>
      <c r="BB31" s="37" t="s">
        <v>159</v>
      </c>
      <c r="BC31" s="37" t="s">
        <v>159</v>
      </c>
      <c r="BD31" s="37" t="s">
        <v>159</v>
      </c>
      <c r="BE31" s="37" t="s">
        <v>159</v>
      </c>
      <c r="BF31" s="37" t="s">
        <v>159</v>
      </c>
      <c r="BG31" s="37" t="s">
        <v>159</v>
      </c>
      <c r="BH31" s="37" t="s">
        <v>159</v>
      </c>
      <c r="BI31" s="37" t="s">
        <v>159</v>
      </c>
      <c r="BJ31" s="37" t="s">
        <v>159</v>
      </c>
      <c r="BK31" s="37" t="s">
        <v>159</v>
      </c>
      <c r="BL31" s="37" t="s">
        <v>159</v>
      </c>
      <c r="BM31" s="37" t="s">
        <v>159</v>
      </c>
      <c r="BN31" s="37" t="s">
        <v>159</v>
      </c>
      <c r="BO31" s="37" t="s">
        <v>159</v>
      </c>
      <c r="BP31" s="46">
        <v>6</v>
      </c>
      <c r="BQ31" s="46">
        <v>314.73379999999997</v>
      </c>
      <c r="BR31" s="46">
        <v>3</v>
      </c>
      <c r="BS31" s="46">
        <v>3</v>
      </c>
      <c r="BT31" s="46">
        <v>82</v>
      </c>
      <c r="BU31" s="46">
        <v>64</v>
      </c>
      <c r="BV31" s="46">
        <v>123</v>
      </c>
      <c r="BW31" s="46">
        <v>296.2251</v>
      </c>
      <c r="BX31" s="46">
        <v>-1800</v>
      </c>
      <c r="BY31" s="46">
        <v>327.5136</v>
      </c>
      <c r="BZ31" s="46">
        <v>124.3472</v>
      </c>
      <c r="CA31" s="46">
        <v>0</v>
      </c>
      <c r="CB31" s="46">
        <v>0</v>
      </c>
      <c r="CC31" s="46">
        <v>1</v>
      </c>
      <c r="CD31" s="46">
        <v>2</v>
      </c>
      <c r="CE31" s="46">
        <v>1</v>
      </c>
      <c r="CF31" s="46">
        <v>3196</v>
      </c>
      <c r="CG31" s="46">
        <v>3890935040</v>
      </c>
      <c r="CH31" s="46">
        <v>24</v>
      </c>
      <c r="CI31" s="46">
        <v>0</v>
      </c>
      <c r="CJ31" s="46">
        <v>0</v>
      </c>
      <c r="CK31" s="46">
        <v>1</v>
      </c>
      <c r="CL31" s="46">
        <v>6</v>
      </c>
      <c r="CM31" s="46">
        <v>0</v>
      </c>
      <c r="CN31" s="46">
        <v>0</v>
      </c>
      <c r="CO31" s="46">
        <v>0</v>
      </c>
      <c r="CP31" s="46">
        <v>2156.6</v>
      </c>
      <c r="CQ31" s="46">
        <v>1</v>
      </c>
      <c r="CR31" s="46">
        <v>1</v>
      </c>
      <c r="CS31" s="46">
        <v>0</v>
      </c>
      <c r="CT31" s="46">
        <v>1</v>
      </c>
      <c r="CU31" s="46">
        <v>1</v>
      </c>
      <c r="CV31" s="46">
        <v>1</v>
      </c>
      <c r="CW31" s="46">
        <v>0</v>
      </c>
      <c r="CX31" s="46">
        <v>0</v>
      </c>
      <c r="CY31" s="50" t="s">
        <v>159</v>
      </c>
      <c r="CZ31" s="37"/>
      <c r="DA31" s="38"/>
    </row>
    <row r="32" spans="1:105" x14ac:dyDescent="0.25">
      <c r="A32" s="36">
        <v>29</v>
      </c>
      <c r="B32" s="46" t="s">
        <v>757</v>
      </c>
      <c r="C32" s="46">
        <v>52079</v>
      </c>
      <c r="D32" s="46">
        <v>40478</v>
      </c>
      <c r="E32" s="46">
        <v>1</v>
      </c>
      <c r="F32" s="46">
        <v>23</v>
      </c>
      <c r="G32" s="46">
        <v>-2</v>
      </c>
      <c r="H32" s="46">
        <v>9</v>
      </c>
      <c r="I32" s="46">
        <v>0</v>
      </c>
      <c r="J32" s="56">
        <v>2160</v>
      </c>
      <c r="K32" s="46">
        <v>63.449300000000001</v>
      </c>
      <c r="L32" s="46">
        <v>225.0977</v>
      </c>
      <c r="M32" s="46">
        <v>1</v>
      </c>
      <c r="N32" s="46">
        <v>0</v>
      </c>
      <c r="O32" s="46">
        <v>177.24180000000001</v>
      </c>
      <c r="P32" s="46">
        <v>1</v>
      </c>
      <c r="Q32" s="46">
        <v>401</v>
      </c>
      <c r="R32" s="46">
        <v>1</v>
      </c>
      <c r="S32" s="46">
        <v>3319</v>
      </c>
      <c r="T32" s="46">
        <v>2515657728</v>
      </c>
      <c r="U32" s="46">
        <v>206</v>
      </c>
      <c r="V32" s="46">
        <v>65</v>
      </c>
      <c r="W32" s="46">
        <v>230.73750000000001</v>
      </c>
      <c r="X32" s="46">
        <v>323.5025</v>
      </c>
      <c r="Y32" s="46">
        <v>9.1999999999999998E-2</v>
      </c>
      <c r="Z32" s="46">
        <v>2260.48</v>
      </c>
      <c r="AA32" s="63">
        <v>1</v>
      </c>
      <c r="AB32" s="63">
        <v>23</v>
      </c>
      <c r="AC32" s="46">
        <v>5</v>
      </c>
      <c r="AD32" s="46">
        <v>7</v>
      </c>
      <c r="AE32" s="46">
        <v>26757</v>
      </c>
      <c r="AF32" s="46">
        <v>3910370304</v>
      </c>
      <c r="AG32" s="37" t="s">
        <v>159</v>
      </c>
      <c r="AH32" s="37" t="s">
        <v>159</v>
      </c>
      <c r="AI32" s="37" t="s">
        <v>159</v>
      </c>
      <c r="AJ32" s="37" t="s">
        <v>159</v>
      </c>
      <c r="AK32" s="37" t="s">
        <v>159</v>
      </c>
      <c r="AL32" s="37" t="s">
        <v>159</v>
      </c>
      <c r="AM32" s="37" t="s">
        <v>159</v>
      </c>
      <c r="AN32" s="37" t="s">
        <v>159</v>
      </c>
      <c r="AO32" s="37" t="s">
        <v>159</v>
      </c>
      <c r="AP32" s="37" t="s">
        <v>159</v>
      </c>
      <c r="AQ32" s="37" t="s">
        <v>159</v>
      </c>
      <c r="AR32" s="37" t="s">
        <v>159</v>
      </c>
      <c r="AS32" s="37" t="s">
        <v>159</v>
      </c>
      <c r="AT32" s="37" t="s">
        <v>159</v>
      </c>
      <c r="AU32" s="37" t="s">
        <v>159</v>
      </c>
      <c r="AV32" s="37" t="s">
        <v>159</v>
      </c>
      <c r="AW32" s="37" t="s">
        <v>159</v>
      </c>
      <c r="AX32" s="37" t="s">
        <v>159</v>
      </c>
      <c r="AY32" s="37" t="s">
        <v>159</v>
      </c>
      <c r="AZ32" s="37" t="s">
        <v>159</v>
      </c>
      <c r="BA32" s="37" t="s">
        <v>159</v>
      </c>
      <c r="BB32" s="37" t="s">
        <v>159</v>
      </c>
      <c r="BC32" s="37" t="s">
        <v>159</v>
      </c>
      <c r="BD32" s="37" t="s">
        <v>159</v>
      </c>
      <c r="BE32" s="37" t="s">
        <v>159</v>
      </c>
      <c r="BF32" s="37" t="s">
        <v>159</v>
      </c>
      <c r="BG32" s="37" t="s">
        <v>159</v>
      </c>
      <c r="BH32" s="37" t="s">
        <v>159</v>
      </c>
      <c r="BI32" s="37" t="s">
        <v>159</v>
      </c>
      <c r="BJ32" s="37" t="s">
        <v>159</v>
      </c>
      <c r="BK32" s="37" t="s">
        <v>159</v>
      </c>
      <c r="BL32" s="37" t="s">
        <v>159</v>
      </c>
      <c r="BM32" s="37" t="s">
        <v>159</v>
      </c>
      <c r="BN32" s="37" t="s">
        <v>159</v>
      </c>
      <c r="BO32" s="37" t="s">
        <v>159</v>
      </c>
      <c r="BP32" s="46">
        <v>5</v>
      </c>
      <c r="BQ32" s="46">
        <v>225.0977</v>
      </c>
      <c r="BR32" s="46">
        <v>-2</v>
      </c>
      <c r="BS32" s="46">
        <v>9</v>
      </c>
      <c r="BT32" s="46">
        <v>74</v>
      </c>
      <c r="BU32" s="46">
        <v>85</v>
      </c>
      <c r="BV32" s="46">
        <v>90</v>
      </c>
      <c r="BW32" s="46">
        <v>177.24180000000001</v>
      </c>
      <c r="BX32" s="46">
        <v>2160</v>
      </c>
      <c r="BY32" s="46">
        <v>230.73750000000001</v>
      </c>
      <c r="BZ32" s="46">
        <v>323.5025</v>
      </c>
      <c r="CA32" s="46">
        <v>1</v>
      </c>
      <c r="CB32" s="46">
        <v>0</v>
      </c>
      <c r="CC32" s="46">
        <v>1</v>
      </c>
      <c r="CD32" s="46">
        <v>401</v>
      </c>
      <c r="CE32" s="46">
        <v>1</v>
      </c>
      <c r="CF32" s="46">
        <v>26757</v>
      </c>
      <c r="CG32" s="46">
        <v>3910370304</v>
      </c>
      <c r="CH32" s="46">
        <v>205</v>
      </c>
      <c r="CI32" s="46">
        <v>2927</v>
      </c>
      <c r="CJ32" s="46">
        <v>3614</v>
      </c>
      <c r="CK32" s="46">
        <v>1</v>
      </c>
      <c r="CL32" s="46">
        <v>69</v>
      </c>
      <c r="CM32" s="46">
        <v>1</v>
      </c>
      <c r="CN32" s="46">
        <v>1</v>
      </c>
      <c r="CO32" s="46">
        <v>0</v>
      </c>
      <c r="CP32" s="46">
        <v>2260.48</v>
      </c>
      <c r="CQ32" s="46">
        <v>1</v>
      </c>
      <c r="CR32" s="46">
        <v>1</v>
      </c>
      <c r="CS32" s="46">
        <v>0</v>
      </c>
      <c r="CT32" s="46">
        <v>1</v>
      </c>
      <c r="CU32" s="46">
        <v>1</v>
      </c>
      <c r="CV32" s="46">
        <v>0</v>
      </c>
      <c r="CW32" s="46">
        <v>1</v>
      </c>
      <c r="CX32" s="46">
        <v>1</v>
      </c>
      <c r="CY32" s="50" t="s">
        <v>159</v>
      </c>
      <c r="CZ32" s="37"/>
      <c r="DA32" s="38"/>
    </row>
    <row r="33" spans="1:105" x14ac:dyDescent="0.25">
      <c r="A33" s="36">
        <v>30</v>
      </c>
      <c r="B33" s="46" t="s">
        <v>758</v>
      </c>
      <c r="C33" s="46">
        <v>45457</v>
      </c>
      <c r="D33" s="46">
        <v>8402</v>
      </c>
      <c r="E33" s="46">
        <v>2</v>
      </c>
      <c r="F33" s="46">
        <v>24</v>
      </c>
      <c r="G33" s="46">
        <v>1</v>
      </c>
      <c r="H33" s="46">
        <v>-6</v>
      </c>
      <c r="I33" s="46">
        <v>0.13</v>
      </c>
      <c r="J33" s="56">
        <v>1109</v>
      </c>
      <c r="K33" s="46">
        <v>203.59289999999999</v>
      </c>
      <c r="L33" s="46">
        <v>240.86109999999999</v>
      </c>
      <c r="M33" s="46">
        <v>0</v>
      </c>
      <c r="N33" s="46">
        <v>0</v>
      </c>
      <c r="O33" s="46">
        <v>243.32499999999999</v>
      </c>
      <c r="P33" s="46">
        <v>0</v>
      </c>
      <c r="Q33" s="46">
        <v>427</v>
      </c>
      <c r="R33" s="46">
        <v>0</v>
      </c>
      <c r="S33" s="46">
        <v>3442</v>
      </c>
      <c r="T33" s="46">
        <v>2522420992</v>
      </c>
      <c r="U33" s="46">
        <v>192</v>
      </c>
      <c r="V33" s="46">
        <v>41</v>
      </c>
      <c r="W33" s="46">
        <v>1.7538</v>
      </c>
      <c r="X33" s="46">
        <v>280.91109999999998</v>
      </c>
      <c r="Y33" s="46">
        <v>9.6000000000000002E-2</v>
      </c>
      <c r="Z33" s="46">
        <v>2364.36</v>
      </c>
      <c r="AA33" s="63">
        <v>2</v>
      </c>
      <c r="AB33" s="63">
        <v>24</v>
      </c>
      <c r="AC33" s="46">
        <v>4</v>
      </c>
      <c r="AD33" s="46">
        <v>12</v>
      </c>
      <c r="AE33" s="46">
        <v>19916</v>
      </c>
      <c r="AF33" s="46">
        <v>2876520192</v>
      </c>
      <c r="AG33" s="37" t="s">
        <v>159</v>
      </c>
      <c r="AH33" s="37" t="s">
        <v>159</v>
      </c>
      <c r="AI33" s="37" t="s">
        <v>159</v>
      </c>
      <c r="AJ33" s="37" t="s">
        <v>159</v>
      </c>
      <c r="AK33" s="37" t="s">
        <v>159</v>
      </c>
      <c r="AL33" s="37" t="s">
        <v>159</v>
      </c>
      <c r="AM33" s="37" t="s">
        <v>159</v>
      </c>
      <c r="AN33" s="37" t="s">
        <v>159</v>
      </c>
      <c r="AO33" s="37" t="s">
        <v>159</v>
      </c>
      <c r="AP33" s="37" t="s">
        <v>159</v>
      </c>
      <c r="AQ33" s="37" t="s">
        <v>159</v>
      </c>
      <c r="AR33" s="37" t="s">
        <v>159</v>
      </c>
      <c r="AS33" s="37" t="s">
        <v>159</v>
      </c>
      <c r="AT33" s="37" t="s">
        <v>159</v>
      </c>
      <c r="AU33" s="37" t="s">
        <v>159</v>
      </c>
      <c r="AV33" s="37" t="s">
        <v>159</v>
      </c>
      <c r="AW33" s="37" t="s">
        <v>159</v>
      </c>
      <c r="AX33" s="37" t="s">
        <v>159</v>
      </c>
      <c r="AY33" s="37" t="s">
        <v>159</v>
      </c>
      <c r="AZ33" s="37" t="s">
        <v>159</v>
      </c>
      <c r="BA33" s="37" t="s">
        <v>159</v>
      </c>
      <c r="BB33" s="37" t="s">
        <v>159</v>
      </c>
      <c r="BC33" s="37" t="s">
        <v>159</v>
      </c>
      <c r="BD33" s="37" t="s">
        <v>159</v>
      </c>
      <c r="BE33" s="37" t="s">
        <v>159</v>
      </c>
      <c r="BF33" s="37" t="s">
        <v>159</v>
      </c>
      <c r="BG33" s="37" t="s">
        <v>159</v>
      </c>
      <c r="BH33" s="37" t="s">
        <v>159</v>
      </c>
      <c r="BI33" s="37" t="s">
        <v>159</v>
      </c>
      <c r="BJ33" s="37" t="s">
        <v>159</v>
      </c>
      <c r="BK33" s="37" t="s">
        <v>159</v>
      </c>
      <c r="BL33" s="37" t="s">
        <v>159</v>
      </c>
      <c r="BM33" s="37" t="s">
        <v>159</v>
      </c>
      <c r="BN33" s="37" t="s">
        <v>159</v>
      </c>
      <c r="BO33" s="37" t="s">
        <v>159</v>
      </c>
      <c r="BP33" s="46">
        <v>4</v>
      </c>
      <c r="BQ33" s="46">
        <v>240.86109999999999</v>
      </c>
      <c r="BR33" s="46">
        <v>1</v>
      </c>
      <c r="BS33" s="46">
        <v>-6</v>
      </c>
      <c r="BT33" s="46">
        <v>69</v>
      </c>
      <c r="BU33" s="46">
        <v>6</v>
      </c>
      <c r="BV33" s="46">
        <v>114</v>
      </c>
      <c r="BW33" s="46">
        <v>243.32499999999999</v>
      </c>
      <c r="BX33" s="46">
        <v>1109</v>
      </c>
      <c r="BY33" s="46">
        <v>1.7538</v>
      </c>
      <c r="BZ33" s="46">
        <v>280.91109999999998</v>
      </c>
      <c r="CA33" s="46">
        <v>0</v>
      </c>
      <c r="CB33" s="46">
        <v>0</v>
      </c>
      <c r="CC33" s="46">
        <v>1</v>
      </c>
      <c r="CD33" s="46">
        <v>12</v>
      </c>
      <c r="CE33" s="46">
        <v>1</v>
      </c>
      <c r="CF33" s="46">
        <v>3442</v>
      </c>
      <c r="CG33" s="46">
        <v>2522420992</v>
      </c>
      <c r="CH33" s="46">
        <v>191</v>
      </c>
      <c r="CI33" s="46">
        <v>0</v>
      </c>
      <c r="CJ33" s="46">
        <v>0</v>
      </c>
      <c r="CK33" s="46">
        <v>1</v>
      </c>
      <c r="CL33" s="46">
        <v>4</v>
      </c>
      <c r="CM33" s="46">
        <v>0</v>
      </c>
      <c r="CN33" s="46">
        <v>0</v>
      </c>
      <c r="CO33" s="46">
        <v>0</v>
      </c>
      <c r="CP33" s="46">
        <v>2364.36</v>
      </c>
      <c r="CQ33" s="46">
        <v>1</v>
      </c>
      <c r="CR33" s="46">
        <v>1</v>
      </c>
      <c r="CS33" s="46">
        <v>0</v>
      </c>
      <c r="CT33" s="46">
        <v>1</v>
      </c>
      <c r="CU33" s="46">
        <v>1</v>
      </c>
      <c r="CV33" s="46">
        <v>1</v>
      </c>
      <c r="CW33" s="46">
        <v>0</v>
      </c>
      <c r="CX33" s="46">
        <v>0</v>
      </c>
      <c r="CY33" s="50" t="s">
        <v>159</v>
      </c>
      <c r="CZ33" s="37"/>
      <c r="DA33" s="38"/>
    </row>
    <row r="34" spans="1:105" x14ac:dyDescent="0.25">
      <c r="A34" s="36">
        <v>31</v>
      </c>
      <c r="B34" s="46" t="s">
        <v>759</v>
      </c>
      <c r="C34" s="46">
        <v>41206</v>
      </c>
      <c r="D34" s="46">
        <v>56642</v>
      </c>
      <c r="E34" s="46">
        <v>3</v>
      </c>
      <c r="F34" s="46">
        <v>17</v>
      </c>
      <c r="G34" s="46">
        <v>-1</v>
      </c>
      <c r="H34" s="46">
        <v>9</v>
      </c>
      <c r="I34" s="46">
        <v>0.33</v>
      </c>
      <c r="J34" s="56">
        <v>0</v>
      </c>
      <c r="K34" s="46">
        <v>113.9385</v>
      </c>
      <c r="L34" s="46">
        <v>208.4435</v>
      </c>
      <c r="M34" s="46">
        <v>0</v>
      </c>
      <c r="N34" s="46">
        <v>0</v>
      </c>
      <c r="O34" s="46">
        <v>173.1131</v>
      </c>
      <c r="P34" s="46">
        <v>1</v>
      </c>
      <c r="Q34" s="46">
        <v>453</v>
      </c>
      <c r="R34" s="46">
        <v>1</v>
      </c>
      <c r="S34" s="46">
        <v>3565</v>
      </c>
      <c r="T34" s="46">
        <v>1705999872</v>
      </c>
      <c r="U34" s="46">
        <v>169</v>
      </c>
      <c r="V34" s="46">
        <v>107</v>
      </c>
      <c r="W34" s="46">
        <v>58.078600000000002</v>
      </c>
      <c r="X34" s="46">
        <v>165.49950000000001</v>
      </c>
      <c r="Y34" s="46">
        <v>0.1</v>
      </c>
      <c r="Z34" s="46">
        <v>2468.2399999999998</v>
      </c>
      <c r="AA34" s="63">
        <v>3</v>
      </c>
      <c r="AB34" s="63">
        <v>17</v>
      </c>
      <c r="AC34" s="46">
        <v>3</v>
      </c>
      <c r="AD34" s="46">
        <v>17</v>
      </c>
      <c r="AE34" s="46">
        <v>29123</v>
      </c>
      <c r="AF34" s="46">
        <v>4208860672</v>
      </c>
      <c r="AG34" s="37" t="s">
        <v>159</v>
      </c>
      <c r="AH34" s="37" t="s">
        <v>159</v>
      </c>
      <c r="AI34" s="37" t="s">
        <v>159</v>
      </c>
      <c r="AJ34" s="37" t="s">
        <v>159</v>
      </c>
      <c r="AK34" s="37" t="s">
        <v>159</v>
      </c>
      <c r="AL34" s="37" t="s">
        <v>159</v>
      </c>
      <c r="AM34" s="37" t="s">
        <v>159</v>
      </c>
      <c r="AN34" s="37" t="s">
        <v>159</v>
      </c>
      <c r="AO34" s="37" t="s">
        <v>159</v>
      </c>
      <c r="AP34" s="37" t="s">
        <v>159</v>
      </c>
      <c r="AQ34" s="37" t="s">
        <v>159</v>
      </c>
      <c r="AR34" s="37" t="s">
        <v>159</v>
      </c>
      <c r="AS34" s="37" t="s">
        <v>159</v>
      </c>
      <c r="AT34" s="37" t="s">
        <v>159</v>
      </c>
      <c r="AU34" s="37" t="s">
        <v>159</v>
      </c>
      <c r="AV34" s="37" t="s">
        <v>159</v>
      </c>
      <c r="AW34" s="37" t="s">
        <v>159</v>
      </c>
      <c r="AX34" s="37" t="s">
        <v>159</v>
      </c>
      <c r="AY34" s="37" t="s">
        <v>159</v>
      </c>
      <c r="AZ34" s="37" t="s">
        <v>159</v>
      </c>
      <c r="BA34" s="37" t="s">
        <v>159</v>
      </c>
      <c r="BB34" s="37" t="s">
        <v>159</v>
      </c>
      <c r="BC34" s="37" t="s">
        <v>159</v>
      </c>
      <c r="BD34" s="37" t="s">
        <v>159</v>
      </c>
      <c r="BE34" s="37" t="s">
        <v>159</v>
      </c>
      <c r="BF34" s="37" t="s">
        <v>159</v>
      </c>
      <c r="BG34" s="37" t="s">
        <v>159</v>
      </c>
      <c r="BH34" s="37" t="s">
        <v>159</v>
      </c>
      <c r="BI34" s="37" t="s">
        <v>159</v>
      </c>
      <c r="BJ34" s="37" t="s">
        <v>159</v>
      </c>
      <c r="BK34" s="37" t="s">
        <v>159</v>
      </c>
      <c r="BL34" s="37" t="s">
        <v>159</v>
      </c>
      <c r="BM34" s="37" t="s">
        <v>159</v>
      </c>
      <c r="BN34" s="37" t="s">
        <v>159</v>
      </c>
      <c r="BO34" s="37" t="s">
        <v>159</v>
      </c>
      <c r="BP34" s="46">
        <v>3</v>
      </c>
      <c r="BQ34" s="46">
        <v>208.4435</v>
      </c>
      <c r="BR34" s="46">
        <v>-1</v>
      </c>
      <c r="BS34" s="46">
        <v>9</v>
      </c>
      <c r="BT34" s="46">
        <v>89</v>
      </c>
      <c r="BU34" s="46">
        <v>91</v>
      </c>
      <c r="BV34" s="46">
        <v>82</v>
      </c>
      <c r="BW34" s="46">
        <v>173.1131</v>
      </c>
      <c r="BX34" s="46">
        <v>0</v>
      </c>
      <c r="BY34" s="46">
        <v>58.078600000000002</v>
      </c>
      <c r="BZ34" s="46">
        <v>165.49950000000001</v>
      </c>
      <c r="CA34" s="46">
        <v>0</v>
      </c>
      <c r="CB34" s="46">
        <v>0</v>
      </c>
      <c r="CC34" s="46">
        <v>1</v>
      </c>
      <c r="CD34" s="46">
        <v>453</v>
      </c>
      <c r="CE34" s="46">
        <v>1</v>
      </c>
      <c r="CF34" s="46">
        <v>29123</v>
      </c>
      <c r="CG34" s="46">
        <v>4208860672</v>
      </c>
      <c r="CH34" s="46">
        <v>168</v>
      </c>
      <c r="CI34" s="46">
        <v>0</v>
      </c>
      <c r="CJ34" s="46">
        <v>0</v>
      </c>
      <c r="CK34" s="46">
        <v>1</v>
      </c>
      <c r="CL34" s="46">
        <v>3</v>
      </c>
      <c r="CM34" s="46">
        <v>0</v>
      </c>
      <c r="CN34" s="46">
        <v>0</v>
      </c>
      <c r="CO34" s="46">
        <v>0</v>
      </c>
      <c r="CP34" s="46">
        <v>2468.2399999999998</v>
      </c>
      <c r="CQ34" s="46">
        <v>1</v>
      </c>
      <c r="CR34" s="46">
        <v>1</v>
      </c>
      <c r="CS34" s="46">
        <v>0</v>
      </c>
      <c r="CT34" s="46">
        <v>1</v>
      </c>
      <c r="CU34" s="46">
        <v>1</v>
      </c>
      <c r="CV34" s="46">
        <v>0</v>
      </c>
      <c r="CW34" s="46">
        <v>1</v>
      </c>
      <c r="CX34" s="46">
        <v>1</v>
      </c>
      <c r="CY34" s="50" t="s">
        <v>159</v>
      </c>
      <c r="CZ34" s="37"/>
      <c r="DA34" s="38"/>
    </row>
    <row r="35" spans="1:105" x14ac:dyDescent="0.25">
      <c r="A35" s="36">
        <v>32</v>
      </c>
      <c r="B35" s="46" t="s">
        <v>760</v>
      </c>
      <c r="C35" s="46">
        <v>7524</v>
      </c>
      <c r="D35" s="46">
        <v>2640</v>
      </c>
      <c r="E35" s="46">
        <v>4</v>
      </c>
      <c r="F35" s="46">
        <v>20</v>
      </c>
      <c r="G35" s="46">
        <v>1</v>
      </c>
      <c r="H35" s="46">
        <v>6</v>
      </c>
      <c r="I35" s="46">
        <v>0.53</v>
      </c>
      <c r="J35" s="56">
        <v>-388</v>
      </c>
      <c r="K35" s="46">
        <v>92.759699999999995</v>
      </c>
      <c r="L35" s="46">
        <v>328.76560000000001</v>
      </c>
      <c r="M35" s="46">
        <v>1</v>
      </c>
      <c r="N35" s="46">
        <v>0</v>
      </c>
      <c r="O35" s="46">
        <v>67.322999999999993</v>
      </c>
      <c r="P35" s="46">
        <v>0</v>
      </c>
      <c r="Q35" s="46">
        <v>479</v>
      </c>
      <c r="R35" s="46">
        <v>0</v>
      </c>
      <c r="S35" s="46">
        <v>3688</v>
      </c>
      <c r="T35" s="46">
        <v>3053996288</v>
      </c>
      <c r="U35" s="46">
        <v>224</v>
      </c>
      <c r="V35" s="46">
        <v>230</v>
      </c>
      <c r="W35" s="46">
        <v>43.670499999999997</v>
      </c>
      <c r="X35" s="46">
        <v>225.9795</v>
      </c>
      <c r="Y35" s="46">
        <v>0.104</v>
      </c>
      <c r="Z35" s="46">
        <v>2572.12</v>
      </c>
      <c r="AA35" s="63">
        <v>4</v>
      </c>
      <c r="AB35" s="63">
        <v>20</v>
      </c>
      <c r="AC35" s="46">
        <v>2</v>
      </c>
      <c r="AD35" s="46">
        <v>22</v>
      </c>
      <c r="AE35" s="46">
        <v>47739</v>
      </c>
      <c r="AF35" s="46">
        <v>2029807872</v>
      </c>
      <c r="AG35" s="37" t="s">
        <v>159</v>
      </c>
      <c r="AH35" s="37" t="s">
        <v>159</v>
      </c>
      <c r="AI35" s="37" t="s">
        <v>159</v>
      </c>
      <c r="AJ35" s="37" t="s">
        <v>159</v>
      </c>
      <c r="AK35" s="37" t="s">
        <v>159</v>
      </c>
      <c r="AL35" s="37" t="s">
        <v>159</v>
      </c>
      <c r="AM35" s="37" t="s">
        <v>159</v>
      </c>
      <c r="AN35" s="37" t="s">
        <v>159</v>
      </c>
      <c r="AO35" s="37" t="s">
        <v>159</v>
      </c>
      <c r="AP35" s="37" t="s">
        <v>159</v>
      </c>
      <c r="AQ35" s="37" t="s">
        <v>159</v>
      </c>
      <c r="AR35" s="37" t="s">
        <v>159</v>
      </c>
      <c r="AS35" s="37" t="s">
        <v>159</v>
      </c>
      <c r="AT35" s="37" t="s">
        <v>159</v>
      </c>
      <c r="AU35" s="37" t="s">
        <v>159</v>
      </c>
      <c r="AV35" s="37" t="s">
        <v>159</v>
      </c>
      <c r="AW35" s="37" t="s">
        <v>159</v>
      </c>
      <c r="AX35" s="37" t="s">
        <v>159</v>
      </c>
      <c r="AY35" s="37" t="s">
        <v>159</v>
      </c>
      <c r="AZ35" s="37" t="s">
        <v>159</v>
      </c>
      <c r="BA35" s="37" t="s">
        <v>159</v>
      </c>
      <c r="BB35" s="37" t="s">
        <v>159</v>
      </c>
      <c r="BC35" s="37" t="s">
        <v>159</v>
      </c>
      <c r="BD35" s="37" t="s">
        <v>159</v>
      </c>
      <c r="BE35" s="37" t="s">
        <v>159</v>
      </c>
      <c r="BF35" s="37" t="s">
        <v>159</v>
      </c>
      <c r="BG35" s="37" t="s">
        <v>159</v>
      </c>
      <c r="BH35" s="37" t="s">
        <v>159</v>
      </c>
      <c r="BI35" s="37" t="s">
        <v>159</v>
      </c>
      <c r="BJ35" s="37" t="s">
        <v>159</v>
      </c>
      <c r="BK35" s="37" t="s">
        <v>159</v>
      </c>
      <c r="BL35" s="37" t="s">
        <v>159</v>
      </c>
      <c r="BM35" s="37" t="s">
        <v>159</v>
      </c>
      <c r="BN35" s="37" t="s">
        <v>159</v>
      </c>
      <c r="BO35" s="37" t="s">
        <v>159</v>
      </c>
      <c r="BP35" s="46">
        <v>2</v>
      </c>
      <c r="BQ35" s="46">
        <v>328.76560000000001</v>
      </c>
      <c r="BR35" s="46">
        <v>1</v>
      </c>
      <c r="BS35" s="46">
        <v>6</v>
      </c>
      <c r="BT35" s="46">
        <v>84</v>
      </c>
      <c r="BU35" s="46">
        <v>57</v>
      </c>
      <c r="BV35" s="46">
        <v>84</v>
      </c>
      <c r="BW35" s="46">
        <v>67.322999999999993</v>
      </c>
      <c r="BX35" s="46">
        <v>-388</v>
      </c>
      <c r="BY35" s="46">
        <v>43.670499999999997</v>
      </c>
      <c r="BZ35" s="46">
        <v>225.9795</v>
      </c>
      <c r="CA35" s="46">
        <v>1</v>
      </c>
      <c r="CB35" s="46">
        <v>0</v>
      </c>
      <c r="CC35" s="46">
        <v>1</v>
      </c>
      <c r="CD35" s="46">
        <v>22</v>
      </c>
      <c r="CE35" s="46">
        <v>1</v>
      </c>
      <c r="CF35" s="46">
        <v>3688</v>
      </c>
      <c r="CG35" s="46">
        <v>3053996288</v>
      </c>
      <c r="CH35" s="46">
        <v>223</v>
      </c>
      <c r="CI35" s="46">
        <v>0</v>
      </c>
      <c r="CJ35" s="46">
        <v>0</v>
      </c>
      <c r="CK35" s="46">
        <v>1</v>
      </c>
      <c r="CL35" s="46">
        <v>2</v>
      </c>
      <c r="CM35" s="46">
        <v>0</v>
      </c>
      <c r="CN35" s="46">
        <v>0</v>
      </c>
      <c r="CO35" s="46">
        <v>0</v>
      </c>
      <c r="CP35" s="46">
        <v>2572.12</v>
      </c>
      <c r="CQ35" s="46">
        <v>1</v>
      </c>
      <c r="CR35" s="46">
        <v>1</v>
      </c>
      <c r="CS35" s="46">
        <v>0</v>
      </c>
      <c r="CT35" s="46">
        <v>1</v>
      </c>
      <c r="CU35" s="46">
        <v>1</v>
      </c>
      <c r="CV35" s="46">
        <v>1</v>
      </c>
      <c r="CW35" s="46">
        <v>0</v>
      </c>
      <c r="CX35" s="46">
        <v>0</v>
      </c>
      <c r="CY35" s="50" t="s">
        <v>159</v>
      </c>
      <c r="CZ35" s="37"/>
      <c r="DA35" s="38"/>
    </row>
    <row r="36" spans="1:105" x14ac:dyDescent="0.25">
      <c r="A36" s="36">
        <v>33</v>
      </c>
      <c r="B36" s="46" t="s">
        <v>761</v>
      </c>
      <c r="C36" s="46">
        <v>14404</v>
      </c>
      <c r="D36" s="46">
        <v>52242</v>
      </c>
      <c r="E36" s="46">
        <v>4</v>
      </c>
      <c r="F36" s="46">
        <v>19</v>
      </c>
      <c r="G36" s="46">
        <v>-5</v>
      </c>
      <c r="H36" s="46">
        <v>-10</v>
      </c>
      <c r="I36" s="46">
        <v>0.73</v>
      </c>
      <c r="J36" s="46">
        <v>715</v>
      </c>
      <c r="K36" s="56">
        <v>20</v>
      </c>
      <c r="L36" s="46">
        <v>56.529000000000003</v>
      </c>
      <c r="M36" s="46">
        <v>0</v>
      </c>
      <c r="N36" s="46">
        <v>0</v>
      </c>
      <c r="O36" s="46">
        <v>47.908200000000001</v>
      </c>
      <c r="P36" s="46">
        <v>1</v>
      </c>
      <c r="Q36" s="46">
        <v>505</v>
      </c>
      <c r="R36" s="46">
        <v>0</v>
      </c>
      <c r="S36" s="46">
        <v>3811</v>
      </c>
      <c r="T36" s="46">
        <v>4192856064</v>
      </c>
      <c r="U36" s="46">
        <v>212</v>
      </c>
      <c r="V36" s="46">
        <v>31</v>
      </c>
      <c r="W36" s="46">
        <v>142.13319999999999</v>
      </c>
      <c r="X36" s="46">
        <v>337.74189999999999</v>
      </c>
      <c r="Y36" s="46">
        <v>0.108</v>
      </c>
      <c r="Z36" s="46">
        <v>325.39999999999998</v>
      </c>
      <c r="AA36" s="63">
        <v>4</v>
      </c>
      <c r="AB36" s="63">
        <v>19</v>
      </c>
      <c r="AC36" s="46">
        <v>1</v>
      </c>
      <c r="AD36" s="46">
        <v>27</v>
      </c>
      <c r="AE36" s="46">
        <v>12929</v>
      </c>
      <c r="AF36" s="46">
        <v>697141248</v>
      </c>
      <c r="AG36" s="37" t="s">
        <v>159</v>
      </c>
      <c r="AH36" s="37" t="s">
        <v>159</v>
      </c>
      <c r="AI36" s="37" t="s">
        <v>159</v>
      </c>
      <c r="AJ36" s="37" t="s">
        <v>159</v>
      </c>
      <c r="AK36" s="37" t="s">
        <v>159</v>
      </c>
      <c r="AL36" s="37" t="s">
        <v>159</v>
      </c>
      <c r="AM36" s="37" t="s">
        <v>159</v>
      </c>
      <c r="AN36" s="37" t="s">
        <v>159</v>
      </c>
      <c r="AO36" s="37" t="s">
        <v>159</v>
      </c>
      <c r="AP36" s="37" t="s">
        <v>159</v>
      </c>
      <c r="AQ36" s="37" t="s">
        <v>159</v>
      </c>
      <c r="AR36" s="37" t="s">
        <v>159</v>
      </c>
      <c r="AS36" s="37" t="s">
        <v>159</v>
      </c>
      <c r="AT36" s="37" t="s">
        <v>159</v>
      </c>
      <c r="AU36" s="37" t="s">
        <v>159</v>
      </c>
      <c r="AV36" s="37" t="s">
        <v>159</v>
      </c>
      <c r="AW36" s="37" t="s">
        <v>159</v>
      </c>
      <c r="AX36" s="37" t="s">
        <v>159</v>
      </c>
      <c r="AY36" s="37" t="s">
        <v>159</v>
      </c>
      <c r="AZ36" s="37" t="s">
        <v>159</v>
      </c>
      <c r="BA36" s="37" t="s">
        <v>159</v>
      </c>
      <c r="BB36" s="37" t="s">
        <v>159</v>
      </c>
      <c r="BC36" s="37" t="s">
        <v>159</v>
      </c>
      <c r="BD36" s="37" t="s">
        <v>159</v>
      </c>
      <c r="BE36" s="37" t="s">
        <v>159</v>
      </c>
      <c r="BF36" s="37" t="s">
        <v>159</v>
      </c>
      <c r="BG36" s="37" t="s">
        <v>159</v>
      </c>
      <c r="BH36" s="37" t="s">
        <v>159</v>
      </c>
      <c r="BI36" s="37" t="s">
        <v>159</v>
      </c>
      <c r="BJ36" s="37" t="s">
        <v>159</v>
      </c>
      <c r="BK36" s="37" t="s">
        <v>159</v>
      </c>
      <c r="BL36" s="37" t="s">
        <v>159</v>
      </c>
      <c r="BM36" s="37" t="s">
        <v>159</v>
      </c>
      <c r="BN36" s="37" t="s">
        <v>159</v>
      </c>
      <c r="BO36" s="37" t="s">
        <v>159</v>
      </c>
      <c r="BP36" s="46">
        <v>1</v>
      </c>
      <c r="BQ36" s="46">
        <v>56.529000000000003</v>
      </c>
      <c r="BR36" s="46">
        <v>-5</v>
      </c>
      <c r="BS36" s="46">
        <v>-10</v>
      </c>
      <c r="BT36" s="46">
        <v>92</v>
      </c>
      <c r="BU36" s="46">
        <v>74</v>
      </c>
      <c r="BV36" s="46">
        <v>53</v>
      </c>
      <c r="BW36" s="46">
        <v>47.908200000000001</v>
      </c>
      <c r="BX36" s="46">
        <v>715</v>
      </c>
      <c r="BY36" s="46">
        <v>142.13319999999999</v>
      </c>
      <c r="BZ36" s="46">
        <v>337.74189999999999</v>
      </c>
      <c r="CA36" s="46">
        <v>0</v>
      </c>
      <c r="CB36" s="46">
        <v>0</v>
      </c>
      <c r="CC36" s="46">
        <v>1</v>
      </c>
      <c r="CD36" s="46">
        <v>505</v>
      </c>
      <c r="CE36" s="46">
        <v>1</v>
      </c>
      <c r="CF36" s="46">
        <v>3811</v>
      </c>
      <c r="CG36" s="46">
        <v>4192856064</v>
      </c>
      <c r="CH36" s="46">
        <v>211</v>
      </c>
      <c r="CI36" s="46">
        <v>0</v>
      </c>
      <c r="CJ36" s="46">
        <v>0</v>
      </c>
      <c r="CK36" s="46">
        <v>1</v>
      </c>
      <c r="CL36" s="46">
        <v>1</v>
      </c>
      <c r="CM36" s="46">
        <v>0</v>
      </c>
      <c r="CN36" s="46">
        <v>0</v>
      </c>
      <c r="CO36" s="46">
        <v>0</v>
      </c>
      <c r="CP36" s="46">
        <v>325.39999999999998</v>
      </c>
      <c r="CQ36" s="46">
        <v>1</v>
      </c>
      <c r="CR36" s="46">
        <v>1</v>
      </c>
      <c r="CS36" s="46">
        <v>0</v>
      </c>
      <c r="CT36" s="46">
        <v>1</v>
      </c>
      <c r="CU36" s="46">
        <v>1</v>
      </c>
      <c r="CV36" s="46">
        <v>0</v>
      </c>
      <c r="CW36" s="46">
        <v>0</v>
      </c>
      <c r="CX36" s="46">
        <v>0</v>
      </c>
      <c r="CY36" s="50" t="s">
        <v>159</v>
      </c>
      <c r="CZ36" s="37"/>
      <c r="DA36" s="38"/>
    </row>
    <row r="37" spans="1:105" x14ac:dyDescent="0.25">
      <c r="A37" s="36">
        <v>34</v>
      </c>
      <c r="B37" s="46" t="s">
        <v>762</v>
      </c>
      <c r="C37" s="46">
        <v>59168</v>
      </c>
      <c r="D37" s="46">
        <v>23558</v>
      </c>
      <c r="E37" s="46">
        <v>4</v>
      </c>
      <c r="F37" s="46">
        <v>21</v>
      </c>
      <c r="G37" s="46">
        <v>-1</v>
      </c>
      <c r="H37" s="46">
        <v>-7</v>
      </c>
      <c r="I37" s="46">
        <v>0.93</v>
      </c>
      <c r="J37" s="46">
        <v>-1378</v>
      </c>
      <c r="K37" s="56">
        <v>340</v>
      </c>
      <c r="L37" s="46">
        <v>133.2373</v>
      </c>
      <c r="M37" s="46">
        <v>1</v>
      </c>
      <c r="N37" s="46">
        <v>0</v>
      </c>
      <c r="O37" s="46">
        <v>281.69499999999999</v>
      </c>
      <c r="P37" s="46">
        <v>1</v>
      </c>
      <c r="Q37" s="46">
        <v>4</v>
      </c>
      <c r="R37" s="46">
        <v>0</v>
      </c>
      <c r="S37" s="46">
        <v>3934</v>
      </c>
      <c r="T37" s="46">
        <v>1065421568</v>
      </c>
      <c r="U37" s="46">
        <v>219</v>
      </c>
      <c r="V37" s="46">
        <v>38</v>
      </c>
      <c r="W37" s="46">
        <v>290.21730000000002</v>
      </c>
      <c r="X37" s="46">
        <v>93.0351</v>
      </c>
      <c r="Y37" s="46">
        <v>0.112</v>
      </c>
      <c r="Z37" s="46">
        <v>204.4</v>
      </c>
      <c r="AA37" s="63">
        <v>4</v>
      </c>
      <c r="AB37" s="63">
        <v>21</v>
      </c>
      <c r="AC37" s="46">
        <v>2</v>
      </c>
      <c r="AD37" s="46">
        <v>32</v>
      </c>
      <c r="AE37" s="46">
        <v>33769</v>
      </c>
      <c r="AF37" s="46">
        <v>1192635136</v>
      </c>
      <c r="AG37" s="37" t="s">
        <v>159</v>
      </c>
      <c r="AH37" s="37" t="s">
        <v>159</v>
      </c>
      <c r="AI37" s="37" t="s">
        <v>159</v>
      </c>
      <c r="AJ37" s="37" t="s">
        <v>159</v>
      </c>
      <c r="AK37" s="37" t="s">
        <v>159</v>
      </c>
      <c r="AL37" s="37" t="s">
        <v>159</v>
      </c>
      <c r="AM37" s="37" t="s">
        <v>159</v>
      </c>
      <c r="AN37" s="37" t="s">
        <v>159</v>
      </c>
      <c r="AO37" s="37" t="s">
        <v>159</v>
      </c>
      <c r="AP37" s="37" t="s">
        <v>159</v>
      </c>
      <c r="AQ37" s="37" t="s">
        <v>159</v>
      </c>
      <c r="AR37" s="37" t="s">
        <v>159</v>
      </c>
      <c r="AS37" s="37" t="s">
        <v>159</v>
      </c>
      <c r="AT37" s="37" t="s">
        <v>159</v>
      </c>
      <c r="AU37" s="37" t="s">
        <v>159</v>
      </c>
      <c r="AV37" s="37" t="s">
        <v>159</v>
      </c>
      <c r="AW37" s="37" t="s">
        <v>159</v>
      </c>
      <c r="AX37" s="37" t="s">
        <v>159</v>
      </c>
      <c r="AY37" s="37" t="s">
        <v>159</v>
      </c>
      <c r="AZ37" s="37" t="s">
        <v>159</v>
      </c>
      <c r="BA37" s="37" t="s">
        <v>159</v>
      </c>
      <c r="BB37" s="37" t="s">
        <v>159</v>
      </c>
      <c r="BC37" s="37" t="s">
        <v>159</v>
      </c>
      <c r="BD37" s="37" t="s">
        <v>159</v>
      </c>
      <c r="BE37" s="37" t="s">
        <v>159</v>
      </c>
      <c r="BF37" s="37" t="s">
        <v>159</v>
      </c>
      <c r="BG37" s="37" t="s">
        <v>159</v>
      </c>
      <c r="BH37" s="37" t="s">
        <v>159</v>
      </c>
      <c r="BI37" s="37" t="s">
        <v>159</v>
      </c>
      <c r="BJ37" s="37" t="s">
        <v>159</v>
      </c>
      <c r="BK37" s="37" t="s">
        <v>159</v>
      </c>
      <c r="BL37" s="37" t="s">
        <v>159</v>
      </c>
      <c r="BM37" s="37" t="s">
        <v>159</v>
      </c>
      <c r="BN37" s="37" t="s">
        <v>159</v>
      </c>
      <c r="BO37" s="37" t="s">
        <v>159</v>
      </c>
      <c r="BP37" s="46">
        <v>2</v>
      </c>
      <c r="BQ37" s="46">
        <v>133.2373</v>
      </c>
      <c r="BR37" s="46">
        <v>-1</v>
      </c>
      <c r="BS37" s="46">
        <v>-7</v>
      </c>
      <c r="BT37" s="46">
        <v>110</v>
      </c>
      <c r="BU37" s="46">
        <v>58</v>
      </c>
      <c r="BV37" s="46">
        <v>10</v>
      </c>
      <c r="BW37" s="46">
        <v>281.69499999999999</v>
      </c>
      <c r="BX37" s="46">
        <v>-1378</v>
      </c>
      <c r="BY37" s="46">
        <v>290.21730000000002</v>
      </c>
      <c r="BZ37" s="46">
        <v>93.0351</v>
      </c>
      <c r="CA37" s="46">
        <v>1</v>
      </c>
      <c r="CB37" s="46">
        <v>0</v>
      </c>
      <c r="CC37" s="46">
        <v>1</v>
      </c>
      <c r="CD37" s="46">
        <v>4</v>
      </c>
      <c r="CE37" s="46">
        <v>1</v>
      </c>
      <c r="CF37" s="46">
        <v>3934</v>
      </c>
      <c r="CG37" s="46">
        <v>1065421568</v>
      </c>
      <c r="CH37" s="46">
        <v>218</v>
      </c>
      <c r="CI37" s="46">
        <v>0</v>
      </c>
      <c r="CJ37" s="46">
        <v>0</v>
      </c>
      <c r="CK37" s="46">
        <v>1</v>
      </c>
      <c r="CL37" s="46">
        <v>2</v>
      </c>
      <c r="CM37" s="46">
        <v>0</v>
      </c>
      <c r="CN37" s="46">
        <v>0</v>
      </c>
      <c r="CO37" s="46">
        <v>0</v>
      </c>
      <c r="CP37" s="46">
        <v>204.4</v>
      </c>
      <c r="CQ37" s="46">
        <v>1</v>
      </c>
      <c r="CR37" s="46">
        <v>1</v>
      </c>
      <c r="CS37" s="46">
        <v>0</v>
      </c>
      <c r="CT37" s="46">
        <v>1</v>
      </c>
      <c r="CU37" s="46">
        <v>1</v>
      </c>
      <c r="CV37" s="46">
        <v>0</v>
      </c>
      <c r="CW37" s="46">
        <v>0</v>
      </c>
      <c r="CX37" s="46">
        <v>0</v>
      </c>
      <c r="CY37" s="50" t="s">
        <v>159</v>
      </c>
      <c r="CZ37" s="37"/>
      <c r="DA37" s="38"/>
    </row>
    <row r="38" spans="1:105" x14ac:dyDescent="0.25">
      <c r="A38" s="36">
        <v>35</v>
      </c>
      <c r="B38" s="46" t="s">
        <v>797</v>
      </c>
      <c r="C38" s="46">
        <v>52249</v>
      </c>
      <c r="D38" s="46">
        <v>7286</v>
      </c>
      <c r="E38" s="46">
        <v>0</v>
      </c>
      <c r="F38" s="46">
        <v>15</v>
      </c>
      <c r="G38" s="46">
        <v>-4</v>
      </c>
      <c r="H38" s="46">
        <v>5</v>
      </c>
      <c r="I38" s="46">
        <v>0.02</v>
      </c>
      <c r="J38" s="46">
        <v>520</v>
      </c>
      <c r="K38" s="56">
        <v>240</v>
      </c>
      <c r="L38" s="46">
        <v>295.55450000000002</v>
      </c>
      <c r="M38" s="46">
        <v>1</v>
      </c>
      <c r="N38" s="46">
        <v>1</v>
      </c>
      <c r="O38" s="46">
        <v>114.1448</v>
      </c>
      <c r="P38" s="46">
        <v>1</v>
      </c>
      <c r="Q38" s="46">
        <v>9</v>
      </c>
      <c r="R38" s="46">
        <v>0</v>
      </c>
      <c r="S38" s="46">
        <v>4057</v>
      </c>
      <c r="T38" s="46">
        <v>721920512</v>
      </c>
      <c r="U38" s="46">
        <v>14</v>
      </c>
      <c r="V38" s="46">
        <v>239</v>
      </c>
      <c r="W38" s="46">
        <v>297.9864</v>
      </c>
      <c r="X38" s="46">
        <v>171.85149999999999</v>
      </c>
      <c r="Y38" s="46">
        <v>0.11600000000000001</v>
      </c>
      <c r="Z38" s="46">
        <v>83.4</v>
      </c>
      <c r="AA38" s="63">
        <v>0</v>
      </c>
      <c r="AB38" s="63">
        <v>15</v>
      </c>
      <c r="AC38" s="46">
        <v>3</v>
      </c>
      <c r="AD38" s="46">
        <v>37</v>
      </c>
      <c r="AE38" s="46">
        <v>21309</v>
      </c>
      <c r="AF38" s="46">
        <v>1355301376</v>
      </c>
      <c r="AG38" s="37" t="s">
        <v>159</v>
      </c>
      <c r="AH38" s="37" t="s">
        <v>159</v>
      </c>
      <c r="AI38" s="37" t="s">
        <v>159</v>
      </c>
      <c r="AJ38" s="37" t="s">
        <v>159</v>
      </c>
      <c r="AK38" s="37" t="s">
        <v>159</v>
      </c>
      <c r="AL38" s="37" t="s">
        <v>159</v>
      </c>
      <c r="AM38" s="37" t="s">
        <v>159</v>
      </c>
      <c r="AN38" s="37" t="s">
        <v>159</v>
      </c>
      <c r="AO38" s="37" t="s">
        <v>159</v>
      </c>
      <c r="AP38" s="37" t="s">
        <v>159</v>
      </c>
      <c r="AQ38" s="37" t="s">
        <v>159</v>
      </c>
      <c r="AR38" s="37" t="s">
        <v>159</v>
      </c>
      <c r="AS38" s="37" t="s">
        <v>159</v>
      </c>
      <c r="AT38" s="37" t="s">
        <v>159</v>
      </c>
      <c r="AU38" s="37" t="s">
        <v>159</v>
      </c>
      <c r="AV38" s="37" t="s">
        <v>159</v>
      </c>
      <c r="AW38" s="37" t="s">
        <v>159</v>
      </c>
      <c r="AX38" s="37" t="s">
        <v>159</v>
      </c>
      <c r="AY38" s="37" t="s">
        <v>159</v>
      </c>
      <c r="AZ38" s="37" t="s">
        <v>159</v>
      </c>
      <c r="BA38" s="37" t="s">
        <v>159</v>
      </c>
      <c r="BB38" s="37" t="s">
        <v>159</v>
      </c>
      <c r="BC38" s="37" t="s">
        <v>159</v>
      </c>
      <c r="BD38" s="37" t="s">
        <v>159</v>
      </c>
      <c r="BE38" s="37" t="s">
        <v>159</v>
      </c>
      <c r="BF38" s="37" t="s">
        <v>159</v>
      </c>
      <c r="BG38" s="37" t="s">
        <v>159</v>
      </c>
      <c r="BH38" s="37" t="s">
        <v>159</v>
      </c>
      <c r="BI38" s="37" t="s">
        <v>159</v>
      </c>
      <c r="BJ38" s="37" t="s">
        <v>159</v>
      </c>
      <c r="BK38" s="37" t="s">
        <v>159</v>
      </c>
      <c r="BL38" s="37" t="s">
        <v>159</v>
      </c>
      <c r="BM38" s="37" t="s">
        <v>159</v>
      </c>
      <c r="BN38" s="37" t="s">
        <v>159</v>
      </c>
      <c r="BO38" s="37" t="s">
        <v>159</v>
      </c>
      <c r="BP38" s="46">
        <v>3</v>
      </c>
      <c r="BQ38" s="46">
        <v>295.55450000000002</v>
      </c>
      <c r="BR38" s="46">
        <v>-4</v>
      </c>
      <c r="BS38" s="46">
        <v>5</v>
      </c>
      <c r="BT38" s="46">
        <v>30</v>
      </c>
      <c r="BU38" s="46">
        <v>49</v>
      </c>
      <c r="BV38" s="46">
        <v>30</v>
      </c>
      <c r="BW38" s="46">
        <v>114.1448</v>
      </c>
      <c r="BX38" s="46">
        <v>520</v>
      </c>
      <c r="BY38" s="46">
        <v>297.9864</v>
      </c>
      <c r="BZ38" s="46">
        <v>171.85149999999999</v>
      </c>
      <c r="CA38" s="46">
        <v>1</v>
      </c>
      <c r="CB38" s="46">
        <v>1</v>
      </c>
      <c r="CC38" s="46">
        <v>1</v>
      </c>
      <c r="CD38" s="46">
        <v>9</v>
      </c>
      <c r="CE38" s="46">
        <v>1</v>
      </c>
      <c r="CF38" s="46">
        <v>4057</v>
      </c>
      <c r="CG38" s="46">
        <v>721920512</v>
      </c>
      <c r="CH38" s="46">
        <v>13</v>
      </c>
      <c r="CI38" s="46">
        <v>0</v>
      </c>
      <c r="CJ38" s="46">
        <v>0</v>
      </c>
      <c r="CK38" s="46">
        <v>1</v>
      </c>
      <c r="CL38" s="46">
        <v>3</v>
      </c>
      <c r="CM38" s="46">
        <v>0</v>
      </c>
      <c r="CN38" s="46">
        <v>0</v>
      </c>
      <c r="CO38" s="46">
        <v>0</v>
      </c>
      <c r="CP38" s="46">
        <v>83.4</v>
      </c>
      <c r="CQ38" s="46">
        <v>1</v>
      </c>
      <c r="CR38" s="46">
        <v>1</v>
      </c>
      <c r="CS38" s="46">
        <v>0</v>
      </c>
      <c r="CT38" s="46">
        <v>1</v>
      </c>
      <c r="CU38" s="46">
        <v>1</v>
      </c>
      <c r="CV38" s="46">
        <v>0</v>
      </c>
      <c r="CW38" s="46">
        <v>0</v>
      </c>
      <c r="CX38" s="46">
        <v>0</v>
      </c>
      <c r="CY38" s="50" t="s">
        <v>159</v>
      </c>
      <c r="CZ38" s="37"/>
      <c r="DA38" s="38"/>
    </row>
    <row r="39" spans="1:105" x14ac:dyDescent="0.25">
      <c r="A39" s="36">
        <v>36</v>
      </c>
      <c r="B39" s="46" t="s">
        <v>763</v>
      </c>
      <c r="C39" s="46">
        <v>14404</v>
      </c>
      <c r="D39" s="46">
        <v>52242</v>
      </c>
      <c r="E39" s="46">
        <v>4</v>
      </c>
      <c r="F39" s="46">
        <v>19</v>
      </c>
      <c r="G39" s="46">
        <v>-5</v>
      </c>
      <c r="H39" s="46">
        <v>-10</v>
      </c>
      <c r="I39" s="46">
        <v>0.73</v>
      </c>
      <c r="J39" s="46">
        <v>715</v>
      </c>
      <c r="K39" s="56">
        <v>44.4</v>
      </c>
      <c r="L39" s="46">
        <v>56.529000000000003</v>
      </c>
      <c r="M39" s="46">
        <v>0</v>
      </c>
      <c r="N39" s="46">
        <v>0</v>
      </c>
      <c r="O39" s="46">
        <v>47.908200000000001</v>
      </c>
      <c r="P39" s="46">
        <v>1</v>
      </c>
      <c r="Q39" s="46">
        <v>505</v>
      </c>
      <c r="R39" s="46">
        <v>0</v>
      </c>
      <c r="S39" s="46">
        <v>3811</v>
      </c>
      <c r="T39" s="46">
        <v>4192856064</v>
      </c>
      <c r="U39" s="46">
        <v>212</v>
      </c>
      <c r="V39" s="46">
        <v>31</v>
      </c>
      <c r="W39" s="46">
        <v>142.13319999999999</v>
      </c>
      <c r="X39" s="46">
        <v>337.74189999999999</v>
      </c>
      <c r="Y39" s="46">
        <v>0.12</v>
      </c>
      <c r="Z39" s="46">
        <v>-37.6</v>
      </c>
      <c r="AA39" s="63">
        <v>4</v>
      </c>
      <c r="AB39" s="63">
        <v>19</v>
      </c>
      <c r="AC39" s="46">
        <v>1</v>
      </c>
      <c r="AD39" s="46">
        <v>27</v>
      </c>
      <c r="AE39" s="46">
        <v>12929</v>
      </c>
      <c r="AF39" s="46">
        <v>697141248</v>
      </c>
      <c r="AG39" s="37" t="s">
        <v>159</v>
      </c>
      <c r="AH39" s="37" t="s">
        <v>159</v>
      </c>
      <c r="AI39" s="37" t="s">
        <v>159</v>
      </c>
      <c r="AJ39" s="37" t="s">
        <v>159</v>
      </c>
      <c r="AK39" s="37" t="s">
        <v>159</v>
      </c>
      <c r="AL39" s="37" t="s">
        <v>159</v>
      </c>
      <c r="AM39" s="37" t="s">
        <v>159</v>
      </c>
      <c r="AN39" s="37" t="s">
        <v>159</v>
      </c>
      <c r="AO39" s="37" t="s">
        <v>159</v>
      </c>
      <c r="AP39" s="37" t="s">
        <v>159</v>
      </c>
      <c r="AQ39" s="37" t="s">
        <v>159</v>
      </c>
      <c r="AR39" s="37" t="s">
        <v>159</v>
      </c>
      <c r="AS39" s="37" t="s">
        <v>159</v>
      </c>
      <c r="AT39" s="37" t="s">
        <v>159</v>
      </c>
      <c r="AU39" s="37" t="s">
        <v>159</v>
      </c>
      <c r="AV39" s="37" t="s">
        <v>159</v>
      </c>
      <c r="AW39" s="37" t="s">
        <v>159</v>
      </c>
      <c r="AX39" s="37" t="s">
        <v>159</v>
      </c>
      <c r="AY39" s="37" t="s">
        <v>159</v>
      </c>
      <c r="AZ39" s="37" t="s">
        <v>159</v>
      </c>
      <c r="BA39" s="37" t="s">
        <v>159</v>
      </c>
      <c r="BB39" s="37" t="s">
        <v>159</v>
      </c>
      <c r="BC39" s="37" t="s">
        <v>159</v>
      </c>
      <c r="BD39" s="37" t="s">
        <v>159</v>
      </c>
      <c r="BE39" s="37" t="s">
        <v>159</v>
      </c>
      <c r="BF39" s="37" t="s">
        <v>159</v>
      </c>
      <c r="BG39" s="37" t="s">
        <v>159</v>
      </c>
      <c r="BH39" s="37" t="s">
        <v>159</v>
      </c>
      <c r="BI39" s="37" t="s">
        <v>159</v>
      </c>
      <c r="BJ39" s="37" t="s">
        <v>159</v>
      </c>
      <c r="BK39" s="37" t="s">
        <v>159</v>
      </c>
      <c r="BL39" s="37" t="s">
        <v>159</v>
      </c>
      <c r="BM39" s="37" t="s">
        <v>159</v>
      </c>
      <c r="BN39" s="37" t="s">
        <v>159</v>
      </c>
      <c r="BO39" s="37" t="s">
        <v>159</v>
      </c>
      <c r="BP39" s="46">
        <v>1</v>
      </c>
      <c r="BQ39" s="46">
        <v>56.529000000000003</v>
      </c>
      <c r="BR39" s="46">
        <v>-5</v>
      </c>
      <c r="BS39" s="46">
        <v>-10</v>
      </c>
      <c r="BT39" s="46">
        <v>40</v>
      </c>
      <c r="BU39" s="46">
        <v>110</v>
      </c>
      <c r="BV39" s="46">
        <v>101</v>
      </c>
      <c r="BW39" s="46">
        <v>47.908200000000001</v>
      </c>
      <c r="BX39" s="46">
        <v>715</v>
      </c>
      <c r="BY39" s="46">
        <v>142.13319999999999</v>
      </c>
      <c r="BZ39" s="46">
        <v>337.74189999999999</v>
      </c>
      <c r="CA39" s="46">
        <v>0</v>
      </c>
      <c r="CB39" s="46">
        <v>0</v>
      </c>
      <c r="CC39" s="46">
        <v>1</v>
      </c>
      <c r="CD39" s="46">
        <v>505</v>
      </c>
      <c r="CE39" s="46">
        <v>1</v>
      </c>
      <c r="CF39" s="46">
        <v>3811</v>
      </c>
      <c r="CG39" s="46">
        <v>4192856064</v>
      </c>
      <c r="CH39" s="46">
        <v>211</v>
      </c>
      <c r="CI39" s="46">
        <v>0</v>
      </c>
      <c r="CJ39" s="46">
        <v>0</v>
      </c>
      <c r="CK39" s="46">
        <v>1</v>
      </c>
      <c r="CL39" s="46">
        <v>1</v>
      </c>
      <c r="CM39" s="46">
        <v>0</v>
      </c>
      <c r="CN39" s="46">
        <v>0</v>
      </c>
      <c r="CO39" s="46">
        <v>0</v>
      </c>
      <c r="CP39" s="46">
        <v>-37.6</v>
      </c>
      <c r="CQ39" s="46">
        <v>1</v>
      </c>
      <c r="CR39" s="46">
        <v>1</v>
      </c>
      <c r="CS39" s="46">
        <v>0</v>
      </c>
      <c r="CT39" s="46">
        <v>1</v>
      </c>
      <c r="CU39" s="46">
        <v>1</v>
      </c>
      <c r="CV39" s="46">
        <v>0</v>
      </c>
      <c r="CW39" s="46">
        <v>0</v>
      </c>
      <c r="CX39" s="46">
        <v>0</v>
      </c>
      <c r="CY39" s="50" t="s">
        <v>159</v>
      </c>
      <c r="CZ39" s="37"/>
      <c r="DA39" s="38"/>
    </row>
    <row r="40" spans="1:105" x14ac:dyDescent="0.25">
      <c r="A40" s="36">
        <v>37</v>
      </c>
      <c r="B40" s="46" t="s">
        <v>764</v>
      </c>
      <c r="C40" s="46">
        <v>30856</v>
      </c>
      <c r="D40" s="46">
        <v>47683</v>
      </c>
      <c r="E40" s="46">
        <v>4</v>
      </c>
      <c r="F40" s="46">
        <v>2</v>
      </c>
      <c r="G40" s="46">
        <v>4</v>
      </c>
      <c r="H40" s="46">
        <v>2</v>
      </c>
      <c r="I40" s="46">
        <v>2.4E-2</v>
      </c>
      <c r="J40" s="46">
        <v>793</v>
      </c>
      <c r="K40" s="46">
        <v>42.360199999999999</v>
      </c>
      <c r="L40" s="56">
        <v>0</v>
      </c>
      <c r="M40" s="46">
        <v>1</v>
      </c>
      <c r="N40" s="46">
        <v>0</v>
      </c>
      <c r="O40" s="46">
        <v>166.0523</v>
      </c>
      <c r="P40" s="46">
        <v>0</v>
      </c>
      <c r="Q40" s="46">
        <v>14</v>
      </c>
      <c r="R40" s="46">
        <v>1</v>
      </c>
      <c r="S40" s="46">
        <v>4180</v>
      </c>
      <c r="T40" s="46">
        <v>1670372608</v>
      </c>
      <c r="U40" s="46">
        <v>209</v>
      </c>
      <c r="V40" s="46">
        <v>43</v>
      </c>
      <c r="W40" s="46">
        <v>69.302999999999997</v>
      </c>
      <c r="X40" s="46">
        <v>164.00190000000001</v>
      </c>
      <c r="Y40" s="46">
        <v>0.124</v>
      </c>
      <c r="Z40" s="46">
        <v>-158.6</v>
      </c>
      <c r="AA40" s="63">
        <v>4</v>
      </c>
      <c r="AB40" s="63">
        <v>2</v>
      </c>
      <c r="AC40" s="46">
        <v>4</v>
      </c>
      <c r="AD40" s="46">
        <v>42</v>
      </c>
      <c r="AE40" s="46">
        <v>51869</v>
      </c>
      <c r="AF40" s="46">
        <v>1020132608</v>
      </c>
      <c r="AG40" s="37" t="s">
        <v>159</v>
      </c>
      <c r="AH40" s="37" t="s">
        <v>159</v>
      </c>
      <c r="AI40" s="37" t="s">
        <v>159</v>
      </c>
      <c r="AJ40" s="37" t="s">
        <v>159</v>
      </c>
      <c r="AK40" s="37" t="s">
        <v>159</v>
      </c>
      <c r="AL40" s="37" t="s">
        <v>159</v>
      </c>
      <c r="AM40" s="37" t="s">
        <v>159</v>
      </c>
      <c r="AN40" s="37" t="s">
        <v>159</v>
      </c>
      <c r="AO40" s="37" t="s">
        <v>159</v>
      </c>
      <c r="AP40" s="37" t="s">
        <v>159</v>
      </c>
      <c r="AQ40" s="37" t="s">
        <v>159</v>
      </c>
      <c r="AR40" s="37" t="s">
        <v>159</v>
      </c>
      <c r="AS40" s="37" t="s">
        <v>159</v>
      </c>
      <c r="AT40" s="37" t="s">
        <v>159</v>
      </c>
      <c r="AU40" s="37" t="s">
        <v>159</v>
      </c>
      <c r="AV40" s="37" t="s">
        <v>159</v>
      </c>
      <c r="AW40" s="37" t="s">
        <v>159</v>
      </c>
      <c r="AX40" s="37" t="s">
        <v>159</v>
      </c>
      <c r="AY40" s="37" t="s">
        <v>159</v>
      </c>
      <c r="AZ40" s="37" t="s">
        <v>159</v>
      </c>
      <c r="BA40" s="37" t="s">
        <v>159</v>
      </c>
      <c r="BB40" s="37" t="s">
        <v>159</v>
      </c>
      <c r="BC40" s="37" t="s">
        <v>159</v>
      </c>
      <c r="BD40" s="37" t="s">
        <v>159</v>
      </c>
      <c r="BE40" s="37" t="s">
        <v>159</v>
      </c>
      <c r="BF40" s="37" t="s">
        <v>159</v>
      </c>
      <c r="BG40" s="37" t="s">
        <v>159</v>
      </c>
      <c r="BH40" s="37" t="s">
        <v>159</v>
      </c>
      <c r="BI40" s="37" t="s">
        <v>159</v>
      </c>
      <c r="BJ40" s="37" t="s">
        <v>159</v>
      </c>
      <c r="BK40" s="37" t="s">
        <v>159</v>
      </c>
      <c r="BL40" s="37" t="s">
        <v>159</v>
      </c>
      <c r="BM40" s="37" t="s">
        <v>159</v>
      </c>
      <c r="BN40" s="37" t="s">
        <v>159</v>
      </c>
      <c r="BO40" s="37" t="s">
        <v>159</v>
      </c>
      <c r="BP40" s="46">
        <v>4</v>
      </c>
      <c r="BQ40" s="46">
        <v>0</v>
      </c>
      <c r="BR40" s="46">
        <v>4</v>
      </c>
      <c r="BS40" s="46">
        <v>2</v>
      </c>
      <c r="BT40" s="46">
        <v>102</v>
      </c>
      <c r="BU40" s="46">
        <v>29</v>
      </c>
      <c r="BV40" s="46">
        <v>49</v>
      </c>
      <c r="BW40" s="46">
        <v>166.0523</v>
      </c>
      <c r="BX40" s="46">
        <v>793</v>
      </c>
      <c r="BY40" s="46">
        <v>69.302999999999997</v>
      </c>
      <c r="BZ40" s="46">
        <v>164.00190000000001</v>
      </c>
      <c r="CA40" s="46">
        <v>1</v>
      </c>
      <c r="CB40" s="46">
        <v>0</v>
      </c>
      <c r="CC40" s="46">
        <v>1</v>
      </c>
      <c r="CD40" s="46">
        <v>42</v>
      </c>
      <c r="CE40" s="46">
        <v>1</v>
      </c>
      <c r="CF40" s="46">
        <v>51869</v>
      </c>
      <c r="CG40" s="46">
        <v>1020132608</v>
      </c>
      <c r="CH40" s="46">
        <v>208</v>
      </c>
      <c r="CI40" s="46">
        <v>0</v>
      </c>
      <c r="CJ40" s="46">
        <v>0</v>
      </c>
      <c r="CK40" s="46">
        <v>1</v>
      </c>
      <c r="CL40" s="46">
        <v>4</v>
      </c>
      <c r="CM40" s="46">
        <v>0</v>
      </c>
      <c r="CN40" s="46">
        <v>0</v>
      </c>
      <c r="CO40" s="46">
        <v>0</v>
      </c>
      <c r="CP40" s="46">
        <v>-158.6</v>
      </c>
      <c r="CQ40" s="46">
        <v>1</v>
      </c>
      <c r="CR40" s="46">
        <v>1</v>
      </c>
      <c r="CS40" s="46">
        <v>0</v>
      </c>
      <c r="CT40" s="46">
        <v>1</v>
      </c>
      <c r="CU40" s="46">
        <v>1</v>
      </c>
      <c r="CV40" s="46">
        <v>1</v>
      </c>
      <c r="CW40" s="46">
        <v>1</v>
      </c>
      <c r="CX40" s="46">
        <v>1</v>
      </c>
      <c r="CY40" s="50" t="s">
        <v>159</v>
      </c>
      <c r="CZ40" s="37"/>
      <c r="DA40" s="38"/>
    </row>
    <row r="41" spans="1:105" x14ac:dyDescent="0.25">
      <c r="A41" s="36">
        <v>38</v>
      </c>
      <c r="B41" s="46" t="s">
        <v>765</v>
      </c>
      <c r="C41" s="46">
        <v>53543</v>
      </c>
      <c r="D41" s="46">
        <v>45959</v>
      </c>
      <c r="E41" s="46">
        <v>3</v>
      </c>
      <c r="F41" s="46">
        <v>26</v>
      </c>
      <c r="G41" s="46">
        <v>4</v>
      </c>
      <c r="H41" s="46">
        <v>9</v>
      </c>
      <c r="I41" s="46">
        <v>2.8000000000000001E-2</v>
      </c>
      <c r="J41" s="46">
        <v>-349</v>
      </c>
      <c r="K41" s="46">
        <v>298.07069999999999</v>
      </c>
      <c r="L41" s="56">
        <v>360</v>
      </c>
      <c r="M41" s="46">
        <v>0</v>
      </c>
      <c r="N41" s="46">
        <v>0</v>
      </c>
      <c r="O41" s="46">
        <v>76.497</v>
      </c>
      <c r="P41" s="46">
        <v>1</v>
      </c>
      <c r="Q41" s="46">
        <v>19</v>
      </c>
      <c r="R41" s="46">
        <v>0</v>
      </c>
      <c r="S41" s="46">
        <v>4303</v>
      </c>
      <c r="T41" s="46">
        <v>950217728</v>
      </c>
      <c r="U41" s="46">
        <v>232</v>
      </c>
      <c r="V41" s="46">
        <v>34</v>
      </c>
      <c r="W41" s="46">
        <v>85.418599999999998</v>
      </c>
      <c r="X41" s="46">
        <v>20.689599999999999</v>
      </c>
      <c r="Y41" s="46">
        <v>0.128</v>
      </c>
      <c r="Z41" s="46">
        <v>-279.60000000000002</v>
      </c>
      <c r="AA41" s="63">
        <v>3</v>
      </c>
      <c r="AB41" s="63">
        <v>26</v>
      </c>
      <c r="AC41" s="46">
        <v>5</v>
      </c>
      <c r="AD41" s="46">
        <v>47</v>
      </c>
      <c r="AE41" s="46">
        <v>9322</v>
      </c>
      <c r="AF41" s="46">
        <v>3446197248</v>
      </c>
      <c r="AG41" s="37" t="s">
        <v>159</v>
      </c>
      <c r="AH41" s="37" t="s">
        <v>159</v>
      </c>
      <c r="AI41" s="37" t="s">
        <v>159</v>
      </c>
      <c r="AJ41" s="37" t="s">
        <v>159</v>
      </c>
      <c r="AK41" s="37" t="s">
        <v>159</v>
      </c>
      <c r="AL41" s="37" t="s">
        <v>159</v>
      </c>
      <c r="AM41" s="37" t="s">
        <v>159</v>
      </c>
      <c r="AN41" s="37" t="s">
        <v>159</v>
      </c>
      <c r="AO41" s="37" t="s">
        <v>159</v>
      </c>
      <c r="AP41" s="37" t="s">
        <v>159</v>
      </c>
      <c r="AQ41" s="37" t="s">
        <v>159</v>
      </c>
      <c r="AR41" s="37" t="s">
        <v>159</v>
      </c>
      <c r="AS41" s="37" t="s">
        <v>159</v>
      </c>
      <c r="AT41" s="37" t="s">
        <v>159</v>
      </c>
      <c r="AU41" s="37" t="s">
        <v>159</v>
      </c>
      <c r="AV41" s="37" t="s">
        <v>159</v>
      </c>
      <c r="AW41" s="37" t="s">
        <v>159</v>
      </c>
      <c r="AX41" s="37" t="s">
        <v>159</v>
      </c>
      <c r="AY41" s="37" t="s">
        <v>159</v>
      </c>
      <c r="AZ41" s="37" t="s">
        <v>159</v>
      </c>
      <c r="BA41" s="37" t="s">
        <v>159</v>
      </c>
      <c r="BB41" s="37" t="s">
        <v>159</v>
      </c>
      <c r="BC41" s="37" t="s">
        <v>159</v>
      </c>
      <c r="BD41" s="37" t="s">
        <v>159</v>
      </c>
      <c r="BE41" s="37" t="s">
        <v>159</v>
      </c>
      <c r="BF41" s="37" t="s">
        <v>159</v>
      </c>
      <c r="BG41" s="37" t="s">
        <v>159</v>
      </c>
      <c r="BH41" s="37" t="s">
        <v>159</v>
      </c>
      <c r="BI41" s="37" t="s">
        <v>159</v>
      </c>
      <c r="BJ41" s="37" t="s">
        <v>159</v>
      </c>
      <c r="BK41" s="37" t="s">
        <v>159</v>
      </c>
      <c r="BL41" s="37" t="s">
        <v>159</v>
      </c>
      <c r="BM41" s="37" t="s">
        <v>159</v>
      </c>
      <c r="BN41" s="37" t="s">
        <v>159</v>
      </c>
      <c r="BO41" s="37" t="s">
        <v>159</v>
      </c>
      <c r="BP41" s="46">
        <v>5</v>
      </c>
      <c r="BQ41" s="46">
        <v>360</v>
      </c>
      <c r="BR41" s="46">
        <v>4</v>
      </c>
      <c r="BS41" s="46">
        <v>9</v>
      </c>
      <c r="BT41" s="46">
        <v>121</v>
      </c>
      <c r="BU41" s="46">
        <v>24</v>
      </c>
      <c r="BV41" s="46">
        <v>42</v>
      </c>
      <c r="BW41" s="46">
        <v>76.497</v>
      </c>
      <c r="BX41" s="46">
        <v>-349</v>
      </c>
      <c r="BY41" s="46">
        <v>85.418599999999998</v>
      </c>
      <c r="BZ41" s="46">
        <v>20.689599999999999</v>
      </c>
      <c r="CA41" s="46">
        <v>0</v>
      </c>
      <c r="CB41" s="46">
        <v>0</v>
      </c>
      <c r="CC41" s="46">
        <v>1</v>
      </c>
      <c r="CD41" s="46">
        <v>19</v>
      </c>
      <c r="CE41" s="46">
        <v>1</v>
      </c>
      <c r="CF41" s="46">
        <v>4303</v>
      </c>
      <c r="CG41" s="46">
        <v>950217728</v>
      </c>
      <c r="CH41" s="46">
        <v>231</v>
      </c>
      <c r="CI41" s="46">
        <v>0</v>
      </c>
      <c r="CJ41" s="46">
        <v>0</v>
      </c>
      <c r="CK41" s="46">
        <v>1</v>
      </c>
      <c r="CL41" s="46">
        <v>5</v>
      </c>
      <c r="CM41" s="46">
        <v>0</v>
      </c>
      <c r="CN41" s="46">
        <v>0</v>
      </c>
      <c r="CO41" s="46">
        <v>0</v>
      </c>
      <c r="CP41" s="46">
        <v>-279.60000000000002</v>
      </c>
      <c r="CQ41" s="46">
        <v>1</v>
      </c>
      <c r="CR41" s="46">
        <v>1</v>
      </c>
      <c r="CS41" s="46">
        <v>0</v>
      </c>
      <c r="CT41" s="46">
        <v>1</v>
      </c>
      <c r="CU41" s="46">
        <v>1</v>
      </c>
      <c r="CV41" s="46">
        <v>0</v>
      </c>
      <c r="CW41" s="46">
        <v>0</v>
      </c>
      <c r="CX41" s="46">
        <v>0</v>
      </c>
      <c r="CY41" s="50" t="s">
        <v>159</v>
      </c>
      <c r="CZ41" s="37"/>
      <c r="DA41" s="38"/>
    </row>
    <row r="42" spans="1:105" x14ac:dyDescent="0.25">
      <c r="A42" s="36">
        <v>39</v>
      </c>
      <c r="B42" s="46" t="s">
        <v>766</v>
      </c>
      <c r="C42" s="46">
        <v>23943</v>
      </c>
      <c r="D42" s="46">
        <v>65462</v>
      </c>
      <c r="E42" s="46">
        <v>0</v>
      </c>
      <c r="F42" s="46">
        <v>23</v>
      </c>
      <c r="G42" s="46">
        <v>5</v>
      </c>
      <c r="H42" s="46">
        <v>-11</v>
      </c>
      <c r="I42" s="46">
        <v>3.2000000000000001E-2</v>
      </c>
      <c r="J42" s="46">
        <v>-1155</v>
      </c>
      <c r="K42" s="46">
        <v>238.43610000000001</v>
      </c>
      <c r="L42" s="56">
        <v>80.738500000000002</v>
      </c>
      <c r="M42" s="46">
        <v>1</v>
      </c>
      <c r="N42" s="46">
        <v>1</v>
      </c>
      <c r="O42" s="46">
        <v>33.848799999999997</v>
      </c>
      <c r="P42" s="46">
        <v>0</v>
      </c>
      <c r="Q42" s="46">
        <v>24</v>
      </c>
      <c r="R42" s="46">
        <v>0</v>
      </c>
      <c r="S42" s="46">
        <v>4426</v>
      </c>
      <c r="T42" s="46">
        <v>3982835456</v>
      </c>
      <c r="U42" s="46">
        <v>51</v>
      </c>
      <c r="V42" s="46">
        <v>232</v>
      </c>
      <c r="W42" s="46">
        <v>129.0626</v>
      </c>
      <c r="X42" s="46">
        <v>116.3974</v>
      </c>
      <c r="Y42" s="46">
        <v>0.13200000000000001</v>
      </c>
      <c r="Z42" s="46">
        <v>-400.6</v>
      </c>
      <c r="AA42" s="63">
        <v>0</v>
      </c>
      <c r="AB42" s="63">
        <v>23</v>
      </c>
      <c r="AC42" s="46">
        <v>6</v>
      </c>
      <c r="AD42" s="46">
        <v>52</v>
      </c>
      <c r="AE42" s="46">
        <v>34622</v>
      </c>
      <c r="AF42" s="46">
        <v>3449052928</v>
      </c>
      <c r="AG42" s="37" t="s">
        <v>159</v>
      </c>
      <c r="AH42" s="37" t="s">
        <v>159</v>
      </c>
      <c r="AI42" s="37" t="s">
        <v>159</v>
      </c>
      <c r="AJ42" s="37" t="s">
        <v>159</v>
      </c>
      <c r="AK42" s="37" t="s">
        <v>159</v>
      </c>
      <c r="AL42" s="37" t="s">
        <v>159</v>
      </c>
      <c r="AM42" s="37" t="s">
        <v>159</v>
      </c>
      <c r="AN42" s="37" t="s">
        <v>159</v>
      </c>
      <c r="AO42" s="37" t="s">
        <v>159</v>
      </c>
      <c r="AP42" s="37" t="s">
        <v>159</v>
      </c>
      <c r="AQ42" s="37" t="s">
        <v>159</v>
      </c>
      <c r="AR42" s="37" t="s">
        <v>159</v>
      </c>
      <c r="AS42" s="37" t="s">
        <v>159</v>
      </c>
      <c r="AT42" s="37" t="s">
        <v>159</v>
      </c>
      <c r="AU42" s="37" t="s">
        <v>159</v>
      </c>
      <c r="AV42" s="37" t="s">
        <v>159</v>
      </c>
      <c r="AW42" s="37" t="s">
        <v>159</v>
      </c>
      <c r="AX42" s="37" t="s">
        <v>159</v>
      </c>
      <c r="AY42" s="37" t="s">
        <v>159</v>
      </c>
      <c r="AZ42" s="37" t="s">
        <v>159</v>
      </c>
      <c r="BA42" s="37" t="s">
        <v>159</v>
      </c>
      <c r="BB42" s="37" t="s">
        <v>159</v>
      </c>
      <c r="BC42" s="37" t="s">
        <v>159</v>
      </c>
      <c r="BD42" s="37" t="s">
        <v>159</v>
      </c>
      <c r="BE42" s="37" t="s">
        <v>159</v>
      </c>
      <c r="BF42" s="37" t="s">
        <v>159</v>
      </c>
      <c r="BG42" s="37" t="s">
        <v>159</v>
      </c>
      <c r="BH42" s="37" t="s">
        <v>159</v>
      </c>
      <c r="BI42" s="37" t="s">
        <v>159</v>
      </c>
      <c r="BJ42" s="37" t="s">
        <v>159</v>
      </c>
      <c r="BK42" s="37" t="s">
        <v>159</v>
      </c>
      <c r="BL42" s="37" t="s">
        <v>159</v>
      </c>
      <c r="BM42" s="37" t="s">
        <v>159</v>
      </c>
      <c r="BN42" s="37" t="s">
        <v>159</v>
      </c>
      <c r="BO42" s="37" t="s">
        <v>159</v>
      </c>
      <c r="BP42" s="46">
        <v>6</v>
      </c>
      <c r="BQ42" s="46">
        <v>80.738500000000002</v>
      </c>
      <c r="BR42" s="46">
        <v>5</v>
      </c>
      <c r="BS42" s="46">
        <v>-11</v>
      </c>
      <c r="BT42" s="46">
        <v>9</v>
      </c>
      <c r="BU42" s="46">
        <v>119</v>
      </c>
      <c r="BV42" s="46">
        <v>117</v>
      </c>
      <c r="BW42" s="46">
        <v>33.848799999999997</v>
      </c>
      <c r="BX42" s="46">
        <v>-1155</v>
      </c>
      <c r="BY42" s="46">
        <v>129.0626</v>
      </c>
      <c r="BZ42" s="46">
        <v>116.3974</v>
      </c>
      <c r="CA42" s="46">
        <v>1</v>
      </c>
      <c r="CB42" s="46">
        <v>1</v>
      </c>
      <c r="CC42" s="46">
        <v>1</v>
      </c>
      <c r="CD42" s="46">
        <v>52</v>
      </c>
      <c r="CE42" s="46">
        <v>1</v>
      </c>
      <c r="CF42" s="46">
        <v>4426</v>
      </c>
      <c r="CG42" s="46">
        <v>3982835456</v>
      </c>
      <c r="CH42" s="46">
        <v>50</v>
      </c>
      <c r="CI42" s="46">
        <v>0</v>
      </c>
      <c r="CJ42" s="46">
        <v>0</v>
      </c>
      <c r="CK42" s="46">
        <v>1</v>
      </c>
      <c r="CL42" s="46">
        <v>6</v>
      </c>
      <c r="CM42" s="46">
        <v>0</v>
      </c>
      <c r="CN42" s="46">
        <v>0</v>
      </c>
      <c r="CO42" s="46">
        <v>0</v>
      </c>
      <c r="CP42" s="46">
        <v>-400.6</v>
      </c>
      <c r="CQ42" s="46">
        <v>1</v>
      </c>
      <c r="CR42" s="46">
        <v>1</v>
      </c>
      <c r="CS42" s="46">
        <v>0</v>
      </c>
      <c r="CT42" s="46">
        <v>1</v>
      </c>
      <c r="CU42" s="46">
        <v>1</v>
      </c>
      <c r="CV42" s="46">
        <v>1</v>
      </c>
      <c r="CW42" s="46">
        <v>0</v>
      </c>
      <c r="CX42" s="46">
        <v>0</v>
      </c>
      <c r="CY42" s="50" t="s">
        <v>159</v>
      </c>
      <c r="CZ42" s="37"/>
      <c r="DA42" s="38"/>
    </row>
    <row r="43" spans="1:105" x14ac:dyDescent="0.25">
      <c r="A43" s="36">
        <v>40</v>
      </c>
      <c r="B43" s="46" t="s">
        <v>767</v>
      </c>
      <c r="C43" s="46">
        <v>58805</v>
      </c>
      <c r="D43" s="46">
        <v>25397</v>
      </c>
      <c r="E43" s="46">
        <v>1</v>
      </c>
      <c r="F43" s="46">
        <v>13</v>
      </c>
      <c r="G43" s="46">
        <v>2</v>
      </c>
      <c r="H43" s="46">
        <v>-4</v>
      </c>
      <c r="I43" s="46">
        <v>3.5999999999999997E-2</v>
      </c>
      <c r="J43" s="46">
        <v>1828</v>
      </c>
      <c r="K43" s="46">
        <v>200.78630000000001</v>
      </c>
      <c r="L43" s="46">
        <v>96.641999999999996</v>
      </c>
      <c r="M43" s="56">
        <v>0</v>
      </c>
      <c r="N43" s="46">
        <v>0</v>
      </c>
      <c r="O43" s="46">
        <v>351.173</v>
      </c>
      <c r="P43" s="46">
        <v>0</v>
      </c>
      <c r="Q43" s="46">
        <v>29</v>
      </c>
      <c r="R43" s="46">
        <v>1</v>
      </c>
      <c r="S43" s="46">
        <v>4549</v>
      </c>
      <c r="T43" s="46">
        <v>590022144</v>
      </c>
      <c r="U43" s="46">
        <v>142</v>
      </c>
      <c r="V43" s="46">
        <v>133</v>
      </c>
      <c r="W43" s="46">
        <v>60.5961</v>
      </c>
      <c r="X43" s="46">
        <v>87.398499999999999</v>
      </c>
      <c r="Y43" s="46">
        <v>0.13600000000000001</v>
      </c>
      <c r="Z43" s="46">
        <v>-521.6</v>
      </c>
      <c r="AA43" s="63">
        <v>1</v>
      </c>
      <c r="AB43" s="63">
        <v>13</v>
      </c>
      <c r="AC43" s="46">
        <v>7</v>
      </c>
      <c r="AD43" s="46">
        <v>57</v>
      </c>
      <c r="AE43" s="46">
        <v>65038</v>
      </c>
      <c r="AF43" s="46">
        <v>2803738112</v>
      </c>
      <c r="AG43" s="37" t="s">
        <v>159</v>
      </c>
      <c r="AH43" s="37" t="s">
        <v>159</v>
      </c>
      <c r="AI43" s="37" t="s">
        <v>159</v>
      </c>
      <c r="AJ43" s="37" t="s">
        <v>159</v>
      </c>
      <c r="AK43" s="37" t="s">
        <v>159</v>
      </c>
      <c r="AL43" s="37" t="s">
        <v>159</v>
      </c>
      <c r="AM43" s="37" t="s">
        <v>159</v>
      </c>
      <c r="AN43" s="37" t="s">
        <v>159</v>
      </c>
      <c r="AO43" s="37" t="s">
        <v>159</v>
      </c>
      <c r="AP43" s="37" t="s">
        <v>159</v>
      </c>
      <c r="AQ43" s="37" t="s">
        <v>159</v>
      </c>
      <c r="AR43" s="37" t="s">
        <v>159</v>
      </c>
      <c r="AS43" s="37" t="s">
        <v>159</v>
      </c>
      <c r="AT43" s="37" t="s">
        <v>159</v>
      </c>
      <c r="AU43" s="37" t="s">
        <v>159</v>
      </c>
      <c r="AV43" s="37" t="s">
        <v>159</v>
      </c>
      <c r="AW43" s="37" t="s">
        <v>159</v>
      </c>
      <c r="AX43" s="37" t="s">
        <v>159</v>
      </c>
      <c r="AY43" s="37" t="s">
        <v>159</v>
      </c>
      <c r="AZ43" s="37" t="s">
        <v>159</v>
      </c>
      <c r="BA43" s="37" t="s">
        <v>159</v>
      </c>
      <c r="BB43" s="37" t="s">
        <v>159</v>
      </c>
      <c r="BC43" s="37" t="s">
        <v>159</v>
      </c>
      <c r="BD43" s="37" t="s">
        <v>159</v>
      </c>
      <c r="BE43" s="37" t="s">
        <v>159</v>
      </c>
      <c r="BF43" s="37" t="s">
        <v>159</v>
      </c>
      <c r="BG43" s="37" t="s">
        <v>159</v>
      </c>
      <c r="BH43" s="37" t="s">
        <v>159</v>
      </c>
      <c r="BI43" s="37" t="s">
        <v>159</v>
      </c>
      <c r="BJ43" s="37" t="s">
        <v>159</v>
      </c>
      <c r="BK43" s="37" t="s">
        <v>159</v>
      </c>
      <c r="BL43" s="37" t="s">
        <v>159</v>
      </c>
      <c r="BM43" s="37" t="s">
        <v>159</v>
      </c>
      <c r="BN43" s="37" t="s">
        <v>159</v>
      </c>
      <c r="BO43" s="37" t="s">
        <v>159</v>
      </c>
      <c r="BP43" s="46">
        <v>7</v>
      </c>
      <c r="BQ43" s="46">
        <v>96.641999999999996</v>
      </c>
      <c r="BR43" s="46">
        <v>2</v>
      </c>
      <c r="BS43" s="46">
        <v>-4</v>
      </c>
      <c r="BT43" s="46">
        <v>23</v>
      </c>
      <c r="BU43" s="46">
        <v>68</v>
      </c>
      <c r="BV43" s="46">
        <v>60</v>
      </c>
      <c r="BW43" s="46">
        <v>351.173</v>
      </c>
      <c r="BX43" s="46">
        <v>1828</v>
      </c>
      <c r="BY43" s="46">
        <v>60.5961</v>
      </c>
      <c r="BZ43" s="46">
        <v>87.398499999999999</v>
      </c>
      <c r="CA43" s="46">
        <v>0</v>
      </c>
      <c r="CB43" s="46">
        <v>0</v>
      </c>
      <c r="CC43" s="46">
        <v>1</v>
      </c>
      <c r="CD43" s="46">
        <v>57</v>
      </c>
      <c r="CE43" s="46">
        <v>1</v>
      </c>
      <c r="CF43" s="46">
        <v>65038</v>
      </c>
      <c r="CG43" s="46">
        <v>2803738112</v>
      </c>
      <c r="CH43" s="46">
        <v>141</v>
      </c>
      <c r="CI43" s="46">
        <v>1461</v>
      </c>
      <c r="CJ43" s="46">
        <v>821</v>
      </c>
      <c r="CK43" s="46">
        <v>1</v>
      </c>
      <c r="CL43" s="46">
        <v>71</v>
      </c>
      <c r="CM43" s="46">
        <v>1</v>
      </c>
      <c r="CN43" s="46">
        <v>1</v>
      </c>
      <c r="CO43" s="46">
        <v>0</v>
      </c>
      <c r="CP43" s="46">
        <v>-521.6</v>
      </c>
      <c r="CQ43" s="46">
        <v>1</v>
      </c>
      <c r="CR43" s="46">
        <v>1</v>
      </c>
      <c r="CS43" s="46">
        <v>0</v>
      </c>
      <c r="CT43" s="46">
        <v>1</v>
      </c>
      <c r="CU43" s="46">
        <v>1</v>
      </c>
      <c r="CV43" s="46">
        <v>1</v>
      </c>
      <c r="CW43" s="46">
        <v>1</v>
      </c>
      <c r="CX43" s="46">
        <v>1</v>
      </c>
      <c r="CY43" s="50" t="s">
        <v>159</v>
      </c>
      <c r="CZ43" s="37"/>
      <c r="DA43" s="38"/>
    </row>
    <row r="44" spans="1:105" x14ac:dyDescent="0.25">
      <c r="A44" s="36">
        <v>41</v>
      </c>
      <c r="B44" s="46" t="s">
        <v>768</v>
      </c>
      <c r="C44" s="46">
        <v>62791</v>
      </c>
      <c r="D44" s="46">
        <v>37013</v>
      </c>
      <c r="E44" s="46">
        <v>2</v>
      </c>
      <c r="F44" s="46">
        <v>11</v>
      </c>
      <c r="G44" s="46">
        <v>-5</v>
      </c>
      <c r="H44" s="46">
        <v>2</v>
      </c>
      <c r="I44" s="46">
        <v>0.04</v>
      </c>
      <c r="J44" s="46">
        <v>-152</v>
      </c>
      <c r="K44" s="46">
        <v>60.583799999999997</v>
      </c>
      <c r="L44" s="46">
        <v>359.7527</v>
      </c>
      <c r="M44" s="56">
        <v>1</v>
      </c>
      <c r="N44" s="46">
        <v>0</v>
      </c>
      <c r="O44" s="46">
        <v>342.74919999999997</v>
      </c>
      <c r="P44" s="46">
        <v>0</v>
      </c>
      <c r="Q44" s="46">
        <v>34</v>
      </c>
      <c r="R44" s="46">
        <v>1</v>
      </c>
      <c r="S44" s="46">
        <v>4672</v>
      </c>
      <c r="T44" s="46">
        <v>3048583424</v>
      </c>
      <c r="U44" s="46">
        <v>252</v>
      </c>
      <c r="V44" s="46">
        <v>21</v>
      </c>
      <c r="W44" s="46">
        <v>146.28639999999999</v>
      </c>
      <c r="X44" s="46">
        <v>189.70869999999999</v>
      </c>
      <c r="Y44" s="46">
        <v>0.14000000000000001</v>
      </c>
      <c r="Z44" s="46">
        <v>-642.6</v>
      </c>
      <c r="AA44" s="63">
        <v>2</v>
      </c>
      <c r="AB44" s="63">
        <v>11</v>
      </c>
      <c r="AC44" s="46">
        <v>8</v>
      </c>
      <c r="AD44" s="46">
        <v>62</v>
      </c>
      <c r="AE44" s="46">
        <v>60345</v>
      </c>
      <c r="AF44" s="46">
        <v>3160264960</v>
      </c>
      <c r="AG44" s="37" t="s">
        <v>159</v>
      </c>
      <c r="AH44" s="37" t="s">
        <v>159</v>
      </c>
      <c r="AI44" s="37" t="s">
        <v>159</v>
      </c>
      <c r="AJ44" s="37" t="s">
        <v>159</v>
      </c>
      <c r="AK44" s="37" t="s">
        <v>159</v>
      </c>
      <c r="AL44" s="37" t="s">
        <v>159</v>
      </c>
      <c r="AM44" s="37" t="s">
        <v>159</v>
      </c>
      <c r="AN44" s="37" t="s">
        <v>159</v>
      </c>
      <c r="AO44" s="37" t="s">
        <v>159</v>
      </c>
      <c r="AP44" s="37" t="s">
        <v>159</v>
      </c>
      <c r="AQ44" s="37" t="s">
        <v>159</v>
      </c>
      <c r="AR44" s="37" t="s">
        <v>159</v>
      </c>
      <c r="AS44" s="37" t="s">
        <v>159</v>
      </c>
      <c r="AT44" s="37" t="s">
        <v>159</v>
      </c>
      <c r="AU44" s="37" t="s">
        <v>159</v>
      </c>
      <c r="AV44" s="37" t="s">
        <v>159</v>
      </c>
      <c r="AW44" s="37" t="s">
        <v>159</v>
      </c>
      <c r="AX44" s="37" t="s">
        <v>159</v>
      </c>
      <c r="AY44" s="37" t="s">
        <v>159</v>
      </c>
      <c r="AZ44" s="37" t="s">
        <v>159</v>
      </c>
      <c r="BA44" s="37" t="s">
        <v>159</v>
      </c>
      <c r="BB44" s="37" t="s">
        <v>159</v>
      </c>
      <c r="BC44" s="37" t="s">
        <v>159</v>
      </c>
      <c r="BD44" s="37" t="s">
        <v>159</v>
      </c>
      <c r="BE44" s="37" t="s">
        <v>159</v>
      </c>
      <c r="BF44" s="37" t="s">
        <v>159</v>
      </c>
      <c r="BG44" s="37" t="s">
        <v>159</v>
      </c>
      <c r="BH44" s="37" t="s">
        <v>159</v>
      </c>
      <c r="BI44" s="37" t="s">
        <v>159</v>
      </c>
      <c r="BJ44" s="37" t="s">
        <v>159</v>
      </c>
      <c r="BK44" s="37" t="s">
        <v>159</v>
      </c>
      <c r="BL44" s="37" t="s">
        <v>159</v>
      </c>
      <c r="BM44" s="37" t="s">
        <v>159</v>
      </c>
      <c r="BN44" s="37" t="s">
        <v>159</v>
      </c>
      <c r="BO44" s="37" t="s">
        <v>159</v>
      </c>
      <c r="BP44" s="46">
        <v>8</v>
      </c>
      <c r="BQ44" s="46">
        <v>359.7527</v>
      </c>
      <c r="BR44" s="46">
        <v>-5</v>
      </c>
      <c r="BS44" s="46">
        <v>2</v>
      </c>
      <c r="BT44" s="46">
        <v>17</v>
      </c>
      <c r="BU44" s="46">
        <v>11</v>
      </c>
      <c r="BV44" s="46">
        <v>82</v>
      </c>
      <c r="BW44" s="46">
        <v>342.74919999999997</v>
      </c>
      <c r="BX44" s="46">
        <v>-152</v>
      </c>
      <c r="BY44" s="46">
        <v>146.28639999999999</v>
      </c>
      <c r="BZ44" s="46">
        <v>189.70869999999999</v>
      </c>
      <c r="CA44" s="46">
        <v>1</v>
      </c>
      <c r="CB44" s="46">
        <v>0</v>
      </c>
      <c r="CC44" s="46">
        <v>1</v>
      </c>
      <c r="CD44" s="46">
        <v>62</v>
      </c>
      <c r="CE44" s="46">
        <v>1</v>
      </c>
      <c r="CF44" s="46">
        <v>60345</v>
      </c>
      <c r="CG44" s="46">
        <v>3160264960</v>
      </c>
      <c r="CH44" s="46">
        <v>251</v>
      </c>
      <c r="CI44" s="46">
        <v>0</v>
      </c>
      <c r="CJ44" s="46">
        <v>0</v>
      </c>
      <c r="CK44" s="46">
        <v>1</v>
      </c>
      <c r="CL44" s="46">
        <v>8</v>
      </c>
      <c r="CM44" s="46">
        <v>0</v>
      </c>
      <c r="CN44" s="46">
        <v>0</v>
      </c>
      <c r="CO44" s="46">
        <v>0</v>
      </c>
      <c r="CP44" s="46">
        <v>-642.6</v>
      </c>
      <c r="CQ44" s="46">
        <v>1</v>
      </c>
      <c r="CR44" s="46">
        <v>1</v>
      </c>
      <c r="CS44" s="46">
        <v>0</v>
      </c>
      <c r="CT44" s="46">
        <v>1</v>
      </c>
      <c r="CU44" s="46">
        <v>1</v>
      </c>
      <c r="CV44" s="46">
        <v>1</v>
      </c>
      <c r="CW44" s="46">
        <v>1</v>
      </c>
      <c r="CX44" s="46">
        <v>1</v>
      </c>
      <c r="CY44" s="50" t="s">
        <v>159</v>
      </c>
      <c r="CZ44" s="37"/>
      <c r="DA44" s="38"/>
    </row>
    <row r="45" spans="1:105" x14ac:dyDescent="0.25">
      <c r="A45" s="36">
        <v>42</v>
      </c>
      <c r="B45" s="46" t="s">
        <v>769</v>
      </c>
      <c r="C45" s="46">
        <v>44122</v>
      </c>
      <c r="D45" s="46">
        <v>18103</v>
      </c>
      <c r="E45" s="46">
        <v>3</v>
      </c>
      <c r="F45" s="46">
        <v>3</v>
      </c>
      <c r="G45" s="46">
        <v>-2</v>
      </c>
      <c r="H45" s="46">
        <v>-3</v>
      </c>
      <c r="I45" s="46">
        <v>4.3999999999999997E-2</v>
      </c>
      <c r="J45" s="46">
        <v>-593</v>
      </c>
      <c r="K45" s="46">
        <v>76.590199999999996</v>
      </c>
      <c r="L45" s="46">
        <v>167.10669999999999</v>
      </c>
      <c r="M45" s="46">
        <v>0</v>
      </c>
      <c r="N45" s="56">
        <v>0</v>
      </c>
      <c r="O45" s="46">
        <v>185.9375</v>
      </c>
      <c r="P45" s="46">
        <v>0</v>
      </c>
      <c r="Q45" s="46">
        <v>39</v>
      </c>
      <c r="R45" s="46">
        <v>1</v>
      </c>
      <c r="S45" s="46">
        <v>4795</v>
      </c>
      <c r="T45" s="46">
        <v>2933502720</v>
      </c>
      <c r="U45" s="46">
        <v>141</v>
      </c>
      <c r="V45" s="46">
        <v>0</v>
      </c>
      <c r="W45" s="46">
        <v>128.29249999999999</v>
      </c>
      <c r="X45" s="46">
        <v>130.7714</v>
      </c>
      <c r="Y45" s="46">
        <v>0.14399999999999999</v>
      </c>
      <c r="Z45" s="46">
        <v>-763.6</v>
      </c>
      <c r="AA45" s="63">
        <v>3</v>
      </c>
      <c r="AB45" s="63">
        <v>3</v>
      </c>
      <c r="AC45" s="46">
        <v>9</v>
      </c>
      <c r="AD45" s="46">
        <v>67</v>
      </c>
      <c r="AE45" s="46">
        <v>52575</v>
      </c>
      <c r="AF45" s="46">
        <v>935514880</v>
      </c>
      <c r="AG45" s="37" t="s">
        <v>159</v>
      </c>
      <c r="AH45" s="37" t="s">
        <v>159</v>
      </c>
      <c r="AI45" s="37" t="s">
        <v>159</v>
      </c>
      <c r="AJ45" s="37" t="s">
        <v>159</v>
      </c>
      <c r="AK45" s="37" t="s">
        <v>159</v>
      </c>
      <c r="AL45" s="37" t="s">
        <v>159</v>
      </c>
      <c r="AM45" s="37" t="s">
        <v>159</v>
      </c>
      <c r="AN45" s="37" t="s">
        <v>159</v>
      </c>
      <c r="AO45" s="37" t="s">
        <v>159</v>
      </c>
      <c r="AP45" s="37" t="s">
        <v>159</v>
      </c>
      <c r="AQ45" s="37" t="s">
        <v>159</v>
      </c>
      <c r="AR45" s="37" t="s">
        <v>159</v>
      </c>
      <c r="AS45" s="37" t="s">
        <v>159</v>
      </c>
      <c r="AT45" s="37" t="s">
        <v>159</v>
      </c>
      <c r="AU45" s="37" t="s">
        <v>159</v>
      </c>
      <c r="AV45" s="37" t="s">
        <v>159</v>
      </c>
      <c r="AW45" s="37" t="s">
        <v>159</v>
      </c>
      <c r="AX45" s="37" t="s">
        <v>159</v>
      </c>
      <c r="AY45" s="37" t="s">
        <v>159</v>
      </c>
      <c r="AZ45" s="37" t="s">
        <v>159</v>
      </c>
      <c r="BA45" s="37" t="s">
        <v>159</v>
      </c>
      <c r="BB45" s="37" t="s">
        <v>159</v>
      </c>
      <c r="BC45" s="37" t="s">
        <v>159</v>
      </c>
      <c r="BD45" s="37" t="s">
        <v>159</v>
      </c>
      <c r="BE45" s="37" t="s">
        <v>159</v>
      </c>
      <c r="BF45" s="37" t="s">
        <v>159</v>
      </c>
      <c r="BG45" s="37" t="s">
        <v>159</v>
      </c>
      <c r="BH45" s="37" t="s">
        <v>159</v>
      </c>
      <c r="BI45" s="37" t="s">
        <v>159</v>
      </c>
      <c r="BJ45" s="37" t="s">
        <v>159</v>
      </c>
      <c r="BK45" s="37" t="s">
        <v>159</v>
      </c>
      <c r="BL45" s="37" t="s">
        <v>159</v>
      </c>
      <c r="BM45" s="37" t="s">
        <v>159</v>
      </c>
      <c r="BN45" s="37" t="s">
        <v>159</v>
      </c>
      <c r="BO45" s="37" t="s">
        <v>159</v>
      </c>
      <c r="BP45" s="46">
        <v>9</v>
      </c>
      <c r="BQ45" s="46">
        <v>167.10669999999999</v>
      </c>
      <c r="BR45" s="46">
        <v>-2</v>
      </c>
      <c r="BS45" s="46">
        <v>-3</v>
      </c>
      <c r="BT45" s="46">
        <v>105</v>
      </c>
      <c r="BU45" s="46">
        <v>93</v>
      </c>
      <c r="BV45" s="46">
        <v>99</v>
      </c>
      <c r="BW45" s="46">
        <v>185.9375</v>
      </c>
      <c r="BX45" s="46">
        <v>-593</v>
      </c>
      <c r="BY45" s="46">
        <v>128.29249999999999</v>
      </c>
      <c r="BZ45" s="46">
        <v>130.7714</v>
      </c>
      <c r="CA45" s="46">
        <v>0</v>
      </c>
      <c r="CB45" s="46">
        <v>0</v>
      </c>
      <c r="CC45" s="46">
        <v>1</v>
      </c>
      <c r="CD45" s="46">
        <v>67</v>
      </c>
      <c r="CE45" s="46">
        <v>1</v>
      </c>
      <c r="CF45" s="46">
        <v>52575</v>
      </c>
      <c r="CG45" s="46">
        <v>935514880</v>
      </c>
      <c r="CH45" s="46">
        <v>140</v>
      </c>
      <c r="CI45" s="46">
        <v>0</v>
      </c>
      <c r="CJ45" s="46">
        <v>0</v>
      </c>
      <c r="CK45" s="46">
        <v>1</v>
      </c>
      <c r="CL45" s="46">
        <v>9</v>
      </c>
      <c r="CM45" s="46">
        <v>0</v>
      </c>
      <c r="CN45" s="46">
        <v>0</v>
      </c>
      <c r="CO45" s="46">
        <v>0</v>
      </c>
      <c r="CP45" s="46">
        <v>-763.6</v>
      </c>
      <c r="CQ45" s="46">
        <v>1</v>
      </c>
      <c r="CR45" s="46">
        <v>1</v>
      </c>
      <c r="CS45" s="46">
        <v>0</v>
      </c>
      <c r="CT45" s="46">
        <v>1</v>
      </c>
      <c r="CU45" s="46">
        <v>1</v>
      </c>
      <c r="CV45" s="46">
        <v>1</v>
      </c>
      <c r="CW45" s="46">
        <v>1</v>
      </c>
      <c r="CX45" s="46">
        <v>1</v>
      </c>
      <c r="CY45" s="50" t="s">
        <v>159</v>
      </c>
      <c r="CZ45" s="37"/>
      <c r="DA45" s="38"/>
    </row>
    <row r="46" spans="1:105" x14ac:dyDescent="0.25">
      <c r="A46" s="36">
        <v>43</v>
      </c>
      <c r="B46" s="46" t="s">
        <v>770</v>
      </c>
      <c r="C46" s="46">
        <v>30475</v>
      </c>
      <c r="D46" s="46">
        <v>20740</v>
      </c>
      <c r="E46" s="46">
        <v>1</v>
      </c>
      <c r="F46" s="46">
        <v>30</v>
      </c>
      <c r="G46" s="46">
        <v>5</v>
      </c>
      <c r="H46" s="46">
        <v>-4</v>
      </c>
      <c r="I46" s="46">
        <v>4.8000000000000001E-2</v>
      </c>
      <c r="J46" s="46">
        <v>1887</v>
      </c>
      <c r="K46" s="46">
        <v>171.98759999999999</v>
      </c>
      <c r="L46" s="46">
        <v>290.71820000000002</v>
      </c>
      <c r="M46" s="46">
        <v>0</v>
      </c>
      <c r="N46" s="56">
        <v>1</v>
      </c>
      <c r="O46" s="46">
        <v>21.556699999999999</v>
      </c>
      <c r="P46" s="46">
        <v>1</v>
      </c>
      <c r="Q46" s="46">
        <v>44</v>
      </c>
      <c r="R46" s="46">
        <v>1</v>
      </c>
      <c r="S46" s="46">
        <v>4918</v>
      </c>
      <c r="T46" s="46">
        <v>1906158080</v>
      </c>
      <c r="U46" s="46">
        <v>39</v>
      </c>
      <c r="V46" s="46">
        <v>202</v>
      </c>
      <c r="W46" s="46">
        <v>155.7122</v>
      </c>
      <c r="X46" s="46">
        <v>324.63330000000002</v>
      </c>
      <c r="Y46" s="46">
        <v>0.14799999999999999</v>
      </c>
      <c r="Z46" s="46">
        <v>-884.6</v>
      </c>
      <c r="AA46" s="63">
        <v>1</v>
      </c>
      <c r="AB46" s="63">
        <v>30</v>
      </c>
      <c r="AC46" s="46">
        <v>10</v>
      </c>
      <c r="AD46" s="46">
        <v>72</v>
      </c>
      <c r="AE46" s="46">
        <v>24955</v>
      </c>
      <c r="AF46" s="46">
        <v>1667385856</v>
      </c>
      <c r="AG46" s="37" t="s">
        <v>159</v>
      </c>
      <c r="AH46" s="37" t="s">
        <v>159</v>
      </c>
      <c r="AI46" s="37" t="s">
        <v>159</v>
      </c>
      <c r="AJ46" s="37" t="s">
        <v>159</v>
      </c>
      <c r="AK46" s="37" t="s">
        <v>159</v>
      </c>
      <c r="AL46" s="37" t="s">
        <v>159</v>
      </c>
      <c r="AM46" s="37" t="s">
        <v>159</v>
      </c>
      <c r="AN46" s="37" t="s">
        <v>159</v>
      </c>
      <c r="AO46" s="37" t="s">
        <v>159</v>
      </c>
      <c r="AP46" s="37" t="s">
        <v>159</v>
      </c>
      <c r="AQ46" s="37" t="s">
        <v>159</v>
      </c>
      <c r="AR46" s="37" t="s">
        <v>159</v>
      </c>
      <c r="AS46" s="37" t="s">
        <v>159</v>
      </c>
      <c r="AT46" s="37" t="s">
        <v>159</v>
      </c>
      <c r="AU46" s="37" t="s">
        <v>159</v>
      </c>
      <c r="AV46" s="37" t="s">
        <v>159</v>
      </c>
      <c r="AW46" s="37" t="s">
        <v>159</v>
      </c>
      <c r="AX46" s="37" t="s">
        <v>159</v>
      </c>
      <c r="AY46" s="37" t="s">
        <v>159</v>
      </c>
      <c r="AZ46" s="37" t="s">
        <v>159</v>
      </c>
      <c r="BA46" s="37" t="s">
        <v>159</v>
      </c>
      <c r="BB46" s="37" t="s">
        <v>159</v>
      </c>
      <c r="BC46" s="37" t="s">
        <v>159</v>
      </c>
      <c r="BD46" s="37" t="s">
        <v>159</v>
      </c>
      <c r="BE46" s="37" t="s">
        <v>159</v>
      </c>
      <c r="BF46" s="37" t="s">
        <v>159</v>
      </c>
      <c r="BG46" s="37" t="s">
        <v>159</v>
      </c>
      <c r="BH46" s="37" t="s">
        <v>159</v>
      </c>
      <c r="BI46" s="37" t="s">
        <v>159</v>
      </c>
      <c r="BJ46" s="37" t="s">
        <v>159</v>
      </c>
      <c r="BK46" s="37" t="s">
        <v>159</v>
      </c>
      <c r="BL46" s="37" t="s">
        <v>159</v>
      </c>
      <c r="BM46" s="37" t="s">
        <v>159</v>
      </c>
      <c r="BN46" s="37" t="s">
        <v>159</v>
      </c>
      <c r="BO46" s="37" t="s">
        <v>159</v>
      </c>
      <c r="BP46" s="46">
        <v>10</v>
      </c>
      <c r="BQ46" s="46">
        <v>290.71820000000002</v>
      </c>
      <c r="BR46" s="46">
        <v>5</v>
      </c>
      <c r="BS46" s="46">
        <v>-4</v>
      </c>
      <c r="BT46" s="46">
        <v>7</v>
      </c>
      <c r="BU46" s="46">
        <v>40</v>
      </c>
      <c r="BV46" s="46">
        <v>37</v>
      </c>
      <c r="BW46" s="46">
        <v>21.556699999999999</v>
      </c>
      <c r="BX46" s="46">
        <v>1887</v>
      </c>
      <c r="BY46" s="46">
        <v>155.7122</v>
      </c>
      <c r="BZ46" s="46">
        <v>324.63330000000002</v>
      </c>
      <c r="CA46" s="46">
        <v>0</v>
      </c>
      <c r="CB46" s="46">
        <v>1</v>
      </c>
      <c r="CC46" s="46">
        <v>1</v>
      </c>
      <c r="CD46" s="46">
        <v>44</v>
      </c>
      <c r="CE46" s="46">
        <v>1</v>
      </c>
      <c r="CF46" s="46">
        <v>24955</v>
      </c>
      <c r="CG46" s="46">
        <v>1667385856</v>
      </c>
      <c r="CH46" s="46">
        <v>38</v>
      </c>
      <c r="CI46" s="46">
        <v>1803</v>
      </c>
      <c r="CJ46" s="46">
        <v>260</v>
      </c>
      <c r="CK46" s="46">
        <v>1</v>
      </c>
      <c r="CL46" s="46">
        <v>75</v>
      </c>
      <c r="CM46" s="46">
        <v>1</v>
      </c>
      <c r="CN46" s="46">
        <v>1</v>
      </c>
      <c r="CO46" s="46">
        <v>0</v>
      </c>
      <c r="CP46" s="46">
        <v>-884.6</v>
      </c>
      <c r="CQ46" s="46">
        <v>1</v>
      </c>
      <c r="CR46" s="46">
        <v>1</v>
      </c>
      <c r="CS46" s="46">
        <v>0</v>
      </c>
      <c r="CT46" s="46">
        <v>1</v>
      </c>
      <c r="CU46" s="46">
        <v>1</v>
      </c>
      <c r="CV46" s="46">
        <v>0</v>
      </c>
      <c r="CW46" s="46">
        <v>1</v>
      </c>
      <c r="CX46" s="46">
        <v>1</v>
      </c>
      <c r="CY46" s="50" t="s">
        <v>159</v>
      </c>
      <c r="CZ46" s="37"/>
      <c r="DA46" s="38"/>
    </row>
    <row r="47" spans="1:105" x14ac:dyDescent="0.25">
      <c r="A47" s="36">
        <v>44</v>
      </c>
      <c r="B47" s="46" t="s">
        <v>771</v>
      </c>
      <c r="C47" s="46">
        <v>62181</v>
      </c>
      <c r="D47" s="46">
        <v>16326</v>
      </c>
      <c r="E47" s="46">
        <v>2</v>
      </c>
      <c r="F47" s="46">
        <v>21</v>
      </c>
      <c r="G47" s="46">
        <v>2</v>
      </c>
      <c r="H47" s="46">
        <v>6</v>
      </c>
      <c r="I47" s="46">
        <v>5.1999999999999998E-2</v>
      </c>
      <c r="J47" s="46">
        <v>1735</v>
      </c>
      <c r="K47" s="46">
        <v>129.58580000000001</v>
      </c>
      <c r="L47" s="46">
        <v>190.45830000000001</v>
      </c>
      <c r="M47" s="46">
        <v>0</v>
      </c>
      <c r="N47" s="46">
        <v>1</v>
      </c>
      <c r="O47" s="56">
        <v>0</v>
      </c>
      <c r="P47" s="46">
        <v>0</v>
      </c>
      <c r="Q47" s="46">
        <v>49</v>
      </c>
      <c r="R47" s="46">
        <v>0</v>
      </c>
      <c r="S47" s="46">
        <v>5041</v>
      </c>
      <c r="T47" s="46">
        <v>2804511744</v>
      </c>
      <c r="U47" s="46">
        <v>142</v>
      </c>
      <c r="V47" s="46">
        <v>180</v>
      </c>
      <c r="W47" s="46">
        <v>315.5813</v>
      </c>
      <c r="X47" s="46">
        <v>227.05869999999999</v>
      </c>
      <c r="Y47" s="46">
        <v>0.152</v>
      </c>
      <c r="Z47" s="46">
        <v>-1005.6</v>
      </c>
      <c r="AA47" s="63">
        <v>2</v>
      </c>
      <c r="AB47" s="63">
        <v>21</v>
      </c>
      <c r="AC47" s="46">
        <v>11</v>
      </c>
      <c r="AD47" s="46">
        <v>77</v>
      </c>
      <c r="AE47" s="46">
        <v>41940</v>
      </c>
      <c r="AF47" s="46">
        <v>135468032</v>
      </c>
      <c r="AG47" s="37" t="s">
        <v>159</v>
      </c>
      <c r="AH47" s="37" t="s">
        <v>159</v>
      </c>
      <c r="AI47" s="37" t="s">
        <v>159</v>
      </c>
      <c r="AJ47" s="37" t="s">
        <v>159</v>
      </c>
      <c r="AK47" s="37" t="s">
        <v>159</v>
      </c>
      <c r="AL47" s="37" t="s">
        <v>159</v>
      </c>
      <c r="AM47" s="37" t="s">
        <v>159</v>
      </c>
      <c r="AN47" s="37" t="s">
        <v>159</v>
      </c>
      <c r="AO47" s="37" t="s">
        <v>159</v>
      </c>
      <c r="AP47" s="37" t="s">
        <v>159</v>
      </c>
      <c r="AQ47" s="37" t="s">
        <v>159</v>
      </c>
      <c r="AR47" s="37" t="s">
        <v>159</v>
      </c>
      <c r="AS47" s="37" t="s">
        <v>159</v>
      </c>
      <c r="AT47" s="37" t="s">
        <v>159</v>
      </c>
      <c r="AU47" s="37" t="s">
        <v>159</v>
      </c>
      <c r="AV47" s="37" t="s">
        <v>159</v>
      </c>
      <c r="AW47" s="37" t="s">
        <v>159</v>
      </c>
      <c r="AX47" s="37" t="s">
        <v>159</v>
      </c>
      <c r="AY47" s="37" t="s">
        <v>159</v>
      </c>
      <c r="AZ47" s="37" t="s">
        <v>159</v>
      </c>
      <c r="BA47" s="37" t="s">
        <v>159</v>
      </c>
      <c r="BB47" s="37" t="s">
        <v>159</v>
      </c>
      <c r="BC47" s="37" t="s">
        <v>159</v>
      </c>
      <c r="BD47" s="37" t="s">
        <v>159</v>
      </c>
      <c r="BE47" s="37" t="s">
        <v>159</v>
      </c>
      <c r="BF47" s="37" t="s">
        <v>159</v>
      </c>
      <c r="BG47" s="37" t="s">
        <v>159</v>
      </c>
      <c r="BH47" s="37" t="s">
        <v>159</v>
      </c>
      <c r="BI47" s="37" t="s">
        <v>159</v>
      </c>
      <c r="BJ47" s="37" t="s">
        <v>159</v>
      </c>
      <c r="BK47" s="37" t="s">
        <v>159</v>
      </c>
      <c r="BL47" s="37" t="s">
        <v>159</v>
      </c>
      <c r="BM47" s="37" t="s">
        <v>159</v>
      </c>
      <c r="BN47" s="37" t="s">
        <v>159</v>
      </c>
      <c r="BO47" s="37" t="s">
        <v>159</v>
      </c>
      <c r="BP47" s="46">
        <v>11</v>
      </c>
      <c r="BQ47" s="46">
        <v>190.45830000000001</v>
      </c>
      <c r="BR47" s="46">
        <v>2</v>
      </c>
      <c r="BS47" s="46">
        <v>6</v>
      </c>
      <c r="BT47" s="46">
        <v>43</v>
      </c>
      <c r="BU47" s="46">
        <v>91</v>
      </c>
      <c r="BV47" s="46">
        <v>58</v>
      </c>
      <c r="BW47" s="46">
        <v>0</v>
      </c>
      <c r="BX47" s="46">
        <v>1735</v>
      </c>
      <c r="BY47" s="46">
        <v>315.5813</v>
      </c>
      <c r="BZ47" s="46">
        <v>227.05869999999999</v>
      </c>
      <c r="CA47" s="46">
        <v>0</v>
      </c>
      <c r="CB47" s="46">
        <v>1</v>
      </c>
      <c r="CC47" s="46">
        <v>1</v>
      </c>
      <c r="CD47" s="46">
        <v>77</v>
      </c>
      <c r="CE47" s="46">
        <v>1</v>
      </c>
      <c r="CF47" s="46">
        <v>5041</v>
      </c>
      <c r="CG47" s="46">
        <v>2804511744</v>
      </c>
      <c r="CH47" s="46">
        <v>141</v>
      </c>
      <c r="CI47" s="46">
        <v>0</v>
      </c>
      <c r="CJ47" s="46">
        <v>0</v>
      </c>
      <c r="CK47" s="46">
        <v>1</v>
      </c>
      <c r="CL47" s="46">
        <v>11</v>
      </c>
      <c r="CM47" s="46">
        <v>0</v>
      </c>
      <c r="CN47" s="46">
        <v>0</v>
      </c>
      <c r="CO47" s="46">
        <v>0</v>
      </c>
      <c r="CP47" s="46">
        <v>-1005.6</v>
      </c>
      <c r="CQ47" s="46">
        <v>1</v>
      </c>
      <c r="CR47" s="46">
        <v>1</v>
      </c>
      <c r="CS47" s="46">
        <v>0</v>
      </c>
      <c r="CT47" s="46">
        <v>1</v>
      </c>
      <c r="CU47" s="46">
        <v>1</v>
      </c>
      <c r="CV47" s="46">
        <v>1</v>
      </c>
      <c r="CW47" s="46">
        <v>0</v>
      </c>
      <c r="CX47" s="46">
        <v>0</v>
      </c>
      <c r="CY47" s="50" t="s">
        <v>159</v>
      </c>
      <c r="CZ47" s="37"/>
      <c r="DA47" s="38"/>
    </row>
    <row r="48" spans="1:105" x14ac:dyDescent="0.25">
      <c r="A48" s="36">
        <v>45</v>
      </c>
      <c r="B48" s="46" t="s">
        <v>772</v>
      </c>
      <c r="C48" s="46">
        <v>2413</v>
      </c>
      <c r="D48" s="46">
        <v>3612</v>
      </c>
      <c r="E48" s="46">
        <v>1</v>
      </c>
      <c r="F48" s="46">
        <v>17</v>
      </c>
      <c r="G48" s="46">
        <v>4</v>
      </c>
      <c r="H48" s="46">
        <v>9</v>
      </c>
      <c r="I48" s="46">
        <v>5.6000000000000001E-2</v>
      </c>
      <c r="J48" s="46">
        <v>998</v>
      </c>
      <c r="K48" s="46">
        <v>303.92660000000001</v>
      </c>
      <c r="L48" s="46">
        <v>325.38959999999997</v>
      </c>
      <c r="M48" s="46">
        <v>0</v>
      </c>
      <c r="N48" s="46">
        <v>0</v>
      </c>
      <c r="O48" s="56">
        <v>360</v>
      </c>
      <c r="P48" s="46">
        <v>0</v>
      </c>
      <c r="Q48" s="46">
        <v>54</v>
      </c>
      <c r="R48" s="46">
        <v>1</v>
      </c>
      <c r="S48" s="46">
        <v>5164</v>
      </c>
      <c r="T48" s="46">
        <v>1962043136</v>
      </c>
      <c r="U48" s="46">
        <v>215</v>
      </c>
      <c r="V48" s="46">
        <v>169</v>
      </c>
      <c r="W48" s="46">
        <v>331.37959999999998</v>
      </c>
      <c r="X48" s="46">
        <v>77.040599999999998</v>
      </c>
      <c r="Y48" s="46">
        <v>0.156</v>
      </c>
      <c r="Z48" s="46">
        <v>-1126.5999999999999</v>
      </c>
      <c r="AA48" s="63">
        <v>1</v>
      </c>
      <c r="AB48" s="63">
        <v>17</v>
      </c>
      <c r="AC48" s="46">
        <v>12</v>
      </c>
      <c r="AD48" s="46">
        <v>82</v>
      </c>
      <c r="AE48" s="46">
        <v>51745</v>
      </c>
      <c r="AF48" s="46">
        <v>2159380224</v>
      </c>
      <c r="AG48" s="37" t="s">
        <v>159</v>
      </c>
      <c r="AH48" s="37" t="s">
        <v>159</v>
      </c>
      <c r="AI48" s="37" t="s">
        <v>159</v>
      </c>
      <c r="AJ48" s="37" t="s">
        <v>159</v>
      </c>
      <c r="AK48" s="37" t="s">
        <v>159</v>
      </c>
      <c r="AL48" s="37" t="s">
        <v>159</v>
      </c>
      <c r="AM48" s="37" t="s">
        <v>159</v>
      </c>
      <c r="AN48" s="37" t="s">
        <v>159</v>
      </c>
      <c r="AO48" s="37" t="s">
        <v>159</v>
      </c>
      <c r="AP48" s="37" t="s">
        <v>159</v>
      </c>
      <c r="AQ48" s="37" t="s">
        <v>159</v>
      </c>
      <c r="AR48" s="37" t="s">
        <v>159</v>
      </c>
      <c r="AS48" s="37" t="s">
        <v>159</v>
      </c>
      <c r="AT48" s="37" t="s">
        <v>159</v>
      </c>
      <c r="AU48" s="37" t="s">
        <v>159</v>
      </c>
      <c r="AV48" s="37" t="s">
        <v>159</v>
      </c>
      <c r="AW48" s="37" t="s">
        <v>159</v>
      </c>
      <c r="AX48" s="37" t="s">
        <v>159</v>
      </c>
      <c r="AY48" s="37" t="s">
        <v>159</v>
      </c>
      <c r="AZ48" s="37" t="s">
        <v>159</v>
      </c>
      <c r="BA48" s="37" t="s">
        <v>159</v>
      </c>
      <c r="BB48" s="37" t="s">
        <v>159</v>
      </c>
      <c r="BC48" s="37" t="s">
        <v>159</v>
      </c>
      <c r="BD48" s="37" t="s">
        <v>159</v>
      </c>
      <c r="BE48" s="37" t="s">
        <v>159</v>
      </c>
      <c r="BF48" s="37" t="s">
        <v>159</v>
      </c>
      <c r="BG48" s="37" t="s">
        <v>159</v>
      </c>
      <c r="BH48" s="37" t="s">
        <v>159</v>
      </c>
      <c r="BI48" s="37" t="s">
        <v>159</v>
      </c>
      <c r="BJ48" s="37" t="s">
        <v>159</v>
      </c>
      <c r="BK48" s="37" t="s">
        <v>159</v>
      </c>
      <c r="BL48" s="37" t="s">
        <v>159</v>
      </c>
      <c r="BM48" s="37" t="s">
        <v>159</v>
      </c>
      <c r="BN48" s="37" t="s">
        <v>159</v>
      </c>
      <c r="BO48" s="37" t="s">
        <v>159</v>
      </c>
      <c r="BP48" s="46">
        <v>12</v>
      </c>
      <c r="BQ48" s="46">
        <v>325.38959999999997</v>
      </c>
      <c r="BR48" s="46">
        <v>4</v>
      </c>
      <c r="BS48" s="46">
        <v>9</v>
      </c>
      <c r="BT48" s="46">
        <v>92</v>
      </c>
      <c r="BU48" s="46">
        <v>94</v>
      </c>
      <c r="BV48" s="46">
        <v>0</v>
      </c>
      <c r="BW48" s="46">
        <v>360</v>
      </c>
      <c r="BX48" s="46">
        <v>998</v>
      </c>
      <c r="BY48" s="46">
        <v>331.37959999999998</v>
      </c>
      <c r="BZ48" s="46">
        <v>77.040599999999998</v>
      </c>
      <c r="CA48" s="46">
        <v>0</v>
      </c>
      <c r="CB48" s="46">
        <v>0</v>
      </c>
      <c r="CC48" s="46">
        <v>1</v>
      </c>
      <c r="CD48" s="46">
        <v>82</v>
      </c>
      <c r="CE48" s="46">
        <v>1</v>
      </c>
      <c r="CF48" s="46">
        <v>51745</v>
      </c>
      <c r="CG48" s="46">
        <v>2159380224</v>
      </c>
      <c r="CH48" s="46">
        <v>214</v>
      </c>
      <c r="CI48" s="46">
        <v>2413</v>
      </c>
      <c r="CJ48" s="46">
        <v>3612</v>
      </c>
      <c r="CK48" s="46">
        <v>1</v>
      </c>
      <c r="CL48" s="46">
        <v>76</v>
      </c>
      <c r="CM48" s="46">
        <v>0</v>
      </c>
      <c r="CN48" s="46">
        <v>1</v>
      </c>
      <c r="CO48" s="46">
        <v>0</v>
      </c>
      <c r="CP48" s="46">
        <v>-1126.5999999999999</v>
      </c>
      <c r="CQ48" s="46">
        <v>1</v>
      </c>
      <c r="CR48" s="46">
        <v>1</v>
      </c>
      <c r="CS48" s="46">
        <v>0</v>
      </c>
      <c r="CT48" s="46">
        <v>1</v>
      </c>
      <c r="CU48" s="46">
        <v>1</v>
      </c>
      <c r="CV48" s="46">
        <v>1</v>
      </c>
      <c r="CW48" s="46">
        <v>1</v>
      </c>
      <c r="CX48" s="46">
        <v>1</v>
      </c>
      <c r="CY48" s="50" t="s">
        <v>159</v>
      </c>
      <c r="CZ48" s="37"/>
      <c r="DA48" s="38"/>
    </row>
    <row r="49" spans="1:105" x14ac:dyDescent="0.25">
      <c r="A49" s="36">
        <v>46</v>
      </c>
      <c r="B49" s="46" t="s">
        <v>773</v>
      </c>
      <c r="C49" s="46">
        <v>11937</v>
      </c>
      <c r="D49" s="46">
        <v>40614</v>
      </c>
      <c r="E49" s="46">
        <v>3</v>
      </c>
      <c r="F49" s="46">
        <v>13</v>
      </c>
      <c r="G49" s="46">
        <v>-1</v>
      </c>
      <c r="H49" s="46">
        <v>6</v>
      </c>
      <c r="I49" s="46">
        <v>0.06</v>
      </c>
      <c r="J49" s="46">
        <v>-134</v>
      </c>
      <c r="K49" s="46">
        <v>200.7081</v>
      </c>
      <c r="L49" s="46">
        <v>13.026999999999999</v>
      </c>
      <c r="M49" s="46">
        <v>1</v>
      </c>
      <c r="N49" s="46">
        <v>1</v>
      </c>
      <c r="O49" s="56">
        <v>88.213300000000004</v>
      </c>
      <c r="P49" s="46">
        <v>1</v>
      </c>
      <c r="Q49" s="46">
        <v>59</v>
      </c>
      <c r="R49" s="46">
        <v>1</v>
      </c>
      <c r="S49" s="46">
        <v>5287</v>
      </c>
      <c r="T49" s="46">
        <v>2468580864</v>
      </c>
      <c r="U49" s="46">
        <v>99</v>
      </c>
      <c r="V49" s="46">
        <v>91</v>
      </c>
      <c r="W49" s="46">
        <v>204.72970000000001</v>
      </c>
      <c r="X49" s="46">
        <v>90.717500000000001</v>
      </c>
      <c r="Y49" s="46">
        <v>0.16</v>
      </c>
      <c r="Z49" s="46">
        <v>-1247.5999999999999</v>
      </c>
      <c r="AA49" s="63">
        <v>3</v>
      </c>
      <c r="AB49" s="63">
        <v>13</v>
      </c>
      <c r="AC49" s="46">
        <v>13</v>
      </c>
      <c r="AD49" s="46">
        <v>87</v>
      </c>
      <c r="AE49" s="46">
        <v>29190</v>
      </c>
      <c r="AF49" s="46">
        <v>3831115264</v>
      </c>
      <c r="AG49" s="37" t="s">
        <v>159</v>
      </c>
      <c r="AH49" s="37" t="s">
        <v>159</v>
      </c>
      <c r="AI49" s="37" t="s">
        <v>159</v>
      </c>
      <c r="AJ49" s="37" t="s">
        <v>159</v>
      </c>
      <c r="AK49" s="37" t="s">
        <v>159</v>
      </c>
      <c r="AL49" s="37" t="s">
        <v>159</v>
      </c>
      <c r="AM49" s="37" t="s">
        <v>159</v>
      </c>
      <c r="AN49" s="37" t="s">
        <v>159</v>
      </c>
      <c r="AO49" s="37" t="s">
        <v>159</v>
      </c>
      <c r="AP49" s="37" t="s">
        <v>159</v>
      </c>
      <c r="AQ49" s="37" t="s">
        <v>159</v>
      </c>
      <c r="AR49" s="37" t="s">
        <v>159</v>
      </c>
      <c r="AS49" s="37" t="s">
        <v>159</v>
      </c>
      <c r="AT49" s="37" t="s">
        <v>159</v>
      </c>
      <c r="AU49" s="37" t="s">
        <v>159</v>
      </c>
      <c r="AV49" s="37" t="s">
        <v>159</v>
      </c>
      <c r="AW49" s="37" t="s">
        <v>159</v>
      </c>
      <c r="AX49" s="37" t="s">
        <v>159</v>
      </c>
      <c r="AY49" s="37" t="s">
        <v>159</v>
      </c>
      <c r="AZ49" s="37" t="s">
        <v>159</v>
      </c>
      <c r="BA49" s="37" t="s">
        <v>159</v>
      </c>
      <c r="BB49" s="37" t="s">
        <v>159</v>
      </c>
      <c r="BC49" s="37" t="s">
        <v>159</v>
      </c>
      <c r="BD49" s="37" t="s">
        <v>159</v>
      </c>
      <c r="BE49" s="37" t="s">
        <v>159</v>
      </c>
      <c r="BF49" s="37" t="s">
        <v>159</v>
      </c>
      <c r="BG49" s="37" t="s">
        <v>159</v>
      </c>
      <c r="BH49" s="37" t="s">
        <v>159</v>
      </c>
      <c r="BI49" s="37" t="s">
        <v>159</v>
      </c>
      <c r="BJ49" s="37" t="s">
        <v>159</v>
      </c>
      <c r="BK49" s="37" t="s">
        <v>159</v>
      </c>
      <c r="BL49" s="37" t="s">
        <v>159</v>
      </c>
      <c r="BM49" s="37" t="s">
        <v>159</v>
      </c>
      <c r="BN49" s="37" t="s">
        <v>159</v>
      </c>
      <c r="BO49" s="37" t="s">
        <v>159</v>
      </c>
      <c r="BP49" s="46">
        <v>13</v>
      </c>
      <c r="BQ49" s="46">
        <v>13.026999999999999</v>
      </c>
      <c r="BR49" s="46">
        <v>-1</v>
      </c>
      <c r="BS49" s="46">
        <v>6</v>
      </c>
      <c r="BT49" s="46">
        <v>33</v>
      </c>
      <c r="BU49" s="46">
        <v>27</v>
      </c>
      <c r="BV49" s="46">
        <v>55</v>
      </c>
      <c r="BW49" s="46">
        <v>88.213300000000004</v>
      </c>
      <c r="BX49" s="46">
        <v>-134</v>
      </c>
      <c r="BY49" s="46">
        <v>204.72970000000001</v>
      </c>
      <c r="BZ49" s="46">
        <v>90.717500000000001</v>
      </c>
      <c r="CA49" s="46">
        <v>1</v>
      </c>
      <c r="CB49" s="46">
        <v>1</v>
      </c>
      <c r="CC49" s="46">
        <v>1</v>
      </c>
      <c r="CD49" s="46">
        <v>59</v>
      </c>
      <c r="CE49" s="46">
        <v>1</v>
      </c>
      <c r="CF49" s="46">
        <v>29190</v>
      </c>
      <c r="CG49" s="46">
        <v>3831115264</v>
      </c>
      <c r="CH49" s="46">
        <v>98</v>
      </c>
      <c r="CI49" s="46">
        <v>0</v>
      </c>
      <c r="CJ49" s="46">
        <v>0</v>
      </c>
      <c r="CK49" s="46">
        <v>1</v>
      </c>
      <c r="CL49" s="46">
        <v>13</v>
      </c>
      <c r="CM49" s="46">
        <v>0</v>
      </c>
      <c r="CN49" s="46">
        <v>0</v>
      </c>
      <c r="CO49" s="46">
        <v>0</v>
      </c>
      <c r="CP49" s="46">
        <v>-1247.5999999999999</v>
      </c>
      <c r="CQ49" s="46">
        <v>1</v>
      </c>
      <c r="CR49" s="46">
        <v>1</v>
      </c>
      <c r="CS49" s="46">
        <v>0</v>
      </c>
      <c r="CT49" s="46">
        <v>1</v>
      </c>
      <c r="CU49" s="46">
        <v>1</v>
      </c>
      <c r="CV49" s="46">
        <v>0</v>
      </c>
      <c r="CW49" s="46">
        <v>1</v>
      </c>
      <c r="CX49" s="46">
        <v>1</v>
      </c>
      <c r="CY49" s="50" t="s">
        <v>159</v>
      </c>
      <c r="CZ49" s="37"/>
      <c r="DA49" s="38"/>
    </row>
    <row r="50" spans="1:105" x14ac:dyDescent="0.25">
      <c r="A50" s="36">
        <v>47</v>
      </c>
      <c r="B50" s="46" t="s">
        <v>774</v>
      </c>
      <c r="C50" s="46">
        <v>46243</v>
      </c>
      <c r="D50" s="46">
        <v>10851</v>
      </c>
      <c r="E50" s="46">
        <v>3</v>
      </c>
      <c r="F50" s="46">
        <v>13</v>
      </c>
      <c r="G50" s="46">
        <v>-5</v>
      </c>
      <c r="H50" s="46">
        <v>4</v>
      </c>
      <c r="I50" s="46">
        <v>6.4000000000000001E-2</v>
      </c>
      <c r="J50" s="46">
        <v>2146</v>
      </c>
      <c r="K50" s="46">
        <v>274.13929999999999</v>
      </c>
      <c r="L50" s="46">
        <v>18.508199999999999</v>
      </c>
      <c r="M50" s="46">
        <v>0</v>
      </c>
      <c r="N50" s="46">
        <v>0</v>
      </c>
      <c r="O50" s="46">
        <v>91.090800000000002</v>
      </c>
      <c r="P50" s="56">
        <v>0</v>
      </c>
      <c r="Q50" s="46">
        <v>64</v>
      </c>
      <c r="R50" s="46">
        <v>1</v>
      </c>
      <c r="S50" s="46">
        <v>5410</v>
      </c>
      <c r="T50" s="46">
        <v>3521911040</v>
      </c>
      <c r="U50" s="46">
        <v>186</v>
      </c>
      <c r="V50" s="46">
        <v>194</v>
      </c>
      <c r="W50" s="46">
        <v>168.13229999999999</v>
      </c>
      <c r="X50" s="46">
        <v>343.5061</v>
      </c>
      <c r="Y50" s="46">
        <v>0.16400000000000001</v>
      </c>
      <c r="Z50" s="46">
        <v>-1368.6</v>
      </c>
      <c r="AA50" s="63">
        <v>3</v>
      </c>
      <c r="AB50" s="63">
        <v>13</v>
      </c>
      <c r="AC50" s="46">
        <v>14</v>
      </c>
      <c r="AD50" s="46">
        <v>92</v>
      </c>
      <c r="AE50" s="46">
        <v>23025</v>
      </c>
      <c r="AF50" s="46">
        <v>2160605440</v>
      </c>
      <c r="AG50" s="37" t="s">
        <v>159</v>
      </c>
      <c r="AH50" s="37" t="s">
        <v>159</v>
      </c>
      <c r="AI50" s="37" t="s">
        <v>159</v>
      </c>
      <c r="AJ50" s="37" t="s">
        <v>159</v>
      </c>
      <c r="AK50" s="37" t="s">
        <v>159</v>
      </c>
      <c r="AL50" s="37" t="s">
        <v>159</v>
      </c>
      <c r="AM50" s="37" t="s">
        <v>159</v>
      </c>
      <c r="AN50" s="37" t="s">
        <v>159</v>
      </c>
      <c r="AO50" s="37" t="s">
        <v>159</v>
      </c>
      <c r="AP50" s="37" t="s">
        <v>159</v>
      </c>
      <c r="AQ50" s="37" t="s">
        <v>159</v>
      </c>
      <c r="AR50" s="37" t="s">
        <v>159</v>
      </c>
      <c r="AS50" s="37" t="s">
        <v>159</v>
      </c>
      <c r="AT50" s="37" t="s">
        <v>159</v>
      </c>
      <c r="AU50" s="37" t="s">
        <v>159</v>
      </c>
      <c r="AV50" s="37" t="s">
        <v>159</v>
      </c>
      <c r="AW50" s="37" t="s">
        <v>159</v>
      </c>
      <c r="AX50" s="37" t="s">
        <v>159</v>
      </c>
      <c r="AY50" s="37" t="s">
        <v>159</v>
      </c>
      <c r="AZ50" s="37" t="s">
        <v>159</v>
      </c>
      <c r="BA50" s="37" t="s">
        <v>159</v>
      </c>
      <c r="BB50" s="37" t="s">
        <v>159</v>
      </c>
      <c r="BC50" s="37" t="s">
        <v>159</v>
      </c>
      <c r="BD50" s="37" t="s">
        <v>159</v>
      </c>
      <c r="BE50" s="37" t="s">
        <v>159</v>
      </c>
      <c r="BF50" s="37" t="s">
        <v>159</v>
      </c>
      <c r="BG50" s="37" t="s">
        <v>159</v>
      </c>
      <c r="BH50" s="37" t="s">
        <v>159</v>
      </c>
      <c r="BI50" s="37" t="s">
        <v>159</v>
      </c>
      <c r="BJ50" s="37" t="s">
        <v>159</v>
      </c>
      <c r="BK50" s="37" t="s">
        <v>159</v>
      </c>
      <c r="BL50" s="37" t="s">
        <v>159</v>
      </c>
      <c r="BM50" s="37" t="s">
        <v>159</v>
      </c>
      <c r="BN50" s="37" t="s">
        <v>159</v>
      </c>
      <c r="BO50" s="37" t="s">
        <v>159</v>
      </c>
      <c r="BP50" s="46">
        <v>14</v>
      </c>
      <c r="BQ50" s="46">
        <v>18.508199999999999</v>
      </c>
      <c r="BR50" s="46">
        <v>-5</v>
      </c>
      <c r="BS50" s="46">
        <v>4</v>
      </c>
      <c r="BT50" s="46">
        <v>117</v>
      </c>
      <c r="BU50" s="46">
        <v>104</v>
      </c>
      <c r="BV50" s="46">
        <v>128</v>
      </c>
      <c r="BW50" s="46">
        <v>91.090800000000002</v>
      </c>
      <c r="BX50" s="46">
        <v>2146</v>
      </c>
      <c r="BY50" s="46">
        <v>168.13229999999999</v>
      </c>
      <c r="BZ50" s="46">
        <v>343.5061</v>
      </c>
      <c r="CA50" s="46">
        <v>0</v>
      </c>
      <c r="CB50" s="46">
        <v>0</v>
      </c>
      <c r="CC50" s="46">
        <v>1</v>
      </c>
      <c r="CD50" s="46">
        <v>92</v>
      </c>
      <c r="CE50" s="46">
        <v>1</v>
      </c>
      <c r="CF50" s="46">
        <v>23025</v>
      </c>
      <c r="CG50" s="46">
        <v>2160605440</v>
      </c>
      <c r="CH50" s="46">
        <v>185</v>
      </c>
      <c r="CI50" s="46">
        <v>0</v>
      </c>
      <c r="CJ50" s="46">
        <v>0</v>
      </c>
      <c r="CK50" s="46">
        <v>1</v>
      </c>
      <c r="CL50" s="46">
        <v>14</v>
      </c>
      <c r="CM50" s="46">
        <v>0</v>
      </c>
      <c r="CN50" s="46">
        <v>0</v>
      </c>
      <c r="CO50" s="46">
        <v>0</v>
      </c>
      <c r="CP50" s="46">
        <v>-1368.6</v>
      </c>
      <c r="CQ50" s="46">
        <v>1</v>
      </c>
      <c r="CR50" s="46">
        <v>1</v>
      </c>
      <c r="CS50" s="46">
        <v>0</v>
      </c>
      <c r="CT50" s="46">
        <v>1</v>
      </c>
      <c r="CU50" s="46">
        <v>1</v>
      </c>
      <c r="CV50" s="46">
        <v>1</v>
      </c>
      <c r="CW50" s="46">
        <v>1</v>
      </c>
      <c r="CX50" s="46">
        <v>1</v>
      </c>
      <c r="CY50" s="50" t="s">
        <v>159</v>
      </c>
      <c r="CZ50" s="37"/>
      <c r="DA50" s="38"/>
    </row>
    <row r="51" spans="1:105" x14ac:dyDescent="0.25">
      <c r="A51" s="36">
        <v>48</v>
      </c>
      <c r="B51" s="46" t="s">
        <v>775</v>
      </c>
      <c r="C51" s="46">
        <v>45512</v>
      </c>
      <c r="D51" s="46">
        <v>16151</v>
      </c>
      <c r="E51" s="46">
        <v>1</v>
      </c>
      <c r="F51" s="46">
        <v>0</v>
      </c>
      <c r="G51" s="46">
        <v>2</v>
      </c>
      <c r="H51" s="46">
        <v>-11</v>
      </c>
      <c r="I51" s="46">
        <v>6.8000000000000005E-2</v>
      </c>
      <c r="J51" s="46">
        <v>388</v>
      </c>
      <c r="K51" s="46">
        <v>260.95580000000001</v>
      </c>
      <c r="L51" s="46">
        <v>66.821799999999996</v>
      </c>
      <c r="M51" s="46">
        <v>0</v>
      </c>
      <c r="N51" s="46">
        <v>1</v>
      </c>
      <c r="O51" s="46">
        <v>223.7347</v>
      </c>
      <c r="P51" s="56">
        <v>1</v>
      </c>
      <c r="Q51" s="46">
        <v>69</v>
      </c>
      <c r="R51" s="46">
        <v>1</v>
      </c>
      <c r="S51" s="46">
        <v>5533</v>
      </c>
      <c r="T51" s="46">
        <v>3112073216</v>
      </c>
      <c r="U51" s="46">
        <v>47</v>
      </c>
      <c r="V51" s="46">
        <v>134</v>
      </c>
      <c r="W51" s="46">
        <v>241.50280000000001</v>
      </c>
      <c r="X51" s="46">
        <v>305.61989999999997</v>
      </c>
      <c r="Y51" s="46">
        <v>0.7</v>
      </c>
      <c r="Z51" s="46">
        <v>-1489.6</v>
      </c>
      <c r="AA51" s="63">
        <v>1</v>
      </c>
      <c r="AB51" s="63">
        <v>0</v>
      </c>
      <c r="AC51" s="46">
        <v>15</v>
      </c>
      <c r="AD51" s="46">
        <v>97</v>
      </c>
      <c r="AE51" s="46">
        <v>29533</v>
      </c>
      <c r="AF51" s="46">
        <v>3312064512</v>
      </c>
      <c r="AG51" s="37" t="s">
        <v>159</v>
      </c>
      <c r="AH51" s="37" t="s">
        <v>159</v>
      </c>
      <c r="AI51" s="37" t="s">
        <v>159</v>
      </c>
      <c r="AJ51" s="37" t="s">
        <v>159</v>
      </c>
      <c r="AK51" s="37" t="s">
        <v>159</v>
      </c>
      <c r="AL51" s="37" t="s">
        <v>159</v>
      </c>
      <c r="AM51" s="37" t="s">
        <v>159</v>
      </c>
      <c r="AN51" s="37" t="s">
        <v>159</v>
      </c>
      <c r="AO51" s="37" t="s">
        <v>159</v>
      </c>
      <c r="AP51" s="37" t="s">
        <v>159</v>
      </c>
      <c r="AQ51" s="37" t="s">
        <v>159</v>
      </c>
      <c r="AR51" s="37" t="s">
        <v>159</v>
      </c>
      <c r="AS51" s="37" t="s">
        <v>159</v>
      </c>
      <c r="AT51" s="37" t="s">
        <v>159</v>
      </c>
      <c r="AU51" s="37" t="s">
        <v>159</v>
      </c>
      <c r="AV51" s="37" t="s">
        <v>159</v>
      </c>
      <c r="AW51" s="37" t="s">
        <v>159</v>
      </c>
      <c r="AX51" s="37" t="s">
        <v>159</v>
      </c>
      <c r="AY51" s="37" t="s">
        <v>159</v>
      </c>
      <c r="AZ51" s="37" t="s">
        <v>159</v>
      </c>
      <c r="BA51" s="37" t="s">
        <v>159</v>
      </c>
      <c r="BB51" s="37" t="s">
        <v>159</v>
      </c>
      <c r="BC51" s="37" t="s">
        <v>159</v>
      </c>
      <c r="BD51" s="37" t="s">
        <v>159</v>
      </c>
      <c r="BE51" s="37" t="s">
        <v>159</v>
      </c>
      <c r="BF51" s="37" t="s">
        <v>159</v>
      </c>
      <c r="BG51" s="37" t="s">
        <v>159</v>
      </c>
      <c r="BH51" s="37" t="s">
        <v>159</v>
      </c>
      <c r="BI51" s="37" t="s">
        <v>159</v>
      </c>
      <c r="BJ51" s="37" t="s">
        <v>159</v>
      </c>
      <c r="BK51" s="37" t="s">
        <v>159</v>
      </c>
      <c r="BL51" s="37" t="s">
        <v>159</v>
      </c>
      <c r="BM51" s="37" t="s">
        <v>159</v>
      </c>
      <c r="BN51" s="37" t="s">
        <v>159</v>
      </c>
      <c r="BO51" s="37" t="s">
        <v>159</v>
      </c>
      <c r="BP51" s="46">
        <v>15</v>
      </c>
      <c r="BQ51" s="46">
        <v>66.821799999999996</v>
      </c>
      <c r="BR51" s="46">
        <v>2</v>
      </c>
      <c r="BS51" s="46">
        <v>-11</v>
      </c>
      <c r="BT51" s="46">
        <v>114</v>
      </c>
      <c r="BU51" s="46">
        <v>76</v>
      </c>
      <c r="BV51" s="46">
        <v>84</v>
      </c>
      <c r="BW51" s="46">
        <v>223.7347</v>
      </c>
      <c r="BX51" s="46">
        <v>388</v>
      </c>
      <c r="BY51" s="46">
        <v>241.50280000000001</v>
      </c>
      <c r="BZ51" s="46">
        <v>305.61989999999997</v>
      </c>
      <c r="CA51" s="46">
        <v>0</v>
      </c>
      <c r="CB51" s="46">
        <v>1</v>
      </c>
      <c r="CC51" s="46">
        <v>1</v>
      </c>
      <c r="CD51" s="46">
        <v>69</v>
      </c>
      <c r="CE51" s="46">
        <v>1</v>
      </c>
      <c r="CF51" s="46">
        <v>29533</v>
      </c>
      <c r="CG51" s="46">
        <v>3312064512</v>
      </c>
      <c r="CH51" s="46">
        <v>46</v>
      </c>
      <c r="CI51" s="46">
        <v>456</v>
      </c>
      <c r="CJ51" s="46">
        <v>3863</v>
      </c>
      <c r="CK51" s="46">
        <v>1</v>
      </c>
      <c r="CL51" s="46">
        <v>79</v>
      </c>
      <c r="CM51" s="46">
        <v>1</v>
      </c>
      <c r="CN51" s="46">
        <v>1</v>
      </c>
      <c r="CO51" s="46">
        <v>0</v>
      </c>
      <c r="CP51" s="46">
        <v>-1489.6</v>
      </c>
      <c r="CQ51" s="46">
        <v>1</v>
      </c>
      <c r="CR51" s="46">
        <v>1</v>
      </c>
      <c r="CS51" s="46">
        <v>0</v>
      </c>
      <c r="CT51" s="46">
        <v>1</v>
      </c>
      <c r="CU51" s="46">
        <v>1</v>
      </c>
      <c r="CV51" s="46">
        <v>0</v>
      </c>
      <c r="CW51" s="46">
        <v>1</v>
      </c>
      <c r="CX51" s="46">
        <v>1</v>
      </c>
      <c r="CY51" s="50" t="s">
        <v>159</v>
      </c>
      <c r="CZ51" s="37"/>
      <c r="DA51" s="38"/>
    </row>
    <row r="52" spans="1:105" x14ac:dyDescent="0.25">
      <c r="A52" s="36">
        <v>49</v>
      </c>
      <c r="B52" s="46" t="s">
        <v>776</v>
      </c>
      <c r="C52" s="46">
        <v>33849</v>
      </c>
      <c r="D52" s="46">
        <v>543</v>
      </c>
      <c r="E52" s="46">
        <v>1</v>
      </c>
      <c r="F52" s="46">
        <v>10</v>
      </c>
      <c r="G52" s="46">
        <v>0</v>
      </c>
      <c r="H52" s="46">
        <v>11</v>
      </c>
      <c r="I52" s="46">
        <v>7.1999999999999995E-2</v>
      </c>
      <c r="J52" s="46">
        <v>708</v>
      </c>
      <c r="K52" s="46">
        <v>239.00559999999999</v>
      </c>
      <c r="L52" s="46">
        <v>64.559100000000001</v>
      </c>
      <c r="M52" s="46">
        <v>1</v>
      </c>
      <c r="N52" s="46">
        <v>1</v>
      </c>
      <c r="O52" s="46">
        <v>7.9207000000000001</v>
      </c>
      <c r="P52" s="46">
        <v>1</v>
      </c>
      <c r="Q52" s="56">
        <v>0</v>
      </c>
      <c r="R52" s="46">
        <v>1</v>
      </c>
      <c r="S52" s="46">
        <v>5656</v>
      </c>
      <c r="T52" s="46">
        <v>1103147520</v>
      </c>
      <c r="U52" s="46">
        <v>128</v>
      </c>
      <c r="V52" s="46">
        <v>59</v>
      </c>
      <c r="W52" s="46">
        <v>315.90010000000001</v>
      </c>
      <c r="X52" s="46">
        <v>235.9974</v>
      </c>
      <c r="Y52" s="46">
        <v>0.9</v>
      </c>
      <c r="Z52" s="46">
        <v>-1610.6</v>
      </c>
      <c r="AA52" s="63">
        <v>1</v>
      </c>
      <c r="AB52" s="63">
        <v>10</v>
      </c>
      <c r="AC52" s="46">
        <v>16</v>
      </c>
      <c r="AD52" s="46">
        <v>102</v>
      </c>
      <c r="AE52" s="46">
        <v>52597</v>
      </c>
      <c r="AF52" s="46">
        <v>1711886848</v>
      </c>
      <c r="AG52" s="37" t="s">
        <v>159</v>
      </c>
      <c r="AH52" s="37" t="s">
        <v>159</v>
      </c>
      <c r="AI52" s="37" t="s">
        <v>159</v>
      </c>
      <c r="AJ52" s="37" t="s">
        <v>159</v>
      </c>
      <c r="AK52" s="37" t="s">
        <v>159</v>
      </c>
      <c r="AL52" s="37" t="s">
        <v>159</v>
      </c>
      <c r="AM52" s="37" t="s">
        <v>159</v>
      </c>
      <c r="AN52" s="37" t="s">
        <v>159</v>
      </c>
      <c r="AO52" s="37" t="s">
        <v>159</v>
      </c>
      <c r="AP52" s="37" t="s">
        <v>159</v>
      </c>
      <c r="AQ52" s="37" t="s">
        <v>159</v>
      </c>
      <c r="AR52" s="37" t="s">
        <v>159</v>
      </c>
      <c r="AS52" s="37" t="s">
        <v>159</v>
      </c>
      <c r="AT52" s="37" t="s">
        <v>159</v>
      </c>
      <c r="AU52" s="37" t="s">
        <v>159</v>
      </c>
      <c r="AV52" s="37" t="s">
        <v>159</v>
      </c>
      <c r="AW52" s="37" t="s">
        <v>159</v>
      </c>
      <c r="AX52" s="37" t="s">
        <v>159</v>
      </c>
      <c r="AY52" s="37" t="s">
        <v>159</v>
      </c>
      <c r="AZ52" s="37" t="s">
        <v>159</v>
      </c>
      <c r="BA52" s="37" t="s">
        <v>159</v>
      </c>
      <c r="BB52" s="37" t="s">
        <v>159</v>
      </c>
      <c r="BC52" s="37" t="s">
        <v>159</v>
      </c>
      <c r="BD52" s="37" t="s">
        <v>159</v>
      </c>
      <c r="BE52" s="37" t="s">
        <v>159</v>
      </c>
      <c r="BF52" s="37" t="s">
        <v>159</v>
      </c>
      <c r="BG52" s="37" t="s">
        <v>159</v>
      </c>
      <c r="BH52" s="37" t="s">
        <v>159</v>
      </c>
      <c r="BI52" s="37" t="s">
        <v>159</v>
      </c>
      <c r="BJ52" s="37" t="s">
        <v>159</v>
      </c>
      <c r="BK52" s="37" t="s">
        <v>159</v>
      </c>
      <c r="BL52" s="37" t="s">
        <v>159</v>
      </c>
      <c r="BM52" s="37" t="s">
        <v>159</v>
      </c>
      <c r="BN52" s="37" t="s">
        <v>159</v>
      </c>
      <c r="BO52" s="37" t="s">
        <v>159</v>
      </c>
      <c r="BP52" s="46">
        <v>16</v>
      </c>
      <c r="BQ52" s="46">
        <v>64.559100000000001</v>
      </c>
      <c r="BR52" s="46">
        <v>0</v>
      </c>
      <c r="BS52" s="46">
        <v>11</v>
      </c>
      <c r="BT52" s="46">
        <v>85</v>
      </c>
      <c r="BU52" s="46">
        <v>40</v>
      </c>
      <c r="BV52" s="46">
        <v>70</v>
      </c>
      <c r="BW52" s="46">
        <v>7.9207000000000001</v>
      </c>
      <c r="BX52" s="46">
        <v>708</v>
      </c>
      <c r="BY52" s="46">
        <v>315.90010000000001</v>
      </c>
      <c r="BZ52" s="46">
        <v>235.9974</v>
      </c>
      <c r="CA52" s="46">
        <v>1</v>
      </c>
      <c r="CB52" s="46">
        <v>1</v>
      </c>
      <c r="CC52" s="46">
        <v>1</v>
      </c>
      <c r="CD52" s="46">
        <v>0</v>
      </c>
      <c r="CE52" s="46">
        <v>1</v>
      </c>
      <c r="CF52" s="46">
        <v>52597</v>
      </c>
      <c r="CG52" s="46">
        <v>1711886848</v>
      </c>
      <c r="CH52" s="46">
        <v>127</v>
      </c>
      <c r="CI52" s="46">
        <v>1081</v>
      </c>
      <c r="CJ52" s="46">
        <v>543</v>
      </c>
      <c r="CK52" s="46">
        <v>1</v>
      </c>
      <c r="CL52" s="46">
        <v>81</v>
      </c>
      <c r="CM52" s="46">
        <v>1</v>
      </c>
      <c r="CN52" s="46">
        <v>1</v>
      </c>
      <c r="CO52" s="46">
        <v>0</v>
      </c>
      <c r="CP52" s="46">
        <v>-1610.6</v>
      </c>
      <c r="CQ52" s="46">
        <v>1</v>
      </c>
      <c r="CR52" s="46">
        <v>1</v>
      </c>
      <c r="CS52" s="46">
        <v>0</v>
      </c>
      <c r="CT52" s="46">
        <v>1</v>
      </c>
      <c r="CU52" s="46">
        <v>1</v>
      </c>
      <c r="CV52" s="46">
        <v>0</v>
      </c>
      <c r="CW52" s="46">
        <v>1</v>
      </c>
      <c r="CX52" s="46">
        <v>1</v>
      </c>
      <c r="CY52" s="50" t="s">
        <v>159</v>
      </c>
      <c r="CZ52" s="37"/>
      <c r="DA52" s="38"/>
    </row>
    <row r="53" spans="1:105" x14ac:dyDescent="0.25">
      <c r="A53" s="36">
        <v>50</v>
      </c>
      <c r="B53" s="46" t="s">
        <v>777</v>
      </c>
      <c r="C53" s="46">
        <v>42088</v>
      </c>
      <c r="D53" s="46">
        <v>49544</v>
      </c>
      <c r="E53" s="46">
        <v>3</v>
      </c>
      <c r="F53" s="46">
        <v>24</v>
      </c>
      <c r="G53" s="46">
        <v>-4</v>
      </c>
      <c r="H53" s="46">
        <v>5</v>
      </c>
      <c r="I53" s="46">
        <v>7.5999999999999998E-2</v>
      </c>
      <c r="J53" s="46">
        <v>1469</v>
      </c>
      <c r="K53" s="46">
        <v>230.17089999999999</v>
      </c>
      <c r="L53" s="46">
        <v>57.896599999999999</v>
      </c>
      <c r="M53" s="46">
        <v>1</v>
      </c>
      <c r="N53" s="46">
        <v>0</v>
      </c>
      <c r="O53" s="46">
        <v>310.21769999999998</v>
      </c>
      <c r="P53" s="46">
        <v>0</v>
      </c>
      <c r="Q53" s="56">
        <v>511</v>
      </c>
      <c r="R53" s="46">
        <v>1</v>
      </c>
      <c r="S53" s="46">
        <v>5779</v>
      </c>
      <c r="T53" s="46">
        <v>396668160</v>
      </c>
      <c r="U53" s="46">
        <v>22</v>
      </c>
      <c r="V53" s="46">
        <v>199</v>
      </c>
      <c r="W53" s="46">
        <v>247.18</v>
      </c>
      <c r="X53" s="46">
        <v>344.1979</v>
      </c>
      <c r="Y53" s="46">
        <v>0.01</v>
      </c>
      <c r="Z53" s="46">
        <v>-1731.6</v>
      </c>
      <c r="AA53" s="63">
        <v>3</v>
      </c>
      <c r="AB53" s="63">
        <v>24</v>
      </c>
      <c r="AC53" s="46">
        <v>15</v>
      </c>
      <c r="AD53" s="46">
        <v>107</v>
      </c>
      <c r="AE53" s="46">
        <v>4149</v>
      </c>
      <c r="AF53" s="46">
        <v>357223680</v>
      </c>
      <c r="AG53" s="37" t="s">
        <v>159</v>
      </c>
      <c r="AH53" s="37" t="s">
        <v>159</v>
      </c>
      <c r="AI53" s="37" t="s">
        <v>159</v>
      </c>
      <c r="AJ53" s="37" t="s">
        <v>159</v>
      </c>
      <c r="AK53" s="37" t="s">
        <v>159</v>
      </c>
      <c r="AL53" s="37" t="s">
        <v>159</v>
      </c>
      <c r="AM53" s="37" t="s">
        <v>159</v>
      </c>
      <c r="AN53" s="37" t="s">
        <v>159</v>
      </c>
      <c r="AO53" s="37" t="s">
        <v>159</v>
      </c>
      <c r="AP53" s="37" t="s">
        <v>159</v>
      </c>
      <c r="AQ53" s="37" t="s">
        <v>159</v>
      </c>
      <c r="AR53" s="37" t="s">
        <v>159</v>
      </c>
      <c r="AS53" s="37" t="s">
        <v>159</v>
      </c>
      <c r="AT53" s="37" t="s">
        <v>159</v>
      </c>
      <c r="AU53" s="37" t="s">
        <v>159</v>
      </c>
      <c r="AV53" s="37" t="s">
        <v>159</v>
      </c>
      <c r="AW53" s="37" t="s">
        <v>159</v>
      </c>
      <c r="AX53" s="37" t="s">
        <v>159</v>
      </c>
      <c r="AY53" s="37" t="s">
        <v>159</v>
      </c>
      <c r="AZ53" s="37" t="s">
        <v>159</v>
      </c>
      <c r="BA53" s="37" t="s">
        <v>159</v>
      </c>
      <c r="BB53" s="37" t="s">
        <v>159</v>
      </c>
      <c r="BC53" s="37" t="s">
        <v>159</v>
      </c>
      <c r="BD53" s="37" t="s">
        <v>159</v>
      </c>
      <c r="BE53" s="37" t="s">
        <v>159</v>
      </c>
      <c r="BF53" s="37" t="s">
        <v>159</v>
      </c>
      <c r="BG53" s="37" t="s">
        <v>159</v>
      </c>
      <c r="BH53" s="37" t="s">
        <v>159</v>
      </c>
      <c r="BI53" s="37" t="s">
        <v>159</v>
      </c>
      <c r="BJ53" s="37" t="s">
        <v>159</v>
      </c>
      <c r="BK53" s="37" t="s">
        <v>159</v>
      </c>
      <c r="BL53" s="37" t="s">
        <v>159</v>
      </c>
      <c r="BM53" s="37" t="s">
        <v>159</v>
      </c>
      <c r="BN53" s="37" t="s">
        <v>159</v>
      </c>
      <c r="BO53" s="37" t="s">
        <v>159</v>
      </c>
      <c r="BP53" s="46">
        <v>15</v>
      </c>
      <c r="BQ53" s="46">
        <v>57.896599999999999</v>
      </c>
      <c r="BR53" s="46">
        <v>-4</v>
      </c>
      <c r="BS53" s="46">
        <v>5</v>
      </c>
      <c r="BT53" s="46">
        <v>38</v>
      </c>
      <c r="BU53" s="46">
        <v>3</v>
      </c>
      <c r="BV53" s="46">
        <v>91</v>
      </c>
      <c r="BW53" s="46">
        <v>310.21769999999998</v>
      </c>
      <c r="BX53" s="46">
        <v>1469</v>
      </c>
      <c r="BY53" s="46">
        <v>247.18</v>
      </c>
      <c r="BZ53" s="46">
        <v>344.1979</v>
      </c>
      <c r="CA53" s="46">
        <v>1</v>
      </c>
      <c r="CB53" s="46">
        <v>0</v>
      </c>
      <c r="CC53" s="46">
        <v>1</v>
      </c>
      <c r="CD53" s="46">
        <v>107</v>
      </c>
      <c r="CE53" s="46">
        <v>1</v>
      </c>
      <c r="CF53" s="46">
        <v>4149</v>
      </c>
      <c r="CG53" s="46">
        <v>357223680</v>
      </c>
      <c r="CH53" s="46">
        <v>21</v>
      </c>
      <c r="CI53" s="46">
        <v>0</v>
      </c>
      <c r="CJ53" s="46">
        <v>0</v>
      </c>
      <c r="CK53" s="46">
        <v>1</v>
      </c>
      <c r="CL53" s="46">
        <v>15</v>
      </c>
      <c r="CM53" s="46">
        <v>0</v>
      </c>
      <c r="CN53" s="46">
        <v>0</v>
      </c>
      <c r="CO53" s="46">
        <v>0</v>
      </c>
      <c r="CP53" s="46">
        <v>-1731.6</v>
      </c>
      <c r="CQ53" s="46">
        <v>1</v>
      </c>
      <c r="CR53" s="46">
        <v>1</v>
      </c>
      <c r="CS53" s="46">
        <v>0</v>
      </c>
      <c r="CT53" s="46">
        <v>1</v>
      </c>
      <c r="CU53" s="46">
        <v>1</v>
      </c>
      <c r="CV53" s="46">
        <v>1</v>
      </c>
      <c r="CW53" s="46">
        <v>1</v>
      </c>
      <c r="CX53" s="46">
        <v>1</v>
      </c>
      <c r="CY53" s="50" t="s">
        <v>159</v>
      </c>
      <c r="CZ53" s="37"/>
      <c r="DA53" s="38"/>
    </row>
    <row r="54" spans="1:105" x14ac:dyDescent="0.25">
      <c r="A54" s="36">
        <v>51</v>
      </c>
      <c r="B54" s="46" t="s">
        <v>778</v>
      </c>
      <c r="C54" s="46">
        <v>20680</v>
      </c>
      <c r="D54" s="46">
        <v>29945</v>
      </c>
      <c r="E54" s="46">
        <v>4</v>
      </c>
      <c r="F54" s="46">
        <v>30</v>
      </c>
      <c r="G54" s="46">
        <v>5</v>
      </c>
      <c r="H54" s="46">
        <v>-7</v>
      </c>
      <c r="I54" s="46">
        <v>0.08</v>
      </c>
      <c r="J54" s="46">
        <v>1820</v>
      </c>
      <c r="K54" s="46">
        <v>260.33870000000002</v>
      </c>
      <c r="L54" s="46">
        <v>178.95269999999999</v>
      </c>
      <c r="M54" s="46">
        <v>1</v>
      </c>
      <c r="N54" s="46">
        <v>1</v>
      </c>
      <c r="O54" s="46">
        <v>167.5213</v>
      </c>
      <c r="P54" s="46">
        <v>0</v>
      </c>
      <c r="Q54" s="56">
        <v>120</v>
      </c>
      <c r="R54" s="46">
        <v>1</v>
      </c>
      <c r="S54" s="46">
        <v>5902</v>
      </c>
      <c r="T54" s="46">
        <v>866434048</v>
      </c>
      <c r="U54" s="46">
        <v>68</v>
      </c>
      <c r="V54" s="46">
        <v>205</v>
      </c>
      <c r="W54" s="46">
        <v>300.9332</v>
      </c>
      <c r="X54" s="46">
        <v>167.2002</v>
      </c>
      <c r="Y54" s="46">
        <v>0.05</v>
      </c>
      <c r="Z54" s="46">
        <v>-1852.6</v>
      </c>
      <c r="AA54" s="63">
        <v>4</v>
      </c>
      <c r="AB54" s="63">
        <v>30</v>
      </c>
      <c r="AC54" s="46">
        <v>14</v>
      </c>
      <c r="AD54" s="46">
        <v>112</v>
      </c>
      <c r="AE54" s="46">
        <v>14051</v>
      </c>
      <c r="AF54" s="46">
        <v>4214381568</v>
      </c>
      <c r="AG54" s="37" t="s">
        <v>159</v>
      </c>
      <c r="AH54" s="37" t="s">
        <v>159</v>
      </c>
      <c r="AI54" s="37" t="s">
        <v>159</v>
      </c>
      <c r="AJ54" s="37" t="s">
        <v>159</v>
      </c>
      <c r="AK54" s="37" t="s">
        <v>159</v>
      </c>
      <c r="AL54" s="37" t="s">
        <v>159</v>
      </c>
      <c r="AM54" s="37" t="s">
        <v>159</v>
      </c>
      <c r="AN54" s="37" t="s">
        <v>159</v>
      </c>
      <c r="AO54" s="37" t="s">
        <v>159</v>
      </c>
      <c r="AP54" s="37" t="s">
        <v>159</v>
      </c>
      <c r="AQ54" s="37" t="s">
        <v>159</v>
      </c>
      <c r="AR54" s="37" t="s">
        <v>159</v>
      </c>
      <c r="AS54" s="37" t="s">
        <v>159</v>
      </c>
      <c r="AT54" s="37" t="s">
        <v>159</v>
      </c>
      <c r="AU54" s="37" t="s">
        <v>159</v>
      </c>
      <c r="AV54" s="37" t="s">
        <v>159</v>
      </c>
      <c r="AW54" s="37" t="s">
        <v>159</v>
      </c>
      <c r="AX54" s="37" t="s">
        <v>159</v>
      </c>
      <c r="AY54" s="37" t="s">
        <v>159</v>
      </c>
      <c r="AZ54" s="37" t="s">
        <v>159</v>
      </c>
      <c r="BA54" s="37" t="s">
        <v>159</v>
      </c>
      <c r="BB54" s="37" t="s">
        <v>159</v>
      </c>
      <c r="BC54" s="37" t="s">
        <v>159</v>
      </c>
      <c r="BD54" s="37" t="s">
        <v>159</v>
      </c>
      <c r="BE54" s="37" t="s">
        <v>159</v>
      </c>
      <c r="BF54" s="37" t="s">
        <v>159</v>
      </c>
      <c r="BG54" s="37" t="s">
        <v>159</v>
      </c>
      <c r="BH54" s="37" t="s">
        <v>159</v>
      </c>
      <c r="BI54" s="37" t="s">
        <v>159</v>
      </c>
      <c r="BJ54" s="37" t="s">
        <v>159</v>
      </c>
      <c r="BK54" s="37" t="s">
        <v>159</v>
      </c>
      <c r="BL54" s="37" t="s">
        <v>159</v>
      </c>
      <c r="BM54" s="37" t="s">
        <v>159</v>
      </c>
      <c r="BN54" s="37" t="s">
        <v>159</v>
      </c>
      <c r="BO54" s="37" t="s">
        <v>159</v>
      </c>
      <c r="BP54" s="46">
        <v>14</v>
      </c>
      <c r="BQ54" s="46">
        <v>178.95269999999999</v>
      </c>
      <c r="BR54" s="46">
        <v>5</v>
      </c>
      <c r="BS54" s="46">
        <v>-7</v>
      </c>
      <c r="BT54" s="46">
        <v>100</v>
      </c>
      <c r="BU54" s="46">
        <v>72</v>
      </c>
      <c r="BV54" s="46">
        <v>23</v>
      </c>
      <c r="BW54" s="46">
        <v>167.5213</v>
      </c>
      <c r="BX54" s="46">
        <v>1820</v>
      </c>
      <c r="BY54" s="46">
        <v>300.9332</v>
      </c>
      <c r="BZ54" s="46">
        <v>167.2002</v>
      </c>
      <c r="CA54" s="46">
        <v>1</v>
      </c>
      <c r="CB54" s="46">
        <v>1</v>
      </c>
      <c r="CC54" s="46">
        <v>1</v>
      </c>
      <c r="CD54" s="46">
        <v>112</v>
      </c>
      <c r="CE54" s="46">
        <v>1</v>
      </c>
      <c r="CF54" s="46">
        <v>14051</v>
      </c>
      <c r="CG54" s="46">
        <v>4214381568</v>
      </c>
      <c r="CH54" s="46">
        <v>67</v>
      </c>
      <c r="CI54" s="46">
        <v>0</v>
      </c>
      <c r="CJ54" s="46">
        <v>0</v>
      </c>
      <c r="CK54" s="46">
        <v>1</v>
      </c>
      <c r="CL54" s="46">
        <v>14</v>
      </c>
      <c r="CM54" s="46">
        <v>0</v>
      </c>
      <c r="CN54" s="46">
        <v>0</v>
      </c>
      <c r="CO54" s="46">
        <v>0</v>
      </c>
      <c r="CP54" s="46">
        <v>-1852.6</v>
      </c>
      <c r="CQ54" s="46">
        <v>1</v>
      </c>
      <c r="CR54" s="46">
        <v>1</v>
      </c>
      <c r="CS54" s="46">
        <v>0</v>
      </c>
      <c r="CT54" s="46">
        <v>1</v>
      </c>
      <c r="CU54" s="46">
        <v>1</v>
      </c>
      <c r="CV54" s="46">
        <v>1</v>
      </c>
      <c r="CW54" s="46">
        <v>1</v>
      </c>
      <c r="CX54" s="46">
        <v>1</v>
      </c>
      <c r="CY54" s="50" t="s">
        <v>159</v>
      </c>
      <c r="CZ54" s="37"/>
      <c r="DA54" s="38"/>
    </row>
    <row r="55" spans="1:105" x14ac:dyDescent="0.25">
      <c r="A55" s="36">
        <v>52</v>
      </c>
      <c r="B55" s="46" t="s">
        <v>694</v>
      </c>
      <c r="C55" s="46">
        <v>54501</v>
      </c>
      <c r="D55" s="46">
        <v>13730</v>
      </c>
      <c r="E55" s="46">
        <v>2</v>
      </c>
      <c r="F55" s="46">
        <v>19</v>
      </c>
      <c r="G55" s="46">
        <v>-2</v>
      </c>
      <c r="H55" s="46">
        <v>-7</v>
      </c>
      <c r="I55" s="46">
        <v>8.4000000000000005E-2</v>
      </c>
      <c r="J55" s="46">
        <v>-446</v>
      </c>
      <c r="K55" s="46">
        <v>58.531500000000001</v>
      </c>
      <c r="L55" s="46">
        <v>121.76609999999999</v>
      </c>
      <c r="M55" s="46">
        <v>1</v>
      </c>
      <c r="N55" s="46">
        <v>1</v>
      </c>
      <c r="O55" s="46">
        <v>356.21449999999999</v>
      </c>
      <c r="P55" s="46">
        <v>0</v>
      </c>
      <c r="Q55" s="46">
        <v>7</v>
      </c>
      <c r="R55" s="56">
        <v>0</v>
      </c>
      <c r="S55" s="46">
        <v>6025</v>
      </c>
      <c r="T55" s="46">
        <v>3063975680</v>
      </c>
      <c r="U55" s="46">
        <v>159</v>
      </c>
      <c r="V55" s="46">
        <v>107</v>
      </c>
      <c r="W55" s="46">
        <v>123.0822</v>
      </c>
      <c r="X55" s="46">
        <v>142.56970000000001</v>
      </c>
      <c r="Y55" s="46">
        <v>0.09</v>
      </c>
      <c r="Z55" s="46">
        <v>-1973.6</v>
      </c>
      <c r="AA55" s="63">
        <v>2</v>
      </c>
      <c r="AB55" s="63">
        <v>19</v>
      </c>
      <c r="AC55" s="46">
        <v>13</v>
      </c>
      <c r="AD55" s="46">
        <v>117</v>
      </c>
      <c r="AE55" s="46">
        <v>42516</v>
      </c>
      <c r="AF55" s="46">
        <v>511160064</v>
      </c>
      <c r="AG55" s="37" t="s">
        <v>159</v>
      </c>
      <c r="AH55" s="37" t="s">
        <v>159</v>
      </c>
      <c r="AI55" s="37" t="s">
        <v>159</v>
      </c>
      <c r="AJ55" s="37" t="s">
        <v>159</v>
      </c>
      <c r="AK55" s="37" t="s">
        <v>159</v>
      </c>
      <c r="AL55" s="37" t="s">
        <v>159</v>
      </c>
      <c r="AM55" s="37" t="s">
        <v>159</v>
      </c>
      <c r="AN55" s="37" t="s">
        <v>159</v>
      </c>
      <c r="AO55" s="37" t="s">
        <v>159</v>
      </c>
      <c r="AP55" s="37" t="s">
        <v>159</v>
      </c>
      <c r="AQ55" s="37" t="s">
        <v>159</v>
      </c>
      <c r="AR55" s="37" t="s">
        <v>159</v>
      </c>
      <c r="AS55" s="37" t="s">
        <v>159</v>
      </c>
      <c r="AT55" s="37" t="s">
        <v>159</v>
      </c>
      <c r="AU55" s="37" t="s">
        <v>159</v>
      </c>
      <c r="AV55" s="37" t="s">
        <v>159</v>
      </c>
      <c r="AW55" s="37" t="s">
        <v>159</v>
      </c>
      <c r="AX55" s="37" t="s">
        <v>159</v>
      </c>
      <c r="AY55" s="37" t="s">
        <v>159</v>
      </c>
      <c r="AZ55" s="37" t="s">
        <v>159</v>
      </c>
      <c r="BA55" s="37" t="s">
        <v>159</v>
      </c>
      <c r="BB55" s="37" t="s">
        <v>159</v>
      </c>
      <c r="BC55" s="37" t="s">
        <v>159</v>
      </c>
      <c r="BD55" s="37" t="s">
        <v>159</v>
      </c>
      <c r="BE55" s="37" t="s">
        <v>159</v>
      </c>
      <c r="BF55" s="37" t="s">
        <v>159</v>
      </c>
      <c r="BG55" s="37" t="s">
        <v>159</v>
      </c>
      <c r="BH55" s="37" t="s">
        <v>159</v>
      </c>
      <c r="BI55" s="37" t="s">
        <v>159</v>
      </c>
      <c r="BJ55" s="37" t="s">
        <v>159</v>
      </c>
      <c r="BK55" s="37" t="s">
        <v>159</v>
      </c>
      <c r="BL55" s="37" t="s">
        <v>159</v>
      </c>
      <c r="BM55" s="37" t="s">
        <v>159</v>
      </c>
      <c r="BN55" s="37" t="s">
        <v>159</v>
      </c>
      <c r="BO55" s="37" t="s">
        <v>159</v>
      </c>
      <c r="BP55" s="46">
        <v>13</v>
      </c>
      <c r="BQ55" s="46">
        <v>121.76609999999999</v>
      </c>
      <c r="BR55" s="46">
        <v>-2</v>
      </c>
      <c r="BS55" s="46">
        <v>-7</v>
      </c>
      <c r="BT55" s="46">
        <v>59</v>
      </c>
      <c r="BU55" s="46">
        <v>107</v>
      </c>
      <c r="BV55" s="46">
        <v>79</v>
      </c>
      <c r="BW55" s="46">
        <v>356.21449999999999</v>
      </c>
      <c r="BX55" s="46">
        <v>-446</v>
      </c>
      <c r="BY55" s="46">
        <v>123.0822</v>
      </c>
      <c r="BZ55" s="46">
        <v>142.56970000000001</v>
      </c>
      <c r="CA55" s="46">
        <v>1</v>
      </c>
      <c r="CB55" s="46">
        <v>1</v>
      </c>
      <c r="CC55" s="46">
        <v>1</v>
      </c>
      <c r="CD55" s="46">
        <v>117</v>
      </c>
      <c r="CE55" s="46">
        <v>1</v>
      </c>
      <c r="CF55" s="46">
        <v>6025</v>
      </c>
      <c r="CG55" s="46">
        <v>3063975680</v>
      </c>
      <c r="CH55" s="46">
        <v>158</v>
      </c>
      <c r="CI55" s="46">
        <v>0</v>
      </c>
      <c r="CJ55" s="46">
        <v>0</v>
      </c>
      <c r="CK55" s="46">
        <v>1</v>
      </c>
      <c r="CL55" s="46">
        <v>13</v>
      </c>
      <c r="CM55" s="46">
        <v>0</v>
      </c>
      <c r="CN55" s="46">
        <v>0</v>
      </c>
      <c r="CO55" s="46">
        <v>0</v>
      </c>
      <c r="CP55" s="46">
        <v>-1973.6</v>
      </c>
      <c r="CQ55" s="46">
        <v>1</v>
      </c>
      <c r="CR55" s="46">
        <v>1</v>
      </c>
      <c r="CS55" s="46">
        <v>0</v>
      </c>
      <c r="CT55" s="46">
        <v>1</v>
      </c>
      <c r="CU55" s="46">
        <v>1</v>
      </c>
      <c r="CV55" s="46">
        <v>1</v>
      </c>
      <c r="CW55" s="46">
        <v>0</v>
      </c>
      <c r="CX55" s="46">
        <v>0</v>
      </c>
      <c r="CY55" s="50" t="s">
        <v>159</v>
      </c>
      <c r="CZ55" s="37"/>
      <c r="DA55" s="38"/>
    </row>
    <row r="56" spans="1:105" x14ac:dyDescent="0.25">
      <c r="A56" s="36">
        <v>53</v>
      </c>
      <c r="B56" s="46" t="s">
        <v>695</v>
      </c>
      <c r="C56" s="46">
        <v>40154</v>
      </c>
      <c r="D56" s="46">
        <v>21171</v>
      </c>
      <c r="E56" s="46">
        <v>0</v>
      </c>
      <c r="F56" s="46">
        <v>30</v>
      </c>
      <c r="G56" s="46">
        <v>5</v>
      </c>
      <c r="H56" s="46">
        <v>5</v>
      </c>
      <c r="I56" s="46">
        <v>8.7999999999999995E-2</v>
      </c>
      <c r="J56" s="46">
        <v>1826</v>
      </c>
      <c r="K56" s="46">
        <v>335.80200000000002</v>
      </c>
      <c r="L56" s="46">
        <v>74.817899999999995</v>
      </c>
      <c r="M56" s="46">
        <v>0</v>
      </c>
      <c r="N56" s="46">
        <v>0</v>
      </c>
      <c r="O56" s="46">
        <v>124.7607</v>
      </c>
      <c r="P56" s="46">
        <v>0</v>
      </c>
      <c r="Q56" s="46">
        <v>19</v>
      </c>
      <c r="R56" s="56">
        <v>1</v>
      </c>
      <c r="S56" s="46">
        <v>6148</v>
      </c>
      <c r="T56" s="46">
        <v>2562266624</v>
      </c>
      <c r="U56" s="46">
        <v>207</v>
      </c>
      <c r="V56" s="46">
        <v>117</v>
      </c>
      <c r="W56" s="46">
        <v>322.84699999999998</v>
      </c>
      <c r="X56" s="46">
        <v>55.769500000000001</v>
      </c>
      <c r="Y56" s="46">
        <v>0.13</v>
      </c>
      <c r="Z56" s="46">
        <v>-2094.6</v>
      </c>
      <c r="AA56" s="63">
        <v>0</v>
      </c>
      <c r="AB56" s="63">
        <v>30</v>
      </c>
      <c r="AC56" s="46">
        <v>12</v>
      </c>
      <c r="AD56" s="46">
        <v>122</v>
      </c>
      <c r="AE56" s="46">
        <v>40652</v>
      </c>
      <c r="AF56" s="46">
        <v>632534528</v>
      </c>
      <c r="AG56" s="37" t="s">
        <v>159</v>
      </c>
      <c r="AH56" s="37" t="s">
        <v>159</v>
      </c>
      <c r="AI56" s="37" t="s">
        <v>159</v>
      </c>
      <c r="AJ56" s="37" t="s">
        <v>159</v>
      </c>
      <c r="AK56" s="37" t="s">
        <v>159</v>
      </c>
      <c r="AL56" s="37" t="s">
        <v>159</v>
      </c>
      <c r="AM56" s="37" t="s">
        <v>159</v>
      </c>
      <c r="AN56" s="37" t="s">
        <v>159</v>
      </c>
      <c r="AO56" s="37" t="s">
        <v>159</v>
      </c>
      <c r="AP56" s="37" t="s">
        <v>159</v>
      </c>
      <c r="AQ56" s="37" t="s">
        <v>159</v>
      </c>
      <c r="AR56" s="37" t="s">
        <v>159</v>
      </c>
      <c r="AS56" s="37" t="s">
        <v>159</v>
      </c>
      <c r="AT56" s="37" t="s">
        <v>159</v>
      </c>
      <c r="AU56" s="37" t="s">
        <v>159</v>
      </c>
      <c r="AV56" s="37" t="s">
        <v>159</v>
      </c>
      <c r="AW56" s="37" t="s">
        <v>159</v>
      </c>
      <c r="AX56" s="37" t="s">
        <v>159</v>
      </c>
      <c r="AY56" s="37" t="s">
        <v>159</v>
      </c>
      <c r="AZ56" s="37" t="s">
        <v>159</v>
      </c>
      <c r="BA56" s="37" t="s">
        <v>159</v>
      </c>
      <c r="BB56" s="37" t="s">
        <v>159</v>
      </c>
      <c r="BC56" s="37" t="s">
        <v>159</v>
      </c>
      <c r="BD56" s="37" t="s">
        <v>159</v>
      </c>
      <c r="BE56" s="37" t="s">
        <v>159</v>
      </c>
      <c r="BF56" s="37" t="s">
        <v>159</v>
      </c>
      <c r="BG56" s="37" t="s">
        <v>159</v>
      </c>
      <c r="BH56" s="37" t="s">
        <v>159</v>
      </c>
      <c r="BI56" s="37" t="s">
        <v>159</v>
      </c>
      <c r="BJ56" s="37" t="s">
        <v>159</v>
      </c>
      <c r="BK56" s="37" t="s">
        <v>159</v>
      </c>
      <c r="BL56" s="37" t="s">
        <v>159</v>
      </c>
      <c r="BM56" s="37" t="s">
        <v>159</v>
      </c>
      <c r="BN56" s="37" t="s">
        <v>159</v>
      </c>
      <c r="BO56" s="37" t="s">
        <v>159</v>
      </c>
      <c r="BP56" s="46">
        <v>12</v>
      </c>
      <c r="BQ56" s="46">
        <v>74.817899999999995</v>
      </c>
      <c r="BR56" s="46">
        <v>5</v>
      </c>
      <c r="BS56" s="46">
        <v>5</v>
      </c>
      <c r="BT56" s="46">
        <v>94</v>
      </c>
      <c r="BU56" s="46">
        <v>3</v>
      </c>
      <c r="BV56" s="46">
        <v>16</v>
      </c>
      <c r="BW56" s="46">
        <v>124.7607</v>
      </c>
      <c r="BX56" s="46">
        <v>1826</v>
      </c>
      <c r="BY56" s="46">
        <v>322.84699999999998</v>
      </c>
      <c r="BZ56" s="46">
        <v>55.769500000000001</v>
      </c>
      <c r="CA56" s="46">
        <v>0</v>
      </c>
      <c r="CB56" s="46">
        <v>0</v>
      </c>
      <c r="CC56" s="46">
        <v>1</v>
      </c>
      <c r="CD56" s="46">
        <v>122</v>
      </c>
      <c r="CE56" s="46">
        <v>1</v>
      </c>
      <c r="CF56" s="46">
        <v>40652</v>
      </c>
      <c r="CG56" s="46">
        <v>632534528</v>
      </c>
      <c r="CH56" s="46">
        <v>206</v>
      </c>
      <c r="CI56" s="46">
        <v>0</v>
      </c>
      <c r="CJ56" s="46">
        <v>0</v>
      </c>
      <c r="CK56" s="46">
        <v>1</v>
      </c>
      <c r="CL56" s="46">
        <v>12</v>
      </c>
      <c r="CM56" s="46">
        <v>0</v>
      </c>
      <c r="CN56" s="46">
        <v>0</v>
      </c>
      <c r="CO56" s="46">
        <v>0</v>
      </c>
      <c r="CP56" s="46">
        <v>-2094.6</v>
      </c>
      <c r="CQ56" s="46">
        <v>1</v>
      </c>
      <c r="CR56" s="46">
        <v>1</v>
      </c>
      <c r="CS56" s="46">
        <v>0</v>
      </c>
      <c r="CT56" s="46">
        <v>1</v>
      </c>
      <c r="CU56" s="46">
        <v>1</v>
      </c>
      <c r="CV56" s="46">
        <v>1</v>
      </c>
      <c r="CW56" s="46">
        <v>1</v>
      </c>
      <c r="CX56" s="46">
        <v>1</v>
      </c>
      <c r="CY56" s="50" t="s">
        <v>159</v>
      </c>
      <c r="CZ56" s="37"/>
      <c r="DA56" s="38"/>
    </row>
    <row r="57" spans="1:105" x14ac:dyDescent="0.25">
      <c r="A57" s="36">
        <v>54</v>
      </c>
      <c r="B57" s="46" t="s">
        <v>779</v>
      </c>
      <c r="C57" s="46">
        <v>48393</v>
      </c>
      <c r="D57" s="46">
        <v>4817</v>
      </c>
      <c r="E57" s="46">
        <v>4</v>
      </c>
      <c r="F57" s="46">
        <v>20</v>
      </c>
      <c r="G57" s="46">
        <v>4</v>
      </c>
      <c r="H57" s="46">
        <v>10</v>
      </c>
      <c r="I57" s="46">
        <v>9.1999999999999998E-2</v>
      </c>
      <c r="J57" s="46">
        <v>1061</v>
      </c>
      <c r="K57" s="46">
        <v>126.657</v>
      </c>
      <c r="L57" s="46">
        <v>306.00729999999999</v>
      </c>
      <c r="M57" s="46">
        <v>1</v>
      </c>
      <c r="N57" s="46">
        <v>1</v>
      </c>
      <c r="O57" s="46">
        <v>325.923</v>
      </c>
      <c r="P57" s="46">
        <v>1</v>
      </c>
      <c r="Q57" s="46">
        <v>31</v>
      </c>
      <c r="R57" s="46">
        <v>1</v>
      </c>
      <c r="S57" s="56">
        <v>0</v>
      </c>
      <c r="T57" s="46">
        <v>2868920320</v>
      </c>
      <c r="U57" s="46">
        <v>73</v>
      </c>
      <c r="V57" s="46">
        <v>146</v>
      </c>
      <c r="W57" s="46">
        <v>305.11009999999999</v>
      </c>
      <c r="X57" s="46">
        <v>193.0926</v>
      </c>
      <c r="Y57" s="46">
        <v>0.17</v>
      </c>
      <c r="Z57" s="46">
        <v>-2215.6</v>
      </c>
      <c r="AA57" s="63">
        <v>4</v>
      </c>
      <c r="AB57" s="63">
        <v>20</v>
      </c>
      <c r="AC57" s="46">
        <v>11</v>
      </c>
      <c r="AD57" s="46">
        <v>127</v>
      </c>
      <c r="AE57" s="46">
        <v>4490</v>
      </c>
      <c r="AF57" s="46">
        <v>1892671488</v>
      </c>
      <c r="AG57" s="37" t="s">
        <v>159</v>
      </c>
      <c r="AH57" s="37" t="s">
        <v>159</v>
      </c>
      <c r="AI57" s="37" t="s">
        <v>159</v>
      </c>
      <c r="AJ57" s="37" t="s">
        <v>159</v>
      </c>
      <c r="AK57" s="37" t="s">
        <v>159</v>
      </c>
      <c r="AL57" s="37" t="s">
        <v>159</v>
      </c>
      <c r="AM57" s="37" t="s">
        <v>159</v>
      </c>
      <c r="AN57" s="37" t="s">
        <v>159</v>
      </c>
      <c r="AO57" s="37" t="s">
        <v>159</v>
      </c>
      <c r="AP57" s="37" t="s">
        <v>159</v>
      </c>
      <c r="AQ57" s="37" t="s">
        <v>159</v>
      </c>
      <c r="AR57" s="37" t="s">
        <v>159</v>
      </c>
      <c r="AS57" s="37" t="s">
        <v>159</v>
      </c>
      <c r="AT57" s="37" t="s">
        <v>159</v>
      </c>
      <c r="AU57" s="37" t="s">
        <v>159</v>
      </c>
      <c r="AV57" s="37" t="s">
        <v>159</v>
      </c>
      <c r="AW57" s="37" t="s">
        <v>159</v>
      </c>
      <c r="AX57" s="37" t="s">
        <v>159</v>
      </c>
      <c r="AY57" s="37" t="s">
        <v>159</v>
      </c>
      <c r="AZ57" s="37" t="s">
        <v>159</v>
      </c>
      <c r="BA57" s="37" t="s">
        <v>159</v>
      </c>
      <c r="BB57" s="37" t="s">
        <v>159</v>
      </c>
      <c r="BC57" s="37" t="s">
        <v>159</v>
      </c>
      <c r="BD57" s="37" t="s">
        <v>159</v>
      </c>
      <c r="BE57" s="37" t="s">
        <v>159</v>
      </c>
      <c r="BF57" s="37" t="s">
        <v>159</v>
      </c>
      <c r="BG57" s="37" t="s">
        <v>159</v>
      </c>
      <c r="BH57" s="37" t="s">
        <v>159</v>
      </c>
      <c r="BI57" s="37" t="s">
        <v>159</v>
      </c>
      <c r="BJ57" s="37" t="s">
        <v>159</v>
      </c>
      <c r="BK57" s="37" t="s">
        <v>159</v>
      </c>
      <c r="BL57" s="37" t="s">
        <v>159</v>
      </c>
      <c r="BM57" s="37" t="s">
        <v>159</v>
      </c>
      <c r="BN57" s="37" t="s">
        <v>159</v>
      </c>
      <c r="BO57" s="37" t="s">
        <v>159</v>
      </c>
      <c r="BP57" s="46">
        <v>11</v>
      </c>
      <c r="BQ57" s="46">
        <v>306.00729999999999</v>
      </c>
      <c r="BR57" s="46">
        <v>4</v>
      </c>
      <c r="BS57" s="46">
        <v>10</v>
      </c>
      <c r="BT57" s="46">
        <v>97</v>
      </c>
      <c r="BU57" s="46">
        <v>27</v>
      </c>
      <c r="BV57" s="46">
        <v>117</v>
      </c>
      <c r="BW57" s="46">
        <v>325.923</v>
      </c>
      <c r="BX57" s="46">
        <v>1061</v>
      </c>
      <c r="BY57" s="46">
        <v>305.11009999999999</v>
      </c>
      <c r="BZ57" s="46">
        <v>193.0926</v>
      </c>
      <c r="CA57" s="46">
        <v>1</v>
      </c>
      <c r="CB57" s="46">
        <v>1</v>
      </c>
      <c r="CC57" s="46">
        <v>1</v>
      </c>
      <c r="CD57" s="46">
        <v>31</v>
      </c>
      <c r="CE57" s="46">
        <v>1</v>
      </c>
      <c r="CF57" s="46">
        <v>4490</v>
      </c>
      <c r="CG57" s="46">
        <v>1892671488</v>
      </c>
      <c r="CH57" s="46">
        <v>72</v>
      </c>
      <c r="CI57" s="46">
        <v>0</v>
      </c>
      <c r="CJ57" s="46">
        <v>0</v>
      </c>
      <c r="CK57" s="46">
        <v>1</v>
      </c>
      <c r="CL57" s="46">
        <v>11</v>
      </c>
      <c r="CM57" s="46">
        <v>0</v>
      </c>
      <c r="CN57" s="46">
        <v>0</v>
      </c>
      <c r="CO57" s="46">
        <v>0</v>
      </c>
      <c r="CP57" s="46">
        <v>-2215.6</v>
      </c>
      <c r="CQ57" s="46">
        <v>1</v>
      </c>
      <c r="CR57" s="46">
        <v>1</v>
      </c>
      <c r="CS57" s="46">
        <v>0</v>
      </c>
      <c r="CT57" s="46">
        <v>1</v>
      </c>
      <c r="CU57" s="46">
        <v>1</v>
      </c>
      <c r="CV57" s="46">
        <v>0</v>
      </c>
      <c r="CW57" s="46">
        <v>1</v>
      </c>
      <c r="CX57" s="46">
        <v>1</v>
      </c>
      <c r="CY57" s="50" t="s">
        <v>159</v>
      </c>
      <c r="CZ57" s="37"/>
      <c r="DA57" s="38"/>
    </row>
    <row r="58" spans="1:105" x14ac:dyDescent="0.25">
      <c r="A58" s="36">
        <v>55</v>
      </c>
      <c r="B58" s="46" t="s">
        <v>780</v>
      </c>
      <c r="C58" s="46">
        <v>6705</v>
      </c>
      <c r="D58" s="46">
        <v>3883</v>
      </c>
      <c r="E58" s="46">
        <v>3</v>
      </c>
      <c r="F58" s="46">
        <v>23</v>
      </c>
      <c r="G58" s="46">
        <v>-5</v>
      </c>
      <c r="H58" s="46">
        <v>-11</v>
      </c>
      <c r="I58" s="46">
        <v>9.6000000000000002E-2</v>
      </c>
      <c r="J58" s="46">
        <v>1724</v>
      </c>
      <c r="K58" s="46">
        <v>321.72550000000001</v>
      </c>
      <c r="L58" s="46">
        <v>184.8896</v>
      </c>
      <c r="M58" s="46">
        <v>1</v>
      </c>
      <c r="N58" s="46">
        <v>1</v>
      </c>
      <c r="O58" s="46">
        <v>92.620999999999995</v>
      </c>
      <c r="P58" s="46">
        <v>0</v>
      </c>
      <c r="Q58" s="46">
        <v>43</v>
      </c>
      <c r="R58" s="46">
        <v>1</v>
      </c>
      <c r="S58" s="56">
        <v>65535</v>
      </c>
      <c r="T58" s="46">
        <v>329122560</v>
      </c>
      <c r="U58" s="46">
        <v>138</v>
      </c>
      <c r="V58" s="46">
        <v>98</v>
      </c>
      <c r="W58" s="46">
        <v>333.44439999999997</v>
      </c>
      <c r="X58" s="46">
        <v>74.851600000000005</v>
      </c>
      <c r="Y58" s="46">
        <v>0.21</v>
      </c>
      <c r="Z58" s="46">
        <v>-2336.6</v>
      </c>
      <c r="AA58" s="63">
        <v>3</v>
      </c>
      <c r="AB58" s="63">
        <v>23</v>
      </c>
      <c r="AC58" s="46">
        <v>10</v>
      </c>
      <c r="AD58" s="46">
        <v>132</v>
      </c>
      <c r="AE58" s="46">
        <v>47151</v>
      </c>
      <c r="AF58" s="46">
        <v>145695488</v>
      </c>
      <c r="AG58" s="37" t="s">
        <v>159</v>
      </c>
      <c r="AH58" s="37" t="s">
        <v>159</v>
      </c>
      <c r="AI58" s="37" t="s">
        <v>159</v>
      </c>
      <c r="AJ58" s="37" t="s">
        <v>159</v>
      </c>
      <c r="AK58" s="37" t="s">
        <v>159</v>
      </c>
      <c r="AL58" s="37" t="s">
        <v>159</v>
      </c>
      <c r="AM58" s="37" t="s">
        <v>159</v>
      </c>
      <c r="AN58" s="37" t="s">
        <v>159</v>
      </c>
      <c r="AO58" s="37" t="s">
        <v>159</v>
      </c>
      <c r="AP58" s="37" t="s">
        <v>159</v>
      </c>
      <c r="AQ58" s="37" t="s">
        <v>159</v>
      </c>
      <c r="AR58" s="37" t="s">
        <v>159</v>
      </c>
      <c r="AS58" s="37" t="s">
        <v>159</v>
      </c>
      <c r="AT58" s="37" t="s">
        <v>159</v>
      </c>
      <c r="AU58" s="37" t="s">
        <v>159</v>
      </c>
      <c r="AV58" s="37" t="s">
        <v>159</v>
      </c>
      <c r="AW58" s="37" t="s">
        <v>159</v>
      </c>
      <c r="AX58" s="37" t="s">
        <v>159</v>
      </c>
      <c r="AY58" s="37" t="s">
        <v>159</v>
      </c>
      <c r="AZ58" s="37" t="s">
        <v>159</v>
      </c>
      <c r="BA58" s="37" t="s">
        <v>159</v>
      </c>
      <c r="BB58" s="37" t="s">
        <v>159</v>
      </c>
      <c r="BC58" s="37" t="s">
        <v>159</v>
      </c>
      <c r="BD58" s="37" t="s">
        <v>159</v>
      </c>
      <c r="BE58" s="37" t="s">
        <v>159</v>
      </c>
      <c r="BF58" s="37" t="s">
        <v>159</v>
      </c>
      <c r="BG58" s="37" t="s">
        <v>159</v>
      </c>
      <c r="BH58" s="37" t="s">
        <v>159</v>
      </c>
      <c r="BI58" s="37" t="s">
        <v>159</v>
      </c>
      <c r="BJ58" s="37" t="s">
        <v>159</v>
      </c>
      <c r="BK58" s="37" t="s">
        <v>159</v>
      </c>
      <c r="BL58" s="37" t="s">
        <v>159</v>
      </c>
      <c r="BM58" s="37" t="s">
        <v>159</v>
      </c>
      <c r="BN58" s="37" t="s">
        <v>159</v>
      </c>
      <c r="BO58" s="37" t="s">
        <v>159</v>
      </c>
      <c r="BP58" s="46">
        <v>10</v>
      </c>
      <c r="BQ58" s="46">
        <v>184.8896</v>
      </c>
      <c r="BR58" s="46">
        <v>-5</v>
      </c>
      <c r="BS58" s="46">
        <v>-11</v>
      </c>
      <c r="BT58" s="46">
        <v>87</v>
      </c>
      <c r="BU58" s="46">
        <v>128</v>
      </c>
      <c r="BV58" s="46">
        <v>1</v>
      </c>
      <c r="BW58" s="46">
        <v>92.620999999999995</v>
      </c>
      <c r="BX58" s="46">
        <v>1724</v>
      </c>
      <c r="BY58" s="46">
        <v>333.44439999999997</v>
      </c>
      <c r="BZ58" s="46">
        <v>74.851600000000005</v>
      </c>
      <c r="CA58" s="46">
        <v>1</v>
      </c>
      <c r="CB58" s="46">
        <v>1</v>
      </c>
      <c r="CC58" s="46">
        <v>1</v>
      </c>
      <c r="CD58" s="46">
        <v>132</v>
      </c>
      <c r="CE58" s="46">
        <v>1</v>
      </c>
      <c r="CF58" s="46">
        <v>47151</v>
      </c>
      <c r="CG58" s="46">
        <v>145695488</v>
      </c>
      <c r="CH58" s="46">
        <v>137</v>
      </c>
      <c r="CI58" s="46">
        <v>0</v>
      </c>
      <c r="CJ58" s="46">
        <v>0</v>
      </c>
      <c r="CK58" s="46">
        <v>1</v>
      </c>
      <c r="CL58" s="46">
        <v>10</v>
      </c>
      <c r="CM58" s="46">
        <v>0</v>
      </c>
      <c r="CN58" s="46">
        <v>0</v>
      </c>
      <c r="CO58" s="46">
        <v>0</v>
      </c>
      <c r="CP58" s="46">
        <v>-2336.6</v>
      </c>
      <c r="CQ58" s="46">
        <v>1</v>
      </c>
      <c r="CR58" s="46">
        <v>1</v>
      </c>
      <c r="CS58" s="46">
        <v>0</v>
      </c>
      <c r="CT58" s="46">
        <v>1</v>
      </c>
      <c r="CU58" s="46">
        <v>1</v>
      </c>
      <c r="CV58" s="46">
        <v>1</v>
      </c>
      <c r="CW58" s="46">
        <v>1</v>
      </c>
      <c r="CX58" s="46">
        <v>1</v>
      </c>
      <c r="CY58" s="50" t="s">
        <v>159</v>
      </c>
      <c r="CZ58" s="37"/>
      <c r="DA58" s="38"/>
    </row>
    <row r="59" spans="1:105" x14ac:dyDescent="0.25">
      <c r="A59" s="36">
        <v>56</v>
      </c>
      <c r="B59" s="46" t="s">
        <v>781</v>
      </c>
      <c r="C59" s="46">
        <v>28357</v>
      </c>
      <c r="D59" s="46">
        <v>60647</v>
      </c>
      <c r="E59" s="46">
        <v>1</v>
      </c>
      <c r="F59" s="46">
        <v>7</v>
      </c>
      <c r="G59" s="46">
        <v>-3</v>
      </c>
      <c r="H59" s="46">
        <v>3</v>
      </c>
      <c r="I59" s="46">
        <v>0.1</v>
      </c>
      <c r="J59" s="46">
        <v>590</v>
      </c>
      <c r="K59" s="46">
        <v>40.024000000000001</v>
      </c>
      <c r="L59" s="46">
        <v>86.835300000000004</v>
      </c>
      <c r="M59" s="46">
        <v>1</v>
      </c>
      <c r="N59" s="46">
        <v>1</v>
      </c>
      <c r="O59" s="46">
        <v>9.9563000000000006</v>
      </c>
      <c r="P59" s="46">
        <v>1</v>
      </c>
      <c r="Q59" s="46">
        <v>55</v>
      </c>
      <c r="R59" s="46">
        <v>0</v>
      </c>
      <c r="S59" s="56">
        <v>2453</v>
      </c>
      <c r="T59" s="46">
        <v>2022750720</v>
      </c>
      <c r="U59" s="46">
        <v>90</v>
      </c>
      <c r="V59" s="46">
        <v>2</v>
      </c>
      <c r="W59" s="46">
        <v>196.33170000000001</v>
      </c>
      <c r="X59" s="46">
        <v>319.29590000000002</v>
      </c>
      <c r="Y59" s="46">
        <v>0.25</v>
      </c>
      <c r="Z59" s="46">
        <v>-2457.6</v>
      </c>
      <c r="AA59" s="63">
        <v>1</v>
      </c>
      <c r="AB59" s="63">
        <v>7</v>
      </c>
      <c r="AC59" s="46">
        <v>9</v>
      </c>
      <c r="AD59" s="46">
        <v>137</v>
      </c>
      <c r="AE59" s="46">
        <v>49741</v>
      </c>
      <c r="AF59" s="46">
        <v>3319618048</v>
      </c>
      <c r="AG59" s="37" t="s">
        <v>159</v>
      </c>
      <c r="AH59" s="37" t="s">
        <v>159</v>
      </c>
      <c r="AI59" s="37" t="s">
        <v>159</v>
      </c>
      <c r="AJ59" s="37" t="s">
        <v>159</v>
      </c>
      <c r="AK59" s="37" t="s">
        <v>159</v>
      </c>
      <c r="AL59" s="37" t="s">
        <v>159</v>
      </c>
      <c r="AM59" s="37" t="s">
        <v>159</v>
      </c>
      <c r="AN59" s="37" t="s">
        <v>159</v>
      </c>
      <c r="AO59" s="37" t="s">
        <v>159</v>
      </c>
      <c r="AP59" s="37" t="s">
        <v>159</v>
      </c>
      <c r="AQ59" s="37" t="s">
        <v>159</v>
      </c>
      <c r="AR59" s="37" t="s">
        <v>159</v>
      </c>
      <c r="AS59" s="37" t="s">
        <v>159</v>
      </c>
      <c r="AT59" s="37" t="s">
        <v>159</v>
      </c>
      <c r="AU59" s="37" t="s">
        <v>159</v>
      </c>
      <c r="AV59" s="37" t="s">
        <v>159</v>
      </c>
      <c r="AW59" s="37" t="s">
        <v>159</v>
      </c>
      <c r="AX59" s="37" t="s">
        <v>159</v>
      </c>
      <c r="AY59" s="37" t="s">
        <v>159</v>
      </c>
      <c r="AZ59" s="37" t="s">
        <v>159</v>
      </c>
      <c r="BA59" s="37" t="s">
        <v>159</v>
      </c>
      <c r="BB59" s="37" t="s">
        <v>159</v>
      </c>
      <c r="BC59" s="37" t="s">
        <v>159</v>
      </c>
      <c r="BD59" s="37" t="s">
        <v>159</v>
      </c>
      <c r="BE59" s="37" t="s">
        <v>159</v>
      </c>
      <c r="BF59" s="37" t="s">
        <v>159</v>
      </c>
      <c r="BG59" s="37" t="s">
        <v>159</v>
      </c>
      <c r="BH59" s="37" t="s">
        <v>159</v>
      </c>
      <c r="BI59" s="37" t="s">
        <v>159</v>
      </c>
      <c r="BJ59" s="37" t="s">
        <v>159</v>
      </c>
      <c r="BK59" s="37" t="s">
        <v>159</v>
      </c>
      <c r="BL59" s="37" t="s">
        <v>159</v>
      </c>
      <c r="BM59" s="37" t="s">
        <v>159</v>
      </c>
      <c r="BN59" s="37" t="s">
        <v>159</v>
      </c>
      <c r="BO59" s="37" t="s">
        <v>159</v>
      </c>
      <c r="BP59" s="46">
        <v>9</v>
      </c>
      <c r="BQ59" s="46">
        <v>86.835300000000004</v>
      </c>
      <c r="BR59" s="46">
        <v>-3</v>
      </c>
      <c r="BS59" s="46">
        <v>3</v>
      </c>
      <c r="BT59" s="46">
        <v>85</v>
      </c>
      <c r="BU59" s="46">
        <v>5</v>
      </c>
      <c r="BV59" s="46">
        <v>2</v>
      </c>
      <c r="BW59" s="46">
        <v>9.9563000000000006</v>
      </c>
      <c r="BX59" s="46">
        <v>590</v>
      </c>
      <c r="BY59" s="46">
        <v>196.33170000000001</v>
      </c>
      <c r="BZ59" s="46">
        <v>319.29590000000002</v>
      </c>
      <c r="CA59" s="46">
        <v>1</v>
      </c>
      <c r="CB59" s="46">
        <v>1</v>
      </c>
      <c r="CC59" s="46">
        <v>1</v>
      </c>
      <c r="CD59" s="46">
        <v>55</v>
      </c>
      <c r="CE59" s="46">
        <v>1</v>
      </c>
      <c r="CF59" s="46">
        <v>2453</v>
      </c>
      <c r="CG59" s="46">
        <v>2022750720</v>
      </c>
      <c r="CH59" s="46">
        <v>89</v>
      </c>
      <c r="CI59" s="46">
        <v>3781</v>
      </c>
      <c r="CJ59" s="46">
        <v>3303</v>
      </c>
      <c r="CK59" s="46">
        <v>1</v>
      </c>
      <c r="CL59" s="46">
        <v>73</v>
      </c>
      <c r="CM59" s="46">
        <v>1</v>
      </c>
      <c r="CN59" s="46">
        <v>1</v>
      </c>
      <c r="CO59" s="46">
        <v>0</v>
      </c>
      <c r="CP59" s="46">
        <v>-2457.6</v>
      </c>
      <c r="CQ59" s="46">
        <v>1</v>
      </c>
      <c r="CR59" s="46">
        <v>1</v>
      </c>
      <c r="CS59" s="46">
        <v>0</v>
      </c>
      <c r="CT59" s="46">
        <v>1</v>
      </c>
      <c r="CU59" s="46">
        <v>1</v>
      </c>
      <c r="CV59" s="46">
        <v>0</v>
      </c>
      <c r="CW59" s="46">
        <v>0</v>
      </c>
      <c r="CX59" s="46">
        <v>0</v>
      </c>
      <c r="CY59" s="50" t="s">
        <v>159</v>
      </c>
      <c r="CZ59" s="37"/>
      <c r="DA59" s="38"/>
    </row>
    <row r="60" spans="1:105" x14ac:dyDescent="0.25">
      <c r="A60" s="36">
        <v>57</v>
      </c>
      <c r="B60" s="46" t="s">
        <v>691</v>
      </c>
      <c r="C60" s="46">
        <v>94</v>
      </c>
      <c r="D60" s="46">
        <v>94</v>
      </c>
      <c r="E60" s="46">
        <v>1</v>
      </c>
      <c r="F60" s="46">
        <v>0</v>
      </c>
      <c r="G60" s="46">
        <v>2</v>
      </c>
      <c r="H60" s="46">
        <v>7</v>
      </c>
      <c r="I60" s="46">
        <v>0.104</v>
      </c>
      <c r="J60" s="46">
        <v>-1155</v>
      </c>
      <c r="K60" s="46">
        <v>130.99420000000001</v>
      </c>
      <c r="L60" s="46">
        <v>66.436999999999998</v>
      </c>
      <c r="M60" s="46">
        <v>0</v>
      </c>
      <c r="N60" s="46">
        <v>0</v>
      </c>
      <c r="O60" s="46">
        <v>360</v>
      </c>
      <c r="P60" s="46">
        <v>0</v>
      </c>
      <c r="Q60" s="46">
        <v>67</v>
      </c>
      <c r="R60" s="46">
        <v>0</v>
      </c>
      <c r="S60" s="46">
        <v>5</v>
      </c>
      <c r="T60" s="46">
        <v>722181632</v>
      </c>
      <c r="U60" s="56">
        <v>0</v>
      </c>
      <c r="V60" s="46">
        <v>236</v>
      </c>
      <c r="W60" s="46">
        <v>185.2688</v>
      </c>
      <c r="X60" s="46">
        <v>252.07060000000001</v>
      </c>
      <c r="Y60" s="46">
        <v>0.28999999999999998</v>
      </c>
      <c r="Z60" s="46">
        <v>-2578.6</v>
      </c>
      <c r="AA60" s="63">
        <v>3</v>
      </c>
      <c r="AB60" s="63">
        <v>31</v>
      </c>
      <c r="AC60" s="46">
        <v>0</v>
      </c>
      <c r="AD60" s="46">
        <v>157</v>
      </c>
      <c r="AE60" s="46">
        <v>10622</v>
      </c>
      <c r="AF60" s="46">
        <v>4064951808</v>
      </c>
      <c r="AG60" s="37" t="s">
        <v>159</v>
      </c>
      <c r="AH60" s="37" t="s">
        <v>159</v>
      </c>
      <c r="AI60" s="37" t="s">
        <v>159</v>
      </c>
      <c r="AJ60" s="37" t="s">
        <v>159</v>
      </c>
      <c r="AK60" s="37" t="s">
        <v>159</v>
      </c>
      <c r="AL60" s="37" t="s">
        <v>159</v>
      </c>
      <c r="AM60" s="37" t="s">
        <v>159</v>
      </c>
      <c r="AN60" s="37" t="s">
        <v>159</v>
      </c>
      <c r="AO60" s="37" t="s">
        <v>159</v>
      </c>
      <c r="AP60" s="37" t="s">
        <v>159</v>
      </c>
      <c r="AQ60" s="37" t="s">
        <v>159</v>
      </c>
      <c r="AR60" s="37" t="s">
        <v>159</v>
      </c>
      <c r="AS60" s="37" t="s">
        <v>159</v>
      </c>
      <c r="AT60" s="37" t="s">
        <v>159</v>
      </c>
      <c r="AU60" s="37" t="s">
        <v>159</v>
      </c>
      <c r="AV60" s="37" t="s">
        <v>159</v>
      </c>
      <c r="AW60" s="37" t="s">
        <v>159</v>
      </c>
      <c r="AX60" s="37" t="s">
        <v>159</v>
      </c>
      <c r="AY60" s="37" t="s">
        <v>159</v>
      </c>
      <c r="AZ60" s="37" t="s">
        <v>159</v>
      </c>
      <c r="BA60" s="37" t="s">
        <v>159</v>
      </c>
      <c r="BB60" s="37" t="s">
        <v>159</v>
      </c>
      <c r="BC60" s="37" t="s">
        <v>159</v>
      </c>
      <c r="BD60" s="37" t="s">
        <v>159</v>
      </c>
      <c r="BE60" s="37" t="s">
        <v>159</v>
      </c>
      <c r="BF60" s="37" t="s">
        <v>159</v>
      </c>
      <c r="BG60" s="37" t="s">
        <v>159</v>
      </c>
      <c r="BH60" s="37" t="s">
        <v>159</v>
      </c>
      <c r="BI60" s="37" t="s">
        <v>159</v>
      </c>
      <c r="BJ60" s="37" t="s">
        <v>159</v>
      </c>
      <c r="BK60" s="37" t="s">
        <v>159</v>
      </c>
      <c r="BL60" s="37" t="s">
        <v>159</v>
      </c>
      <c r="BM60" s="37" t="s">
        <v>159</v>
      </c>
      <c r="BN60" s="37" t="s">
        <v>159</v>
      </c>
      <c r="BO60" s="37" t="s">
        <v>159</v>
      </c>
      <c r="BP60" s="46">
        <v>0</v>
      </c>
      <c r="BQ60" s="46">
        <v>8.26171875</v>
      </c>
      <c r="BR60" s="46">
        <v>3</v>
      </c>
      <c r="BS60" s="46">
        <v>7</v>
      </c>
      <c r="BT60" s="46">
        <v>109</v>
      </c>
      <c r="BU60" s="46">
        <v>0</v>
      </c>
      <c r="BV60" s="46">
        <v>0</v>
      </c>
      <c r="BW60" s="46">
        <v>8.26171875</v>
      </c>
      <c r="BX60" s="46">
        <v>1088.26171875</v>
      </c>
      <c r="BY60" s="46">
        <v>8.26171875</v>
      </c>
      <c r="BZ60" s="46">
        <v>8.26171875</v>
      </c>
      <c r="CA60" s="46">
        <v>1</v>
      </c>
      <c r="CB60" s="46">
        <v>1</v>
      </c>
      <c r="CC60" s="46">
        <v>1</v>
      </c>
      <c r="CD60" s="46">
        <v>157</v>
      </c>
      <c r="CE60" s="46">
        <v>0</v>
      </c>
      <c r="CF60" s="46">
        <v>5</v>
      </c>
      <c r="CG60" s="46">
        <v>722181632</v>
      </c>
      <c r="CH60" s="46">
        <v>1</v>
      </c>
      <c r="CI60" s="46">
        <v>94</v>
      </c>
      <c r="CJ60" s="46">
        <v>94</v>
      </c>
      <c r="CK60" s="46">
        <v>1</v>
      </c>
      <c r="CL60" s="46">
        <v>0</v>
      </c>
      <c r="CM60" s="46">
        <v>0</v>
      </c>
      <c r="CN60" s="46">
        <v>0</v>
      </c>
      <c r="CO60" s="46">
        <v>1</v>
      </c>
      <c r="CP60" s="46">
        <v>2528.26171875</v>
      </c>
      <c r="CQ60" s="46">
        <v>1</v>
      </c>
      <c r="CR60" s="46">
        <v>1</v>
      </c>
      <c r="CS60" s="46">
        <v>1</v>
      </c>
      <c r="CT60" s="46">
        <v>1</v>
      </c>
      <c r="CU60" s="46">
        <v>1</v>
      </c>
      <c r="CV60" s="46">
        <v>1</v>
      </c>
      <c r="CW60" s="46">
        <v>0</v>
      </c>
      <c r="CX60" s="46">
        <v>0</v>
      </c>
      <c r="CY60" s="50" t="s">
        <v>159</v>
      </c>
      <c r="CZ60" s="37"/>
      <c r="DA60" s="38"/>
    </row>
    <row r="61" spans="1:105" x14ac:dyDescent="0.25">
      <c r="A61" s="36">
        <v>58</v>
      </c>
      <c r="B61" s="46" t="s">
        <v>692</v>
      </c>
      <c r="C61" s="46">
        <v>49</v>
      </c>
      <c r="D61" s="46">
        <v>49</v>
      </c>
      <c r="E61" s="46">
        <v>1</v>
      </c>
      <c r="F61" s="46">
        <v>31</v>
      </c>
      <c r="G61" s="46">
        <v>-1</v>
      </c>
      <c r="H61" s="46">
        <v>6</v>
      </c>
      <c r="I61" s="46">
        <v>0.108</v>
      </c>
      <c r="J61" s="46">
        <v>-1532</v>
      </c>
      <c r="K61" s="46">
        <v>222.78210000000001</v>
      </c>
      <c r="L61" s="46">
        <v>338.0838</v>
      </c>
      <c r="M61" s="46">
        <v>0</v>
      </c>
      <c r="N61" s="46">
        <v>0</v>
      </c>
      <c r="O61" s="46">
        <v>113.99930000000001</v>
      </c>
      <c r="P61" s="46">
        <v>0</v>
      </c>
      <c r="Q61" s="46">
        <v>79</v>
      </c>
      <c r="R61" s="46">
        <v>0</v>
      </c>
      <c r="S61" s="46">
        <v>25</v>
      </c>
      <c r="T61" s="46">
        <v>2121525504</v>
      </c>
      <c r="U61" s="56">
        <v>255</v>
      </c>
      <c r="V61" s="46">
        <v>140</v>
      </c>
      <c r="W61" s="46">
        <v>1.2425999999999999</v>
      </c>
      <c r="X61" s="46">
        <v>45.940100000000001</v>
      </c>
      <c r="Y61" s="46">
        <v>0.33</v>
      </c>
      <c r="Z61" s="46">
        <v>-2699.6</v>
      </c>
      <c r="AA61" s="63">
        <v>1</v>
      </c>
      <c r="AB61" s="63">
        <v>31</v>
      </c>
      <c r="AC61" s="46">
        <v>0</v>
      </c>
      <c r="AD61" s="46">
        <v>162</v>
      </c>
      <c r="AE61" s="46">
        <v>41932</v>
      </c>
      <c r="AF61" s="46">
        <v>3946318080</v>
      </c>
      <c r="AG61" s="37" t="s">
        <v>159</v>
      </c>
      <c r="AH61" s="37" t="s">
        <v>159</v>
      </c>
      <c r="AI61" s="37" t="s">
        <v>159</v>
      </c>
      <c r="AJ61" s="37" t="s">
        <v>159</v>
      </c>
      <c r="AK61" s="37" t="s">
        <v>159</v>
      </c>
      <c r="AL61" s="37" t="s">
        <v>159</v>
      </c>
      <c r="AM61" s="37" t="s">
        <v>159</v>
      </c>
      <c r="AN61" s="37" t="s">
        <v>159</v>
      </c>
      <c r="AO61" s="37" t="s">
        <v>159</v>
      </c>
      <c r="AP61" s="37" t="s">
        <v>159</v>
      </c>
      <c r="AQ61" s="37" t="s">
        <v>159</v>
      </c>
      <c r="AR61" s="37" t="s">
        <v>159</v>
      </c>
      <c r="AS61" s="37" t="s">
        <v>159</v>
      </c>
      <c r="AT61" s="37" t="s">
        <v>159</v>
      </c>
      <c r="AU61" s="37" t="s">
        <v>159</v>
      </c>
      <c r="AV61" s="37" t="s">
        <v>159</v>
      </c>
      <c r="AW61" s="37" t="s">
        <v>159</v>
      </c>
      <c r="AX61" s="37" t="s">
        <v>159</v>
      </c>
      <c r="AY61" s="37" t="s">
        <v>159</v>
      </c>
      <c r="AZ61" s="37" t="s">
        <v>159</v>
      </c>
      <c r="BA61" s="37" t="s">
        <v>159</v>
      </c>
      <c r="BB61" s="37" t="s">
        <v>159</v>
      </c>
      <c r="BC61" s="37" t="s">
        <v>159</v>
      </c>
      <c r="BD61" s="37" t="s">
        <v>159</v>
      </c>
      <c r="BE61" s="37" t="s">
        <v>159</v>
      </c>
      <c r="BF61" s="37" t="s">
        <v>159</v>
      </c>
      <c r="BG61" s="37" t="s">
        <v>159</v>
      </c>
      <c r="BH61" s="37" t="s">
        <v>159</v>
      </c>
      <c r="BI61" s="37" t="s">
        <v>159</v>
      </c>
      <c r="BJ61" s="37" t="s">
        <v>159</v>
      </c>
      <c r="BK61" s="37" t="s">
        <v>159</v>
      </c>
      <c r="BL61" s="37" t="s">
        <v>159</v>
      </c>
      <c r="BM61" s="37" t="s">
        <v>159</v>
      </c>
      <c r="BN61" s="37" t="s">
        <v>159</v>
      </c>
      <c r="BO61" s="37" t="s">
        <v>159</v>
      </c>
      <c r="BP61" s="46">
        <v>0</v>
      </c>
      <c r="BQ61" s="46">
        <v>4.306640625</v>
      </c>
      <c r="BR61" s="46">
        <v>-1</v>
      </c>
      <c r="BS61" s="46">
        <v>7</v>
      </c>
      <c r="BT61" s="46">
        <v>109</v>
      </c>
      <c r="BU61" s="46">
        <v>0</v>
      </c>
      <c r="BV61" s="46">
        <v>0</v>
      </c>
      <c r="BW61" s="46">
        <v>4.306640625</v>
      </c>
      <c r="BX61" s="46">
        <v>-355.693359375</v>
      </c>
      <c r="BY61" s="46">
        <v>4.306640625</v>
      </c>
      <c r="BZ61" s="46">
        <v>4.306640625</v>
      </c>
      <c r="CA61" s="46">
        <v>1</v>
      </c>
      <c r="CB61" s="46">
        <v>1</v>
      </c>
      <c r="CC61" s="46">
        <v>1</v>
      </c>
      <c r="CD61" s="46">
        <v>162</v>
      </c>
      <c r="CE61" s="46">
        <v>0</v>
      </c>
      <c r="CF61" s="46">
        <v>25</v>
      </c>
      <c r="CG61" s="46">
        <v>2121525504</v>
      </c>
      <c r="CH61" s="46">
        <v>255</v>
      </c>
      <c r="CI61" s="46">
        <v>49</v>
      </c>
      <c r="CJ61" s="46">
        <v>49</v>
      </c>
      <c r="CK61" s="46">
        <v>1</v>
      </c>
      <c r="CL61" s="46">
        <v>0</v>
      </c>
      <c r="CM61" s="46">
        <v>0</v>
      </c>
      <c r="CN61" s="46">
        <v>0</v>
      </c>
      <c r="CO61" s="46">
        <v>1</v>
      </c>
      <c r="CP61" s="46">
        <v>2524.306640625</v>
      </c>
      <c r="CQ61" s="46">
        <v>1</v>
      </c>
      <c r="CR61" s="46">
        <v>1</v>
      </c>
      <c r="CS61" s="46">
        <v>1</v>
      </c>
      <c r="CT61" s="46">
        <v>1</v>
      </c>
      <c r="CU61" s="46">
        <v>1</v>
      </c>
      <c r="CV61" s="46">
        <v>1</v>
      </c>
      <c r="CW61" s="46">
        <v>0</v>
      </c>
      <c r="CX61" s="46">
        <v>0</v>
      </c>
      <c r="CY61" s="50" t="s">
        <v>159</v>
      </c>
      <c r="CZ61" s="37"/>
      <c r="DA61" s="38"/>
    </row>
    <row r="62" spans="1:105" x14ac:dyDescent="0.25">
      <c r="A62" s="36">
        <v>59</v>
      </c>
      <c r="B62" s="46" t="s">
        <v>693</v>
      </c>
      <c r="C62" s="46">
        <v>65055</v>
      </c>
      <c r="D62" s="46">
        <v>31791</v>
      </c>
      <c r="E62" s="46">
        <v>3</v>
      </c>
      <c r="F62" s="46">
        <v>19</v>
      </c>
      <c r="G62" s="46">
        <v>-1</v>
      </c>
      <c r="H62" s="46">
        <v>10</v>
      </c>
      <c r="I62" s="46">
        <v>0.112</v>
      </c>
      <c r="J62" s="46">
        <v>-38</v>
      </c>
      <c r="K62" s="46">
        <v>233.52449999999999</v>
      </c>
      <c r="L62" s="46">
        <v>195.67789999999999</v>
      </c>
      <c r="M62" s="46">
        <v>1</v>
      </c>
      <c r="N62" s="46">
        <v>1</v>
      </c>
      <c r="O62" s="46">
        <v>244.20160000000001</v>
      </c>
      <c r="P62" s="46">
        <v>1</v>
      </c>
      <c r="Q62" s="46">
        <v>91</v>
      </c>
      <c r="R62" s="46">
        <v>0</v>
      </c>
      <c r="S62" s="46">
        <v>45</v>
      </c>
      <c r="T62" s="46">
        <v>1462175744</v>
      </c>
      <c r="U62" s="56">
        <v>144</v>
      </c>
      <c r="V62" s="46">
        <v>182</v>
      </c>
      <c r="W62" s="46">
        <v>334.98930000000001</v>
      </c>
      <c r="X62" s="46">
        <v>277.83850000000001</v>
      </c>
      <c r="Y62" s="46">
        <v>0.37</v>
      </c>
      <c r="Z62" s="46">
        <v>-2820.6</v>
      </c>
      <c r="AA62" s="63">
        <v>3</v>
      </c>
      <c r="AB62" s="63">
        <v>19</v>
      </c>
      <c r="AC62" s="46">
        <v>3</v>
      </c>
      <c r="AD62" s="46">
        <v>167</v>
      </c>
      <c r="AE62" s="46">
        <v>17676</v>
      </c>
      <c r="AF62" s="46">
        <v>3378161664</v>
      </c>
      <c r="AG62" s="37" t="s">
        <v>159</v>
      </c>
      <c r="AH62" s="37" t="s">
        <v>159</v>
      </c>
      <c r="AI62" s="37" t="s">
        <v>159</v>
      </c>
      <c r="AJ62" s="37" t="s">
        <v>159</v>
      </c>
      <c r="AK62" s="37" t="s">
        <v>159</v>
      </c>
      <c r="AL62" s="37" t="s">
        <v>159</v>
      </c>
      <c r="AM62" s="37" t="s">
        <v>159</v>
      </c>
      <c r="AN62" s="37" t="s">
        <v>159</v>
      </c>
      <c r="AO62" s="37" t="s">
        <v>159</v>
      </c>
      <c r="AP62" s="37" t="s">
        <v>159</v>
      </c>
      <c r="AQ62" s="37" t="s">
        <v>159</v>
      </c>
      <c r="AR62" s="37" t="s">
        <v>159</v>
      </c>
      <c r="AS62" s="37" t="s">
        <v>159</v>
      </c>
      <c r="AT62" s="37" t="s">
        <v>159</v>
      </c>
      <c r="AU62" s="37" t="s">
        <v>159</v>
      </c>
      <c r="AV62" s="37" t="s">
        <v>159</v>
      </c>
      <c r="AW62" s="37" t="s">
        <v>159</v>
      </c>
      <c r="AX62" s="37" t="s">
        <v>159</v>
      </c>
      <c r="AY62" s="37" t="s">
        <v>159</v>
      </c>
      <c r="AZ62" s="37" t="s">
        <v>159</v>
      </c>
      <c r="BA62" s="37" t="s">
        <v>159</v>
      </c>
      <c r="BB62" s="37" t="s">
        <v>159</v>
      </c>
      <c r="BC62" s="37" t="s">
        <v>159</v>
      </c>
      <c r="BD62" s="37" t="s">
        <v>159</v>
      </c>
      <c r="BE62" s="37" t="s">
        <v>159</v>
      </c>
      <c r="BF62" s="37" t="s">
        <v>159</v>
      </c>
      <c r="BG62" s="37" t="s">
        <v>159</v>
      </c>
      <c r="BH62" s="37" t="s">
        <v>159</v>
      </c>
      <c r="BI62" s="37" t="s">
        <v>159</v>
      </c>
      <c r="BJ62" s="37" t="s">
        <v>159</v>
      </c>
      <c r="BK62" s="37" t="s">
        <v>159</v>
      </c>
      <c r="BL62" s="37" t="s">
        <v>159</v>
      </c>
      <c r="BM62" s="37" t="s">
        <v>159</v>
      </c>
      <c r="BN62" s="37" t="s">
        <v>159</v>
      </c>
      <c r="BO62" s="37" t="s">
        <v>159</v>
      </c>
      <c r="BP62" s="46">
        <v>3</v>
      </c>
      <c r="BQ62" s="46">
        <v>195.67789999999999</v>
      </c>
      <c r="BR62" s="46">
        <v>-1</v>
      </c>
      <c r="BS62" s="46">
        <v>10</v>
      </c>
      <c r="BT62" s="46">
        <v>1</v>
      </c>
      <c r="BU62" s="46">
        <v>51</v>
      </c>
      <c r="BV62" s="46">
        <v>18</v>
      </c>
      <c r="BW62" s="46">
        <v>244.20160000000001</v>
      </c>
      <c r="BX62" s="46">
        <v>-38</v>
      </c>
      <c r="BY62" s="46">
        <v>334.98930000000001</v>
      </c>
      <c r="BZ62" s="46">
        <v>277.83850000000001</v>
      </c>
      <c r="CA62" s="46">
        <v>1</v>
      </c>
      <c r="CB62" s="46">
        <v>1</v>
      </c>
      <c r="CC62" s="46">
        <v>1</v>
      </c>
      <c r="CD62" s="46">
        <v>91</v>
      </c>
      <c r="CE62" s="46">
        <v>1</v>
      </c>
      <c r="CF62" s="46">
        <v>45</v>
      </c>
      <c r="CG62" s="46">
        <v>1462175744</v>
      </c>
      <c r="CH62" s="46">
        <v>143</v>
      </c>
      <c r="CI62" s="46">
        <v>0</v>
      </c>
      <c r="CJ62" s="46">
        <v>0</v>
      </c>
      <c r="CK62" s="46">
        <v>1</v>
      </c>
      <c r="CL62" s="46">
        <v>3</v>
      </c>
      <c r="CM62" s="46">
        <v>0</v>
      </c>
      <c r="CN62" s="46">
        <v>0</v>
      </c>
      <c r="CO62" s="46">
        <v>0</v>
      </c>
      <c r="CP62" s="46">
        <v>-2820.6</v>
      </c>
      <c r="CQ62" s="46">
        <v>1</v>
      </c>
      <c r="CR62" s="46">
        <v>1</v>
      </c>
      <c r="CS62" s="46">
        <v>0</v>
      </c>
      <c r="CT62" s="46">
        <v>1</v>
      </c>
      <c r="CU62" s="46">
        <v>1</v>
      </c>
      <c r="CV62" s="46">
        <v>0</v>
      </c>
      <c r="CW62" s="46">
        <v>0</v>
      </c>
      <c r="CX62" s="46">
        <v>0</v>
      </c>
      <c r="CY62" s="50" t="s">
        <v>159</v>
      </c>
      <c r="CZ62" s="37"/>
      <c r="DA62" s="38"/>
    </row>
    <row r="63" spans="1:105" x14ac:dyDescent="0.25">
      <c r="A63" s="36">
        <v>60</v>
      </c>
      <c r="B63" s="46" t="s">
        <v>782</v>
      </c>
      <c r="C63" s="46">
        <v>27150</v>
      </c>
      <c r="D63" s="46">
        <v>43055</v>
      </c>
      <c r="E63" s="46">
        <v>4</v>
      </c>
      <c r="F63" s="46">
        <v>17</v>
      </c>
      <c r="G63" s="46">
        <v>-2</v>
      </c>
      <c r="H63" s="46">
        <v>-11</v>
      </c>
      <c r="I63" s="46">
        <v>0.11600000000000001</v>
      </c>
      <c r="J63" s="46">
        <v>1077</v>
      </c>
      <c r="K63" s="46">
        <v>205.66640000000001</v>
      </c>
      <c r="L63" s="46">
        <v>297.47989999999999</v>
      </c>
      <c r="M63" s="46">
        <v>1</v>
      </c>
      <c r="N63" s="46">
        <v>1</v>
      </c>
      <c r="O63" s="46">
        <v>127.84820000000001</v>
      </c>
      <c r="P63" s="46">
        <v>0</v>
      </c>
      <c r="Q63" s="46">
        <v>103</v>
      </c>
      <c r="R63" s="46">
        <v>1</v>
      </c>
      <c r="S63" s="46">
        <v>65</v>
      </c>
      <c r="T63" s="46">
        <v>71936768</v>
      </c>
      <c r="U63" s="46">
        <v>36</v>
      </c>
      <c r="V63" s="56">
        <v>0</v>
      </c>
      <c r="W63" s="46">
        <v>236.93219999999999</v>
      </c>
      <c r="X63" s="46">
        <v>267.8098</v>
      </c>
      <c r="Y63" s="46">
        <v>0.41</v>
      </c>
      <c r="Z63" s="46">
        <v>-2941.6</v>
      </c>
      <c r="AA63" s="63">
        <v>4</v>
      </c>
      <c r="AB63" s="63">
        <v>17</v>
      </c>
      <c r="AC63" s="46">
        <v>2</v>
      </c>
      <c r="AD63" s="46">
        <v>172</v>
      </c>
      <c r="AE63" s="46">
        <v>57544</v>
      </c>
      <c r="AF63" s="46">
        <v>2217659136</v>
      </c>
      <c r="AG63" s="37" t="s">
        <v>159</v>
      </c>
      <c r="AH63" s="37" t="s">
        <v>159</v>
      </c>
      <c r="AI63" s="37" t="s">
        <v>159</v>
      </c>
      <c r="AJ63" s="37" t="s">
        <v>159</v>
      </c>
      <c r="AK63" s="37" t="s">
        <v>159</v>
      </c>
      <c r="AL63" s="37" t="s">
        <v>159</v>
      </c>
      <c r="AM63" s="37" t="s">
        <v>159</v>
      </c>
      <c r="AN63" s="37" t="s">
        <v>159</v>
      </c>
      <c r="AO63" s="37" t="s">
        <v>159</v>
      </c>
      <c r="AP63" s="37" t="s">
        <v>159</v>
      </c>
      <c r="AQ63" s="37" t="s">
        <v>159</v>
      </c>
      <c r="AR63" s="37" t="s">
        <v>159</v>
      </c>
      <c r="AS63" s="37" t="s">
        <v>159</v>
      </c>
      <c r="AT63" s="37" t="s">
        <v>159</v>
      </c>
      <c r="AU63" s="37" t="s">
        <v>159</v>
      </c>
      <c r="AV63" s="37" t="s">
        <v>159</v>
      </c>
      <c r="AW63" s="37" t="s">
        <v>159</v>
      </c>
      <c r="AX63" s="37" t="s">
        <v>159</v>
      </c>
      <c r="AY63" s="37" t="s">
        <v>159</v>
      </c>
      <c r="AZ63" s="37" t="s">
        <v>159</v>
      </c>
      <c r="BA63" s="37" t="s">
        <v>159</v>
      </c>
      <c r="BB63" s="37" t="s">
        <v>159</v>
      </c>
      <c r="BC63" s="37" t="s">
        <v>159</v>
      </c>
      <c r="BD63" s="37" t="s">
        <v>159</v>
      </c>
      <c r="BE63" s="37" t="s">
        <v>159</v>
      </c>
      <c r="BF63" s="37" t="s">
        <v>159</v>
      </c>
      <c r="BG63" s="37" t="s">
        <v>159</v>
      </c>
      <c r="BH63" s="37" t="s">
        <v>159</v>
      </c>
      <c r="BI63" s="37" t="s">
        <v>159</v>
      </c>
      <c r="BJ63" s="37" t="s">
        <v>159</v>
      </c>
      <c r="BK63" s="37" t="s">
        <v>159</v>
      </c>
      <c r="BL63" s="37" t="s">
        <v>159</v>
      </c>
      <c r="BM63" s="37" t="s">
        <v>159</v>
      </c>
      <c r="BN63" s="37" t="s">
        <v>159</v>
      </c>
      <c r="BO63" s="37" t="s">
        <v>159</v>
      </c>
      <c r="BP63" s="46">
        <v>2</v>
      </c>
      <c r="BQ63" s="46">
        <v>297.47989999999999</v>
      </c>
      <c r="BR63" s="46">
        <v>-2</v>
      </c>
      <c r="BS63" s="46">
        <v>-11</v>
      </c>
      <c r="BT63" s="46">
        <v>85</v>
      </c>
      <c r="BU63" s="46">
        <v>34</v>
      </c>
      <c r="BV63" s="46">
        <v>21</v>
      </c>
      <c r="BW63" s="46">
        <v>127.84820000000001</v>
      </c>
      <c r="BX63" s="46">
        <v>1077</v>
      </c>
      <c r="BY63" s="46">
        <v>236.93219999999999</v>
      </c>
      <c r="BZ63" s="46">
        <v>267.8098</v>
      </c>
      <c r="CA63" s="46">
        <v>1</v>
      </c>
      <c r="CB63" s="46">
        <v>1</v>
      </c>
      <c r="CC63" s="46">
        <v>1</v>
      </c>
      <c r="CD63" s="46">
        <v>172</v>
      </c>
      <c r="CE63" s="46">
        <v>1</v>
      </c>
      <c r="CF63" s="46">
        <v>57544</v>
      </c>
      <c r="CG63" s="46">
        <v>2217659136</v>
      </c>
      <c r="CH63" s="46">
        <v>35</v>
      </c>
      <c r="CI63" s="46">
        <v>0</v>
      </c>
      <c r="CJ63" s="46">
        <v>0</v>
      </c>
      <c r="CK63" s="46">
        <v>1</v>
      </c>
      <c r="CL63" s="46">
        <v>2</v>
      </c>
      <c r="CM63" s="46">
        <v>0</v>
      </c>
      <c r="CN63" s="46">
        <v>0</v>
      </c>
      <c r="CO63" s="46">
        <v>0</v>
      </c>
      <c r="CP63" s="46">
        <v>-2941.6</v>
      </c>
      <c r="CQ63" s="46">
        <v>1</v>
      </c>
      <c r="CR63" s="46">
        <v>1</v>
      </c>
      <c r="CS63" s="46">
        <v>0</v>
      </c>
      <c r="CT63" s="46">
        <v>1</v>
      </c>
      <c r="CU63" s="46">
        <v>1</v>
      </c>
      <c r="CV63" s="46">
        <v>1</v>
      </c>
      <c r="CW63" s="46">
        <v>1</v>
      </c>
      <c r="CX63" s="46">
        <v>1</v>
      </c>
      <c r="CY63" s="50" t="s">
        <v>159</v>
      </c>
      <c r="CZ63" s="37"/>
      <c r="DA63" s="38"/>
    </row>
    <row r="64" spans="1:105" x14ac:dyDescent="0.25">
      <c r="A64" s="36">
        <v>61</v>
      </c>
      <c r="B64" s="46" t="s">
        <v>783</v>
      </c>
      <c r="C64" s="46">
        <v>50638</v>
      </c>
      <c r="D64" s="46">
        <v>8828</v>
      </c>
      <c r="E64" s="46">
        <v>0</v>
      </c>
      <c r="F64" s="46">
        <v>4</v>
      </c>
      <c r="G64" s="46">
        <v>-1</v>
      </c>
      <c r="H64" s="46">
        <v>5</v>
      </c>
      <c r="I64" s="46">
        <v>0.12</v>
      </c>
      <c r="J64" s="46">
        <v>498</v>
      </c>
      <c r="K64" s="46">
        <v>256.07080000000002</v>
      </c>
      <c r="L64" s="46">
        <v>223.75839999999999</v>
      </c>
      <c r="M64" s="46">
        <v>0</v>
      </c>
      <c r="N64" s="46">
        <v>0</v>
      </c>
      <c r="O64" s="46">
        <v>353.5856</v>
      </c>
      <c r="P64" s="46">
        <v>0</v>
      </c>
      <c r="Q64" s="46">
        <v>115</v>
      </c>
      <c r="R64" s="46">
        <v>1</v>
      </c>
      <c r="S64" s="46">
        <v>85</v>
      </c>
      <c r="T64" s="46">
        <v>1194181120</v>
      </c>
      <c r="U64" s="46">
        <v>135</v>
      </c>
      <c r="V64" s="56">
        <v>255</v>
      </c>
      <c r="W64" s="46">
        <v>325.99189999999999</v>
      </c>
      <c r="X64" s="46">
        <v>23.334099999999999</v>
      </c>
      <c r="Y64" s="46">
        <v>0.45</v>
      </c>
      <c r="Z64" s="46">
        <v>-3062.6</v>
      </c>
      <c r="AA64" s="63">
        <v>0</v>
      </c>
      <c r="AB64" s="63">
        <v>4</v>
      </c>
      <c r="AC64" s="46">
        <v>1</v>
      </c>
      <c r="AD64" s="46">
        <v>177</v>
      </c>
      <c r="AE64" s="46">
        <v>32545</v>
      </c>
      <c r="AF64" s="46">
        <v>1140744704</v>
      </c>
      <c r="AG64" s="37" t="s">
        <v>159</v>
      </c>
      <c r="AH64" s="37" t="s">
        <v>159</v>
      </c>
      <c r="AI64" s="37" t="s">
        <v>159</v>
      </c>
      <c r="AJ64" s="37" t="s">
        <v>159</v>
      </c>
      <c r="AK64" s="37" t="s">
        <v>159</v>
      </c>
      <c r="AL64" s="37" t="s">
        <v>159</v>
      </c>
      <c r="AM64" s="37" t="s">
        <v>159</v>
      </c>
      <c r="AN64" s="37" t="s">
        <v>159</v>
      </c>
      <c r="AO64" s="37" t="s">
        <v>159</v>
      </c>
      <c r="AP64" s="37" t="s">
        <v>159</v>
      </c>
      <c r="AQ64" s="37" t="s">
        <v>159</v>
      </c>
      <c r="AR64" s="37" t="s">
        <v>159</v>
      </c>
      <c r="AS64" s="37" t="s">
        <v>159</v>
      </c>
      <c r="AT64" s="37" t="s">
        <v>159</v>
      </c>
      <c r="AU64" s="37" t="s">
        <v>159</v>
      </c>
      <c r="AV64" s="37" t="s">
        <v>159</v>
      </c>
      <c r="AW64" s="37" t="s">
        <v>159</v>
      </c>
      <c r="AX64" s="37" t="s">
        <v>159</v>
      </c>
      <c r="AY64" s="37" t="s">
        <v>159</v>
      </c>
      <c r="AZ64" s="37" t="s">
        <v>159</v>
      </c>
      <c r="BA64" s="37" t="s">
        <v>159</v>
      </c>
      <c r="BB64" s="37" t="s">
        <v>159</v>
      </c>
      <c r="BC64" s="37" t="s">
        <v>159</v>
      </c>
      <c r="BD64" s="37" t="s">
        <v>159</v>
      </c>
      <c r="BE64" s="37" t="s">
        <v>159</v>
      </c>
      <c r="BF64" s="37" t="s">
        <v>159</v>
      </c>
      <c r="BG64" s="37" t="s">
        <v>159</v>
      </c>
      <c r="BH64" s="37" t="s">
        <v>159</v>
      </c>
      <c r="BI64" s="37" t="s">
        <v>159</v>
      </c>
      <c r="BJ64" s="37" t="s">
        <v>159</v>
      </c>
      <c r="BK64" s="37" t="s">
        <v>159</v>
      </c>
      <c r="BL64" s="37" t="s">
        <v>159</v>
      </c>
      <c r="BM64" s="37" t="s">
        <v>159</v>
      </c>
      <c r="BN64" s="37" t="s">
        <v>159</v>
      </c>
      <c r="BO64" s="37" t="s">
        <v>159</v>
      </c>
      <c r="BP64" s="46">
        <v>1</v>
      </c>
      <c r="BQ64" s="46">
        <v>223.75839999999999</v>
      </c>
      <c r="BR64" s="46">
        <v>-1</v>
      </c>
      <c r="BS64" s="46">
        <v>5</v>
      </c>
      <c r="BT64" s="46">
        <v>63</v>
      </c>
      <c r="BU64" s="46">
        <v>19</v>
      </c>
      <c r="BV64" s="46">
        <v>69</v>
      </c>
      <c r="BW64" s="46">
        <v>353.5856</v>
      </c>
      <c r="BX64" s="46">
        <v>498</v>
      </c>
      <c r="BY64" s="46">
        <v>325.99189999999999</v>
      </c>
      <c r="BZ64" s="46">
        <v>23.334099999999999</v>
      </c>
      <c r="CA64" s="46">
        <v>0</v>
      </c>
      <c r="CB64" s="46">
        <v>0</v>
      </c>
      <c r="CC64" s="46">
        <v>1</v>
      </c>
      <c r="CD64" s="46">
        <v>177</v>
      </c>
      <c r="CE64" s="46">
        <v>1</v>
      </c>
      <c r="CF64" s="46">
        <v>32545</v>
      </c>
      <c r="CG64" s="46">
        <v>1140744704</v>
      </c>
      <c r="CH64" s="46">
        <v>134</v>
      </c>
      <c r="CI64" s="46">
        <v>0</v>
      </c>
      <c r="CJ64" s="46">
        <v>0</v>
      </c>
      <c r="CK64" s="46">
        <v>1</v>
      </c>
      <c r="CL64" s="46">
        <v>1</v>
      </c>
      <c r="CM64" s="46">
        <v>0</v>
      </c>
      <c r="CN64" s="46">
        <v>0</v>
      </c>
      <c r="CO64" s="46">
        <v>0</v>
      </c>
      <c r="CP64" s="46">
        <v>-3062.6</v>
      </c>
      <c r="CQ64" s="46">
        <v>1</v>
      </c>
      <c r="CR64" s="46">
        <v>1</v>
      </c>
      <c r="CS64" s="46">
        <v>0</v>
      </c>
      <c r="CT64" s="46">
        <v>1</v>
      </c>
      <c r="CU64" s="46">
        <v>1</v>
      </c>
      <c r="CV64" s="46">
        <v>1</v>
      </c>
      <c r="CW64" s="46">
        <v>1</v>
      </c>
      <c r="CX64" s="46">
        <v>1</v>
      </c>
      <c r="CY64" s="50" t="s">
        <v>159</v>
      </c>
      <c r="CZ64" s="37"/>
      <c r="DA64" s="38"/>
    </row>
    <row r="65" spans="1:105" x14ac:dyDescent="0.25">
      <c r="A65" s="36">
        <v>62</v>
      </c>
      <c r="B65" s="46" t="s">
        <v>796</v>
      </c>
      <c r="C65" s="46">
        <v>1004</v>
      </c>
      <c r="D65" s="46">
        <v>59569</v>
      </c>
      <c r="E65" s="46">
        <v>2</v>
      </c>
      <c r="F65" s="46">
        <v>11</v>
      </c>
      <c r="G65" s="46">
        <v>2</v>
      </c>
      <c r="H65" s="46">
        <v>-10</v>
      </c>
      <c r="I65" s="46">
        <v>0.124</v>
      </c>
      <c r="J65" s="46">
        <v>-1361</v>
      </c>
      <c r="K65" s="46">
        <v>264.55439999999999</v>
      </c>
      <c r="L65" s="46">
        <v>178.5575</v>
      </c>
      <c r="M65" s="46">
        <v>1</v>
      </c>
      <c r="N65" s="46">
        <v>0</v>
      </c>
      <c r="O65" s="46">
        <v>114.0287</v>
      </c>
      <c r="P65" s="46">
        <v>1</v>
      </c>
      <c r="Q65" s="46">
        <v>127</v>
      </c>
      <c r="R65" s="46">
        <v>1</v>
      </c>
      <c r="S65" s="46">
        <v>105</v>
      </c>
      <c r="T65" s="46">
        <v>3483204864</v>
      </c>
      <c r="U65" s="46">
        <v>111</v>
      </c>
      <c r="V65" s="56">
        <v>1</v>
      </c>
      <c r="W65" s="46">
        <v>19.8353</v>
      </c>
      <c r="X65" s="46">
        <v>204.13419999999999</v>
      </c>
      <c r="Y65" s="46">
        <v>0.49</v>
      </c>
      <c r="Z65" s="46">
        <v>-3183.6</v>
      </c>
      <c r="AA65" s="63">
        <v>2</v>
      </c>
      <c r="AB65" s="63">
        <v>11</v>
      </c>
      <c r="AC65" s="46">
        <v>0</v>
      </c>
      <c r="AD65" s="46">
        <v>182</v>
      </c>
      <c r="AE65" s="46">
        <v>32624</v>
      </c>
      <c r="AF65" s="46">
        <v>1672191232</v>
      </c>
      <c r="AG65" s="37" t="s">
        <v>159</v>
      </c>
      <c r="AH65" s="37" t="s">
        <v>159</v>
      </c>
      <c r="AI65" s="37" t="s">
        <v>159</v>
      </c>
      <c r="AJ65" s="37" t="s">
        <v>159</v>
      </c>
      <c r="AK65" s="37" t="s">
        <v>159</v>
      </c>
      <c r="AL65" s="37" t="s">
        <v>159</v>
      </c>
      <c r="AM65" s="37" t="s">
        <v>159</v>
      </c>
      <c r="AN65" s="37" t="s">
        <v>159</v>
      </c>
      <c r="AO65" s="37" t="s">
        <v>159</v>
      </c>
      <c r="AP65" s="37" t="s">
        <v>159</v>
      </c>
      <c r="AQ65" s="37" t="s">
        <v>159</v>
      </c>
      <c r="AR65" s="37" t="s">
        <v>159</v>
      </c>
      <c r="AS65" s="37" t="s">
        <v>159</v>
      </c>
      <c r="AT65" s="37" t="s">
        <v>159</v>
      </c>
      <c r="AU65" s="37" t="s">
        <v>159</v>
      </c>
      <c r="AV65" s="37" t="s">
        <v>159</v>
      </c>
      <c r="AW65" s="37" t="s">
        <v>159</v>
      </c>
      <c r="AX65" s="37" t="s">
        <v>159</v>
      </c>
      <c r="AY65" s="37" t="s">
        <v>159</v>
      </c>
      <c r="AZ65" s="37" t="s">
        <v>159</v>
      </c>
      <c r="BA65" s="37" t="s">
        <v>159</v>
      </c>
      <c r="BB65" s="37" t="s">
        <v>159</v>
      </c>
      <c r="BC65" s="37" t="s">
        <v>159</v>
      </c>
      <c r="BD65" s="37" t="s">
        <v>159</v>
      </c>
      <c r="BE65" s="37" t="s">
        <v>159</v>
      </c>
      <c r="BF65" s="37" t="s">
        <v>159</v>
      </c>
      <c r="BG65" s="37" t="s">
        <v>159</v>
      </c>
      <c r="BH65" s="37" t="s">
        <v>159</v>
      </c>
      <c r="BI65" s="37" t="s">
        <v>159</v>
      </c>
      <c r="BJ65" s="37" t="s">
        <v>159</v>
      </c>
      <c r="BK65" s="37" t="s">
        <v>159</v>
      </c>
      <c r="BL65" s="37" t="s">
        <v>159</v>
      </c>
      <c r="BM65" s="37" t="s">
        <v>159</v>
      </c>
      <c r="BN65" s="37" t="s">
        <v>159</v>
      </c>
      <c r="BO65" s="37" t="s">
        <v>159</v>
      </c>
      <c r="BP65" s="46">
        <v>0</v>
      </c>
      <c r="BQ65" s="46">
        <v>178.5575</v>
      </c>
      <c r="BR65" s="46">
        <v>2</v>
      </c>
      <c r="BS65" s="46">
        <v>-10</v>
      </c>
      <c r="BT65" s="46">
        <v>109</v>
      </c>
      <c r="BU65" s="46">
        <v>0</v>
      </c>
      <c r="BV65" s="46">
        <v>0</v>
      </c>
      <c r="BW65" s="46">
        <v>114.0287</v>
      </c>
      <c r="BX65" s="46">
        <v>-1361</v>
      </c>
      <c r="BY65" s="46">
        <v>19.8353</v>
      </c>
      <c r="BZ65" s="46">
        <v>204.13419999999999</v>
      </c>
      <c r="CA65" s="46">
        <v>1</v>
      </c>
      <c r="CB65" s="46">
        <v>0</v>
      </c>
      <c r="CC65" s="46">
        <v>1</v>
      </c>
      <c r="CD65" s="46">
        <v>127</v>
      </c>
      <c r="CE65" s="46">
        <v>0</v>
      </c>
      <c r="CF65" s="46">
        <v>32624</v>
      </c>
      <c r="CG65" s="46">
        <v>1672191232</v>
      </c>
      <c r="CH65" s="46">
        <v>111</v>
      </c>
      <c r="CI65" s="46">
        <v>0</v>
      </c>
      <c r="CJ65" s="46">
        <v>0</v>
      </c>
      <c r="CK65" s="46">
        <v>2</v>
      </c>
      <c r="CL65" s="46">
        <v>0</v>
      </c>
      <c r="CM65" s="46">
        <v>0</v>
      </c>
      <c r="CN65" s="46">
        <v>0</v>
      </c>
      <c r="CO65" s="46">
        <v>0</v>
      </c>
      <c r="CP65" s="46">
        <v>-3183.6</v>
      </c>
      <c r="CQ65" s="46">
        <v>1</v>
      </c>
      <c r="CR65" s="46">
        <v>1</v>
      </c>
      <c r="CS65" s="46">
        <v>1</v>
      </c>
      <c r="CT65" s="46">
        <v>1</v>
      </c>
      <c r="CU65" s="46">
        <v>1</v>
      </c>
      <c r="CV65" s="46">
        <v>0</v>
      </c>
      <c r="CW65" s="46">
        <v>1</v>
      </c>
      <c r="CX65" s="46">
        <v>1</v>
      </c>
      <c r="CY65" s="50" t="s">
        <v>159</v>
      </c>
      <c r="CZ65" s="37"/>
      <c r="DA65" s="38"/>
    </row>
    <row r="66" spans="1:105" x14ac:dyDescent="0.25">
      <c r="A66" s="36">
        <v>63</v>
      </c>
      <c r="B66" s="46" t="s">
        <v>784</v>
      </c>
      <c r="C66" s="46">
        <v>44147</v>
      </c>
      <c r="D66" s="46">
        <v>34814</v>
      </c>
      <c r="E66" s="46">
        <v>1</v>
      </c>
      <c r="F66" s="46">
        <v>26</v>
      </c>
      <c r="G66" s="46">
        <v>5</v>
      </c>
      <c r="H66" s="46">
        <v>-3</v>
      </c>
      <c r="I66" s="46">
        <v>0.128</v>
      </c>
      <c r="J66" s="46">
        <v>696</v>
      </c>
      <c r="K66" s="46">
        <v>148.7517</v>
      </c>
      <c r="L66" s="46">
        <v>279.49279999999999</v>
      </c>
      <c r="M66" s="46">
        <v>0</v>
      </c>
      <c r="N66" s="46">
        <v>1</v>
      </c>
      <c r="O66" s="46">
        <v>129.43430000000001</v>
      </c>
      <c r="P66" s="46">
        <v>0</v>
      </c>
      <c r="Q66" s="46">
        <v>139</v>
      </c>
      <c r="R66" s="46">
        <v>1</v>
      </c>
      <c r="S66" s="46">
        <v>125</v>
      </c>
      <c r="T66" s="46">
        <v>2998389248</v>
      </c>
      <c r="U66" s="46">
        <v>237</v>
      </c>
      <c r="V66" s="46">
        <v>59</v>
      </c>
      <c r="W66" s="46">
        <v>359.5686</v>
      </c>
      <c r="X66" s="46">
        <v>178.87010000000001</v>
      </c>
      <c r="Y66" s="46">
        <v>0.53</v>
      </c>
      <c r="Z66" s="46">
        <v>-3304.6</v>
      </c>
      <c r="AA66" s="63">
        <v>1</v>
      </c>
      <c r="AB66" s="63">
        <v>26</v>
      </c>
      <c r="AC66" s="56">
        <v>0</v>
      </c>
      <c r="AD66" s="46">
        <v>217</v>
      </c>
      <c r="AE66" s="46">
        <v>55059</v>
      </c>
      <c r="AF66" s="46">
        <v>1972136448</v>
      </c>
      <c r="AG66" s="37" t="s">
        <v>159</v>
      </c>
      <c r="AH66" s="37" t="s">
        <v>159</v>
      </c>
      <c r="AI66" s="37" t="s">
        <v>159</v>
      </c>
      <c r="AJ66" s="37" t="s">
        <v>159</v>
      </c>
      <c r="AK66" s="37" t="s">
        <v>159</v>
      </c>
      <c r="AL66" s="37" t="s">
        <v>159</v>
      </c>
      <c r="AM66" s="37" t="s">
        <v>159</v>
      </c>
      <c r="AN66" s="37" t="s">
        <v>159</v>
      </c>
      <c r="AO66" s="37" t="s">
        <v>159</v>
      </c>
      <c r="AP66" s="37" t="s">
        <v>159</v>
      </c>
      <c r="AQ66" s="37" t="s">
        <v>159</v>
      </c>
      <c r="AR66" s="37" t="s">
        <v>159</v>
      </c>
      <c r="AS66" s="37" t="s">
        <v>159</v>
      </c>
      <c r="AT66" s="37" t="s">
        <v>159</v>
      </c>
      <c r="AU66" s="37" t="s">
        <v>159</v>
      </c>
      <c r="AV66" s="37" t="s">
        <v>159</v>
      </c>
      <c r="AW66" s="37" t="s">
        <v>159</v>
      </c>
      <c r="AX66" s="37" t="s">
        <v>159</v>
      </c>
      <c r="AY66" s="37" t="s">
        <v>159</v>
      </c>
      <c r="AZ66" s="37" t="s">
        <v>159</v>
      </c>
      <c r="BA66" s="37" t="s">
        <v>159</v>
      </c>
      <c r="BB66" s="37" t="s">
        <v>159</v>
      </c>
      <c r="BC66" s="37" t="s">
        <v>159</v>
      </c>
      <c r="BD66" s="37" t="s">
        <v>159</v>
      </c>
      <c r="BE66" s="37" t="s">
        <v>159</v>
      </c>
      <c r="BF66" s="37" t="s">
        <v>159</v>
      </c>
      <c r="BG66" s="37" t="s">
        <v>159</v>
      </c>
      <c r="BH66" s="37" t="s">
        <v>159</v>
      </c>
      <c r="BI66" s="37" t="s">
        <v>159</v>
      </c>
      <c r="BJ66" s="37" t="s">
        <v>159</v>
      </c>
      <c r="BK66" s="37" t="s">
        <v>159</v>
      </c>
      <c r="BL66" s="37" t="s">
        <v>159</v>
      </c>
      <c r="BM66" s="37" t="s">
        <v>159</v>
      </c>
      <c r="BN66" s="37" t="s">
        <v>159</v>
      </c>
      <c r="BO66" s="37" t="s">
        <v>159</v>
      </c>
      <c r="BP66" s="46">
        <v>0</v>
      </c>
      <c r="BQ66" s="46">
        <v>279.49279999999999</v>
      </c>
      <c r="BR66" s="46">
        <v>5</v>
      </c>
      <c r="BS66" s="46">
        <v>-3</v>
      </c>
      <c r="BT66" s="46">
        <v>10</v>
      </c>
      <c r="BU66" s="46">
        <v>46</v>
      </c>
      <c r="BV66" s="46">
        <v>38</v>
      </c>
      <c r="BW66" s="46">
        <v>129.43430000000001</v>
      </c>
      <c r="BX66" s="46">
        <v>696</v>
      </c>
      <c r="BY66" s="46">
        <v>359.5686</v>
      </c>
      <c r="BZ66" s="46">
        <v>178.87010000000001</v>
      </c>
      <c r="CA66" s="46">
        <v>0</v>
      </c>
      <c r="CB66" s="46">
        <v>1</v>
      </c>
      <c r="CC66" s="46">
        <v>1</v>
      </c>
      <c r="CD66" s="46">
        <v>217</v>
      </c>
      <c r="CE66" s="46">
        <v>1</v>
      </c>
      <c r="CF66" s="46">
        <v>55059</v>
      </c>
      <c r="CG66" s="46">
        <v>1972136448</v>
      </c>
      <c r="CH66" s="46">
        <v>236</v>
      </c>
      <c r="CI66" s="46">
        <v>3187</v>
      </c>
      <c r="CJ66" s="46">
        <v>2046</v>
      </c>
      <c r="CK66" s="46">
        <v>1</v>
      </c>
      <c r="CL66" s="46">
        <v>65</v>
      </c>
      <c r="CM66" s="46">
        <v>1</v>
      </c>
      <c r="CN66" s="46">
        <v>1</v>
      </c>
      <c r="CO66" s="46">
        <v>0</v>
      </c>
      <c r="CP66" s="46">
        <v>-3304.6</v>
      </c>
      <c r="CQ66" s="46">
        <v>1</v>
      </c>
      <c r="CR66" s="46">
        <v>1</v>
      </c>
      <c r="CS66" s="46">
        <v>0</v>
      </c>
      <c r="CT66" s="46">
        <v>1</v>
      </c>
      <c r="CU66" s="46">
        <v>1</v>
      </c>
      <c r="CV66" s="46">
        <v>1</v>
      </c>
      <c r="CW66" s="46">
        <v>1</v>
      </c>
      <c r="CX66" s="46">
        <v>1</v>
      </c>
      <c r="CY66" s="50" t="s">
        <v>159</v>
      </c>
      <c r="CZ66" s="37"/>
      <c r="DA66" s="38"/>
    </row>
    <row r="67" spans="1:105" x14ac:dyDescent="0.25">
      <c r="A67" s="36">
        <v>64</v>
      </c>
      <c r="B67" s="46" t="s">
        <v>785</v>
      </c>
      <c r="C67" s="46">
        <v>45084</v>
      </c>
      <c r="D67" s="46">
        <v>10827</v>
      </c>
      <c r="E67" s="46">
        <v>2</v>
      </c>
      <c r="F67" s="46">
        <v>8</v>
      </c>
      <c r="G67" s="46">
        <v>-1</v>
      </c>
      <c r="H67" s="46">
        <v>-10</v>
      </c>
      <c r="I67" s="46">
        <v>0.13200000000000001</v>
      </c>
      <c r="J67" s="46">
        <v>-5</v>
      </c>
      <c r="K67" s="46">
        <v>85.105800000000002</v>
      </c>
      <c r="L67" s="46">
        <v>194.8509</v>
      </c>
      <c r="M67" s="46">
        <v>0</v>
      </c>
      <c r="N67" s="46">
        <v>0</v>
      </c>
      <c r="O67" s="46">
        <v>233.8777</v>
      </c>
      <c r="P67" s="46">
        <v>1</v>
      </c>
      <c r="Q67" s="46">
        <v>151</v>
      </c>
      <c r="R67" s="46">
        <v>1</v>
      </c>
      <c r="S67" s="46">
        <v>145</v>
      </c>
      <c r="T67" s="46">
        <v>522151168</v>
      </c>
      <c r="U67" s="46">
        <v>255</v>
      </c>
      <c r="V67" s="46">
        <v>46</v>
      </c>
      <c r="W67" s="46">
        <v>111.0626</v>
      </c>
      <c r="X67" s="46">
        <v>135.3665</v>
      </c>
      <c r="Y67" s="46">
        <v>0.56999999999999995</v>
      </c>
      <c r="Z67" s="46">
        <v>-3425.6</v>
      </c>
      <c r="AA67" s="63">
        <v>2</v>
      </c>
      <c r="AB67" s="63">
        <v>8</v>
      </c>
      <c r="AC67" s="56">
        <v>16</v>
      </c>
      <c r="AD67" s="46">
        <v>222</v>
      </c>
      <c r="AE67" s="46">
        <v>1980</v>
      </c>
      <c r="AF67" s="46">
        <v>1898022144</v>
      </c>
      <c r="AG67" s="37" t="s">
        <v>159</v>
      </c>
      <c r="AH67" s="37" t="s">
        <v>159</v>
      </c>
      <c r="AI67" s="37" t="s">
        <v>159</v>
      </c>
      <c r="AJ67" s="37" t="s">
        <v>159</v>
      </c>
      <c r="AK67" s="37" t="s">
        <v>159</v>
      </c>
      <c r="AL67" s="37" t="s">
        <v>159</v>
      </c>
      <c r="AM67" s="37" t="s">
        <v>159</v>
      </c>
      <c r="AN67" s="37" t="s">
        <v>159</v>
      </c>
      <c r="AO67" s="37" t="s">
        <v>159</v>
      </c>
      <c r="AP67" s="37" t="s">
        <v>159</v>
      </c>
      <c r="AQ67" s="37" t="s">
        <v>159</v>
      </c>
      <c r="AR67" s="37" t="s">
        <v>159</v>
      </c>
      <c r="AS67" s="37" t="s">
        <v>159</v>
      </c>
      <c r="AT67" s="37" t="s">
        <v>159</v>
      </c>
      <c r="AU67" s="37" t="s">
        <v>159</v>
      </c>
      <c r="AV67" s="37" t="s">
        <v>159</v>
      </c>
      <c r="AW67" s="37" t="s">
        <v>159</v>
      </c>
      <c r="AX67" s="37" t="s">
        <v>159</v>
      </c>
      <c r="AY67" s="37" t="s">
        <v>159</v>
      </c>
      <c r="AZ67" s="37" t="s">
        <v>159</v>
      </c>
      <c r="BA67" s="37" t="s">
        <v>159</v>
      </c>
      <c r="BB67" s="37" t="s">
        <v>159</v>
      </c>
      <c r="BC67" s="37" t="s">
        <v>159</v>
      </c>
      <c r="BD67" s="37" t="s">
        <v>159</v>
      </c>
      <c r="BE67" s="37" t="s">
        <v>159</v>
      </c>
      <c r="BF67" s="37" t="s">
        <v>159</v>
      </c>
      <c r="BG67" s="37" t="s">
        <v>159</v>
      </c>
      <c r="BH67" s="37" t="s">
        <v>159</v>
      </c>
      <c r="BI67" s="37" t="s">
        <v>159</v>
      </c>
      <c r="BJ67" s="37" t="s">
        <v>159</v>
      </c>
      <c r="BK67" s="37" t="s">
        <v>159</v>
      </c>
      <c r="BL67" s="37" t="s">
        <v>159</v>
      </c>
      <c r="BM67" s="37" t="s">
        <v>159</v>
      </c>
      <c r="BN67" s="37" t="s">
        <v>159</v>
      </c>
      <c r="BO67" s="37" t="s">
        <v>159</v>
      </c>
      <c r="BP67" s="46">
        <v>16</v>
      </c>
      <c r="BQ67" s="46">
        <v>194.8509</v>
      </c>
      <c r="BR67" s="46">
        <v>-1</v>
      </c>
      <c r="BS67" s="46">
        <v>-10</v>
      </c>
      <c r="BT67" s="46">
        <v>79</v>
      </c>
      <c r="BU67" s="46">
        <v>68</v>
      </c>
      <c r="BV67" s="46">
        <v>69</v>
      </c>
      <c r="BW67" s="46">
        <v>233.8777</v>
      </c>
      <c r="BX67" s="46">
        <v>-5</v>
      </c>
      <c r="BY67" s="46">
        <v>111.0626</v>
      </c>
      <c r="BZ67" s="46">
        <v>135.3665</v>
      </c>
      <c r="CA67" s="46">
        <v>0</v>
      </c>
      <c r="CB67" s="46">
        <v>0</v>
      </c>
      <c r="CC67" s="46">
        <v>1</v>
      </c>
      <c r="CD67" s="46">
        <v>151</v>
      </c>
      <c r="CE67" s="46">
        <v>1</v>
      </c>
      <c r="CF67" s="46">
        <v>1980</v>
      </c>
      <c r="CG67" s="46">
        <v>1898022144</v>
      </c>
      <c r="CH67" s="46">
        <v>254</v>
      </c>
      <c r="CI67" s="46">
        <v>0</v>
      </c>
      <c r="CJ67" s="46">
        <v>0</v>
      </c>
      <c r="CK67" s="46">
        <v>1</v>
      </c>
      <c r="CL67" s="46">
        <v>16</v>
      </c>
      <c r="CM67" s="46">
        <v>0</v>
      </c>
      <c r="CN67" s="46">
        <v>0</v>
      </c>
      <c r="CO67" s="46">
        <v>0</v>
      </c>
      <c r="CP67" s="46">
        <v>-3425.6</v>
      </c>
      <c r="CQ67" s="46">
        <v>1</v>
      </c>
      <c r="CR67" s="46">
        <v>1</v>
      </c>
      <c r="CS67" s="46">
        <v>0</v>
      </c>
      <c r="CT67" s="46">
        <v>1</v>
      </c>
      <c r="CU67" s="46">
        <v>1</v>
      </c>
      <c r="CV67" s="46">
        <v>0</v>
      </c>
      <c r="CW67" s="46">
        <v>1</v>
      </c>
      <c r="CX67" s="46">
        <v>1</v>
      </c>
      <c r="CY67" s="50" t="s">
        <v>159</v>
      </c>
      <c r="CZ67" s="37"/>
      <c r="DA67" s="38"/>
    </row>
    <row r="68" spans="1:105" x14ac:dyDescent="0.25">
      <c r="A68" s="36">
        <v>65</v>
      </c>
      <c r="B68" s="46" t="s">
        <v>786</v>
      </c>
      <c r="C68" s="46">
        <v>8334</v>
      </c>
      <c r="D68" s="46">
        <v>52113</v>
      </c>
      <c r="E68" s="46">
        <v>3</v>
      </c>
      <c r="F68" s="46">
        <v>27</v>
      </c>
      <c r="G68" s="46">
        <v>4</v>
      </c>
      <c r="H68" s="46">
        <v>8</v>
      </c>
      <c r="I68" s="46">
        <v>0.13600000000000001</v>
      </c>
      <c r="J68" s="46">
        <v>871</v>
      </c>
      <c r="K68" s="46">
        <v>177.51400000000001</v>
      </c>
      <c r="L68" s="46">
        <v>130.3235</v>
      </c>
      <c r="M68" s="46">
        <v>1</v>
      </c>
      <c r="N68" s="46">
        <v>1</v>
      </c>
      <c r="O68" s="46">
        <v>73.439300000000003</v>
      </c>
      <c r="P68" s="46">
        <v>1</v>
      </c>
      <c r="Q68" s="46">
        <v>163</v>
      </c>
      <c r="R68" s="46">
        <v>0</v>
      </c>
      <c r="S68" s="46">
        <v>165</v>
      </c>
      <c r="T68" s="46">
        <v>2383713280</v>
      </c>
      <c r="U68" s="46">
        <v>120</v>
      </c>
      <c r="V68" s="46">
        <v>231</v>
      </c>
      <c r="W68" s="46">
        <v>183.12100000000001</v>
      </c>
      <c r="X68" s="46">
        <v>309.83440000000002</v>
      </c>
      <c r="Y68" s="46">
        <v>0.61</v>
      </c>
      <c r="Z68" s="46">
        <v>-3546.6</v>
      </c>
      <c r="AA68" s="63">
        <v>3</v>
      </c>
      <c r="AB68" s="63">
        <v>27</v>
      </c>
      <c r="AC68" s="56">
        <v>11</v>
      </c>
      <c r="AD68" s="46">
        <v>227</v>
      </c>
      <c r="AE68" s="46">
        <v>37677</v>
      </c>
      <c r="AF68" s="46">
        <v>3364762624</v>
      </c>
      <c r="AG68" s="37" t="s">
        <v>159</v>
      </c>
      <c r="AH68" s="37" t="s">
        <v>159</v>
      </c>
      <c r="AI68" s="37" t="s">
        <v>159</v>
      </c>
      <c r="AJ68" s="37" t="s">
        <v>159</v>
      </c>
      <c r="AK68" s="37" t="s">
        <v>159</v>
      </c>
      <c r="AL68" s="37" t="s">
        <v>159</v>
      </c>
      <c r="AM68" s="37" t="s">
        <v>159</v>
      </c>
      <c r="AN68" s="37" t="s">
        <v>159</v>
      </c>
      <c r="AO68" s="37" t="s">
        <v>159</v>
      </c>
      <c r="AP68" s="37" t="s">
        <v>159</v>
      </c>
      <c r="AQ68" s="37" t="s">
        <v>159</v>
      </c>
      <c r="AR68" s="37" t="s">
        <v>159</v>
      </c>
      <c r="AS68" s="37" t="s">
        <v>159</v>
      </c>
      <c r="AT68" s="37" t="s">
        <v>159</v>
      </c>
      <c r="AU68" s="37" t="s">
        <v>159</v>
      </c>
      <c r="AV68" s="37" t="s">
        <v>159</v>
      </c>
      <c r="AW68" s="37" t="s">
        <v>159</v>
      </c>
      <c r="AX68" s="37" t="s">
        <v>159</v>
      </c>
      <c r="AY68" s="37" t="s">
        <v>159</v>
      </c>
      <c r="AZ68" s="37" t="s">
        <v>159</v>
      </c>
      <c r="BA68" s="37" t="s">
        <v>159</v>
      </c>
      <c r="BB68" s="37" t="s">
        <v>159</v>
      </c>
      <c r="BC68" s="37" t="s">
        <v>159</v>
      </c>
      <c r="BD68" s="37" t="s">
        <v>159</v>
      </c>
      <c r="BE68" s="37" t="s">
        <v>159</v>
      </c>
      <c r="BF68" s="37" t="s">
        <v>159</v>
      </c>
      <c r="BG68" s="37" t="s">
        <v>159</v>
      </c>
      <c r="BH68" s="37" t="s">
        <v>159</v>
      </c>
      <c r="BI68" s="37" t="s">
        <v>159</v>
      </c>
      <c r="BJ68" s="37" t="s">
        <v>159</v>
      </c>
      <c r="BK68" s="37" t="s">
        <v>159</v>
      </c>
      <c r="BL68" s="37" t="s">
        <v>159</v>
      </c>
      <c r="BM68" s="37" t="s">
        <v>159</v>
      </c>
      <c r="BN68" s="37" t="s">
        <v>159</v>
      </c>
      <c r="BO68" s="37" t="s">
        <v>159</v>
      </c>
      <c r="BP68" s="46">
        <v>11</v>
      </c>
      <c r="BQ68" s="46">
        <v>130.3235</v>
      </c>
      <c r="BR68" s="46">
        <v>4</v>
      </c>
      <c r="BS68" s="46">
        <v>8</v>
      </c>
      <c r="BT68" s="46">
        <v>52</v>
      </c>
      <c r="BU68" s="46">
        <v>114</v>
      </c>
      <c r="BV68" s="46">
        <v>50</v>
      </c>
      <c r="BW68" s="46">
        <v>73.439300000000003</v>
      </c>
      <c r="BX68" s="46">
        <v>871</v>
      </c>
      <c r="BY68" s="46">
        <v>183.12100000000001</v>
      </c>
      <c r="BZ68" s="46">
        <v>309.83440000000002</v>
      </c>
      <c r="CA68" s="46">
        <v>1</v>
      </c>
      <c r="CB68" s="46">
        <v>1</v>
      </c>
      <c r="CC68" s="46">
        <v>1</v>
      </c>
      <c r="CD68" s="46">
        <v>163</v>
      </c>
      <c r="CE68" s="46">
        <v>1</v>
      </c>
      <c r="CF68" s="46">
        <v>165</v>
      </c>
      <c r="CG68" s="46">
        <v>2383713280</v>
      </c>
      <c r="CH68" s="46">
        <v>119</v>
      </c>
      <c r="CI68" s="46">
        <v>0</v>
      </c>
      <c r="CJ68" s="46">
        <v>0</v>
      </c>
      <c r="CK68" s="46">
        <v>1</v>
      </c>
      <c r="CL68" s="46">
        <v>11</v>
      </c>
      <c r="CM68" s="46">
        <v>0</v>
      </c>
      <c r="CN68" s="46">
        <v>0</v>
      </c>
      <c r="CO68" s="46">
        <v>0</v>
      </c>
      <c r="CP68" s="46">
        <v>-3546.6</v>
      </c>
      <c r="CQ68" s="46">
        <v>1</v>
      </c>
      <c r="CR68" s="46">
        <v>1</v>
      </c>
      <c r="CS68" s="46">
        <v>0</v>
      </c>
      <c r="CT68" s="46">
        <v>1</v>
      </c>
      <c r="CU68" s="46">
        <v>1</v>
      </c>
      <c r="CV68" s="46">
        <v>0</v>
      </c>
      <c r="CW68" s="46">
        <v>0</v>
      </c>
      <c r="CX68" s="46">
        <v>0</v>
      </c>
      <c r="CY68" s="50" t="s">
        <v>159</v>
      </c>
      <c r="CZ68" s="37"/>
      <c r="DA68" s="38"/>
    </row>
    <row r="69" spans="1:105" x14ac:dyDescent="0.25">
      <c r="A69" s="36">
        <v>66</v>
      </c>
      <c r="B69" s="46" t="s">
        <v>787</v>
      </c>
      <c r="C69" s="46">
        <v>3314</v>
      </c>
      <c r="D69" s="46">
        <v>65338</v>
      </c>
      <c r="E69" s="46">
        <v>2</v>
      </c>
      <c r="F69" s="46">
        <v>2</v>
      </c>
      <c r="G69" s="46">
        <v>-4</v>
      </c>
      <c r="H69" s="46">
        <v>-4</v>
      </c>
      <c r="I69" s="46">
        <v>0.14000000000000001</v>
      </c>
      <c r="J69" s="46">
        <v>686</v>
      </c>
      <c r="K69" s="46">
        <v>95.565700000000007</v>
      </c>
      <c r="L69" s="46">
        <v>83.452100000000002</v>
      </c>
      <c r="M69" s="46">
        <v>0</v>
      </c>
      <c r="N69" s="46">
        <v>0</v>
      </c>
      <c r="O69" s="46">
        <v>344.26650000000001</v>
      </c>
      <c r="P69" s="46">
        <v>0</v>
      </c>
      <c r="Q69" s="46">
        <v>175</v>
      </c>
      <c r="R69" s="46">
        <v>1</v>
      </c>
      <c r="S69" s="46">
        <v>185</v>
      </c>
      <c r="T69" s="46">
        <v>3568371456</v>
      </c>
      <c r="U69" s="46">
        <v>181</v>
      </c>
      <c r="V69" s="46">
        <v>182</v>
      </c>
      <c r="W69" s="46">
        <v>69.512600000000006</v>
      </c>
      <c r="X69" s="46">
        <v>263.74650000000003</v>
      </c>
      <c r="Y69" s="46">
        <v>0.65</v>
      </c>
      <c r="Z69" s="46">
        <v>-3667.6</v>
      </c>
      <c r="AA69" s="63">
        <v>2</v>
      </c>
      <c r="AB69" s="63">
        <v>2</v>
      </c>
      <c r="AC69" s="46">
        <v>3</v>
      </c>
      <c r="AD69" s="56">
        <v>0</v>
      </c>
      <c r="AE69" s="46">
        <v>18581</v>
      </c>
      <c r="AF69" s="46">
        <v>2479105792</v>
      </c>
      <c r="AG69" s="37" t="s">
        <v>159</v>
      </c>
      <c r="AH69" s="37" t="s">
        <v>159</v>
      </c>
      <c r="AI69" s="37" t="s">
        <v>159</v>
      </c>
      <c r="AJ69" s="37" t="s">
        <v>159</v>
      </c>
      <c r="AK69" s="37" t="s">
        <v>159</v>
      </c>
      <c r="AL69" s="37" t="s">
        <v>159</v>
      </c>
      <c r="AM69" s="37" t="s">
        <v>159</v>
      </c>
      <c r="AN69" s="37" t="s">
        <v>159</v>
      </c>
      <c r="AO69" s="37" t="s">
        <v>159</v>
      </c>
      <c r="AP69" s="37" t="s">
        <v>159</v>
      </c>
      <c r="AQ69" s="37" t="s">
        <v>159</v>
      </c>
      <c r="AR69" s="37" t="s">
        <v>159</v>
      </c>
      <c r="AS69" s="37" t="s">
        <v>159</v>
      </c>
      <c r="AT69" s="37" t="s">
        <v>159</v>
      </c>
      <c r="AU69" s="37" t="s">
        <v>159</v>
      </c>
      <c r="AV69" s="37" t="s">
        <v>159</v>
      </c>
      <c r="AW69" s="37" t="s">
        <v>159</v>
      </c>
      <c r="AX69" s="37" t="s">
        <v>159</v>
      </c>
      <c r="AY69" s="37" t="s">
        <v>159</v>
      </c>
      <c r="AZ69" s="37" t="s">
        <v>159</v>
      </c>
      <c r="BA69" s="37" t="s">
        <v>159</v>
      </c>
      <c r="BB69" s="37" t="s">
        <v>159</v>
      </c>
      <c r="BC69" s="37" t="s">
        <v>159</v>
      </c>
      <c r="BD69" s="37" t="s">
        <v>159</v>
      </c>
      <c r="BE69" s="37" t="s">
        <v>159</v>
      </c>
      <c r="BF69" s="37" t="s">
        <v>159</v>
      </c>
      <c r="BG69" s="37" t="s">
        <v>159</v>
      </c>
      <c r="BH69" s="37" t="s">
        <v>159</v>
      </c>
      <c r="BI69" s="37" t="s">
        <v>159</v>
      </c>
      <c r="BJ69" s="37" t="s">
        <v>159</v>
      </c>
      <c r="BK69" s="37" t="s">
        <v>159</v>
      </c>
      <c r="BL69" s="37" t="s">
        <v>159</v>
      </c>
      <c r="BM69" s="37" t="s">
        <v>159</v>
      </c>
      <c r="BN69" s="37" t="s">
        <v>159</v>
      </c>
      <c r="BO69" s="37" t="s">
        <v>159</v>
      </c>
      <c r="BP69" s="46">
        <v>3</v>
      </c>
      <c r="BQ69" s="46">
        <v>83.452100000000002</v>
      </c>
      <c r="BR69" s="46">
        <v>-4</v>
      </c>
      <c r="BS69" s="46">
        <v>-4</v>
      </c>
      <c r="BT69" s="46">
        <v>95</v>
      </c>
      <c r="BU69" s="46">
        <v>105</v>
      </c>
      <c r="BV69" s="46">
        <v>116</v>
      </c>
      <c r="BW69" s="46">
        <v>344.26650000000001</v>
      </c>
      <c r="BX69" s="46">
        <v>686</v>
      </c>
      <c r="BY69" s="46">
        <v>69.512600000000006</v>
      </c>
      <c r="BZ69" s="46">
        <v>263.74650000000003</v>
      </c>
      <c r="CA69" s="46">
        <v>0</v>
      </c>
      <c r="CB69" s="46">
        <v>0</v>
      </c>
      <c r="CC69" s="46">
        <v>1</v>
      </c>
      <c r="CD69" s="46">
        <v>0</v>
      </c>
      <c r="CE69" s="46">
        <v>1</v>
      </c>
      <c r="CF69" s="46">
        <v>18581</v>
      </c>
      <c r="CG69" s="46">
        <v>2479105792</v>
      </c>
      <c r="CH69" s="46">
        <v>180</v>
      </c>
      <c r="CI69" s="46">
        <v>0</v>
      </c>
      <c r="CJ69" s="46">
        <v>0</v>
      </c>
      <c r="CK69" s="46">
        <v>1</v>
      </c>
      <c r="CL69" s="46">
        <v>3</v>
      </c>
      <c r="CM69" s="46">
        <v>0</v>
      </c>
      <c r="CN69" s="46">
        <v>0</v>
      </c>
      <c r="CO69" s="46">
        <v>0</v>
      </c>
      <c r="CP69" s="46">
        <v>-3667.6</v>
      </c>
      <c r="CQ69" s="46">
        <v>1</v>
      </c>
      <c r="CR69" s="46">
        <v>1</v>
      </c>
      <c r="CS69" s="46">
        <v>0</v>
      </c>
      <c r="CT69" s="46">
        <v>1</v>
      </c>
      <c r="CU69" s="46">
        <v>1</v>
      </c>
      <c r="CV69" s="46">
        <v>1</v>
      </c>
      <c r="CW69" s="46">
        <v>1</v>
      </c>
      <c r="CX69" s="46">
        <v>1</v>
      </c>
      <c r="CY69" s="50" t="s">
        <v>159</v>
      </c>
      <c r="CZ69" s="37"/>
      <c r="DA69" s="38"/>
    </row>
    <row r="70" spans="1:105" x14ac:dyDescent="0.25">
      <c r="A70" s="36">
        <v>67</v>
      </c>
      <c r="B70" s="46" t="s">
        <v>788</v>
      </c>
      <c r="C70" s="46">
        <v>32403</v>
      </c>
      <c r="D70" s="46">
        <v>3530</v>
      </c>
      <c r="E70" s="46">
        <v>3</v>
      </c>
      <c r="F70" s="46">
        <v>12</v>
      </c>
      <c r="G70" s="46">
        <v>0</v>
      </c>
      <c r="H70" s="46">
        <v>-3</v>
      </c>
      <c r="I70" s="46">
        <v>0.14399999999999999</v>
      </c>
      <c r="J70" s="46">
        <v>1583</v>
      </c>
      <c r="K70" s="46">
        <v>56.519300000000001</v>
      </c>
      <c r="L70" s="46">
        <v>200.86490000000001</v>
      </c>
      <c r="M70" s="46">
        <v>1</v>
      </c>
      <c r="N70" s="46">
        <v>0</v>
      </c>
      <c r="O70" s="46">
        <v>140.68600000000001</v>
      </c>
      <c r="P70" s="46">
        <v>0</v>
      </c>
      <c r="Q70" s="46">
        <v>187</v>
      </c>
      <c r="R70" s="46">
        <v>1</v>
      </c>
      <c r="S70" s="46">
        <v>205</v>
      </c>
      <c r="T70" s="46">
        <v>912764416</v>
      </c>
      <c r="U70" s="46">
        <v>244</v>
      </c>
      <c r="V70" s="46">
        <v>71</v>
      </c>
      <c r="W70" s="46">
        <v>80.074799999999996</v>
      </c>
      <c r="X70" s="46">
        <v>30.5001</v>
      </c>
      <c r="Y70" s="46">
        <v>0.69</v>
      </c>
      <c r="Z70" s="46">
        <v>-3788.6</v>
      </c>
      <c r="AA70" s="63">
        <v>3</v>
      </c>
      <c r="AB70" s="63">
        <v>12</v>
      </c>
      <c r="AC70" s="46">
        <v>7</v>
      </c>
      <c r="AD70" s="56">
        <v>511</v>
      </c>
      <c r="AE70" s="46">
        <v>4393</v>
      </c>
      <c r="AF70" s="46">
        <v>2913881600</v>
      </c>
      <c r="AG70" s="37" t="s">
        <v>159</v>
      </c>
      <c r="AH70" s="37" t="s">
        <v>159</v>
      </c>
      <c r="AI70" s="37" t="s">
        <v>159</v>
      </c>
      <c r="AJ70" s="37" t="s">
        <v>159</v>
      </c>
      <c r="AK70" s="37" t="s">
        <v>159</v>
      </c>
      <c r="AL70" s="37" t="s">
        <v>159</v>
      </c>
      <c r="AM70" s="37" t="s">
        <v>159</v>
      </c>
      <c r="AN70" s="37" t="s">
        <v>159</v>
      </c>
      <c r="AO70" s="37" t="s">
        <v>159</v>
      </c>
      <c r="AP70" s="37" t="s">
        <v>159</v>
      </c>
      <c r="AQ70" s="37" t="s">
        <v>159</v>
      </c>
      <c r="AR70" s="37" t="s">
        <v>159</v>
      </c>
      <c r="AS70" s="37" t="s">
        <v>159</v>
      </c>
      <c r="AT70" s="37" t="s">
        <v>159</v>
      </c>
      <c r="AU70" s="37" t="s">
        <v>159</v>
      </c>
      <c r="AV70" s="37" t="s">
        <v>159</v>
      </c>
      <c r="AW70" s="37" t="s">
        <v>159</v>
      </c>
      <c r="AX70" s="37" t="s">
        <v>159</v>
      </c>
      <c r="AY70" s="37" t="s">
        <v>159</v>
      </c>
      <c r="AZ70" s="37" t="s">
        <v>159</v>
      </c>
      <c r="BA70" s="37" t="s">
        <v>159</v>
      </c>
      <c r="BB70" s="37" t="s">
        <v>159</v>
      </c>
      <c r="BC70" s="37" t="s">
        <v>159</v>
      </c>
      <c r="BD70" s="37" t="s">
        <v>159</v>
      </c>
      <c r="BE70" s="37" t="s">
        <v>159</v>
      </c>
      <c r="BF70" s="37" t="s">
        <v>159</v>
      </c>
      <c r="BG70" s="37" t="s">
        <v>159</v>
      </c>
      <c r="BH70" s="37" t="s">
        <v>159</v>
      </c>
      <c r="BI70" s="37" t="s">
        <v>159</v>
      </c>
      <c r="BJ70" s="37" t="s">
        <v>159</v>
      </c>
      <c r="BK70" s="37" t="s">
        <v>159</v>
      </c>
      <c r="BL70" s="37" t="s">
        <v>159</v>
      </c>
      <c r="BM70" s="37" t="s">
        <v>159</v>
      </c>
      <c r="BN70" s="37" t="s">
        <v>159</v>
      </c>
      <c r="BO70" s="37" t="s">
        <v>159</v>
      </c>
      <c r="BP70" s="46">
        <v>7</v>
      </c>
      <c r="BQ70" s="46">
        <v>200.86490000000001</v>
      </c>
      <c r="BR70" s="46">
        <v>0</v>
      </c>
      <c r="BS70" s="46">
        <v>-3</v>
      </c>
      <c r="BT70" s="46">
        <v>72</v>
      </c>
      <c r="BU70" s="46">
        <v>40</v>
      </c>
      <c r="BV70" s="46">
        <v>86</v>
      </c>
      <c r="BW70" s="46">
        <v>140.68600000000001</v>
      </c>
      <c r="BX70" s="46">
        <v>1583</v>
      </c>
      <c r="BY70" s="46">
        <v>80.074799999999996</v>
      </c>
      <c r="BZ70" s="46">
        <v>30.5001</v>
      </c>
      <c r="CA70" s="46">
        <v>1</v>
      </c>
      <c r="CB70" s="46">
        <v>0</v>
      </c>
      <c r="CC70" s="46">
        <v>0</v>
      </c>
      <c r="CD70" s="46">
        <v>511</v>
      </c>
      <c r="CE70" s="46">
        <v>1</v>
      </c>
      <c r="CF70" s="46">
        <v>4393</v>
      </c>
      <c r="CG70" s="46">
        <v>2913881600</v>
      </c>
      <c r="CH70" s="46">
        <v>243</v>
      </c>
      <c r="CI70" s="46">
        <v>0</v>
      </c>
      <c r="CJ70" s="46">
        <v>0</v>
      </c>
      <c r="CK70" s="46">
        <v>1</v>
      </c>
      <c r="CL70" s="46">
        <v>7</v>
      </c>
      <c r="CM70" s="46">
        <v>0</v>
      </c>
      <c r="CN70" s="46">
        <v>0</v>
      </c>
      <c r="CO70" s="46">
        <v>0</v>
      </c>
      <c r="CP70" s="46">
        <v>-3788.6</v>
      </c>
      <c r="CQ70" s="46">
        <v>1</v>
      </c>
      <c r="CR70" s="46">
        <v>1</v>
      </c>
      <c r="CS70" s="46">
        <v>0</v>
      </c>
      <c r="CT70" s="46">
        <v>1</v>
      </c>
      <c r="CU70" s="46">
        <v>1</v>
      </c>
      <c r="CV70" s="46">
        <v>1</v>
      </c>
      <c r="CW70" s="46">
        <v>1</v>
      </c>
      <c r="CX70" s="46">
        <v>1</v>
      </c>
      <c r="CY70" s="50" t="s">
        <v>159</v>
      </c>
      <c r="CZ70" s="37"/>
      <c r="DA70" s="38"/>
    </row>
    <row r="71" spans="1:105" x14ac:dyDescent="0.25">
      <c r="A71" s="36">
        <v>68</v>
      </c>
      <c r="B71" s="46" t="s">
        <v>789</v>
      </c>
      <c r="C71" s="46">
        <v>46413</v>
      </c>
      <c r="D71" s="46">
        <v>5495</v>
      </c>
      <c r="E71" s="46">
        <v>2</v>
      </c>
      <c r="F71" s="46">
        <v>26</v>
      </c>
      <c r="G71" s="46">
        <v>3</v>
      </c>
      <c r="H71" s="46">
        <v>-7</v>
      </c>
      <c r="I71" s="46">
        <v>0.14799999999999999</v>
      </c>
      <c r="J71" s="46">
        <v>-1387</v>
      </c>
      <c r="K71" s="46">
        <v>125.5202</v>
      </c>
      <c r="L71" s="46">
        <v>346.91829999999999</v>
      </c>
      <c r="M71" s="46">
        <v>1</v>
      </c>
      <c r="N71" s="46">
        <v>0</v>
      </c>
      <c r="O71" s="46">
        <v>75.411799999999999</v>
      </c>
      <c r="P71" s="46">
        <v>1</v>
      </c>
      <c r="Q71" s="46">
        <v>199</v>
      </c>
      <c r="R71" s="46">
        <v>1</v>
      </c>
      <c r="S71" s="46">
        <v>225</v>
      </c>
      <c r="T71" s="46">
        <v>2694822144</v>
      </c>
      <c r="U71" s="46">
        <v>137</v>
      </c>
      <c r="V71" s="46">
        <v>199</v>
      </c>
      <c r="W71" s="46">
        <v>23.864699999999999</v>
      </c>
      <c r="X71" s="46">
        <v>107.4571</v>
      </c>
      <c r="Y71" s="46">
        <v>0.73</v>
      </c>
      <c r="Z71" s="46">
        <v>125</v>
      </c>
      <c r="AA71" s="63">
        <v>2</v>
      </c>
      <c r="AB71" s="63">
        <v>26</v>
      </c>
      <c r="AC71" s="46">
        <v>11</v>
      </c>
      <c r="AD71" s="56">
        <v>252</v>
      </c>
      <c r="AE71" s="46">
        <v>11531</v>
      </c>
      <c r="AF71" s="46">
        <v>491510016</v>
      </c>
      <c r="AG71" s="37" t="s">
        <v>159</v>
      </c>
      <c r="AH71" s="37" t="s">
        <v>159</v>
      </c>
      <c r="AI71" s="37" t="s">
        <v>159</v>
      </c>
      <c r="AJ71" s="37" t="s">
        <v>159</v>
      </c>
      <c r="AK71" s="37" t="s">
        <v>159</v>
      </c>
      <c r="AL71" s="37" t="s">
        <v>159</v>
      </c>
      <c r="AM71" s="37" t="s">
        <v>159</v>
      </c>
      <c r="AN71" s="37" t="s">
        <v>159</v>
      </c>
      <c r="AO71" s="37" t="s">
        <v>159</v>
      </c>
      <c r="AP71" s="37" t="s">
        <v>159</v>
      </c>
      <c r="AQ71" s="37" t="s">
        <v>159</v>
      </c>
      <c r="AR71" s="37" t="s">
        <v>159</v>
      </c>
      <c r="AS71" s="37" t="s">
        <v>159</v>
      </c>
      <c r="AT71" s="37" t="s">
        <v>159</v>
      </c>
      <c r="AU71" s="37" t="s">
        <v>159</v>
      </c>
      <c r="AV71" s="37" t="s">
        <v>159</v>
      </c>
      <c r="AW71" s="37" t="s">
        <v>159</v>
      </c>
      <c r="AX71" s="37" t="s">
        <v>159</v>
      </c>
      <c r="AY71" s="37" t="s">
        <v>159</v>
      </c>
      <c r="AZ71" s="37" t="s">
        <v>159</v>
      </c>
      <c r="BA71" s="37" t="s">
        <v>159</v>
      </c>
      <c r="BB71" s="37" t="s">
        <v>159</v>
      </c>
      <c r="BC71" s="37" t="s">
        <v>159</v>
      </c>
      <c r="BD71" s="37" t="s">
        <v>159</v>
      </c>
      <c r="BE71" s="37" t="s">
        <v>159</v>
      </c>
      <c r="BF71" s="37" t="s">
        <v>159</v>
      </c>
      <c r="BG71" s="37" t="s">
        <v>159</v>
      </c>
      <c r="BH71" s="37" t="s">
        <v>159</v>
      </c>
      <c r="BI71" s="37" t="s">
        <v>159</v>
      </c>
      <c r="BJ71" s="37" t="s">
        <v>159</v>
      </c>
      <c r="BK71" s="37" t="s">
        <v>159</v>
      </c>
      <c r="BL71" s="37" t="s">
        <v>159</v>
      </c>
      <c r="BM71" s="37" t="s">
        <v>159</v>
      </c>
      <c r="BN71" s="37" t="s">
        <v>159</v>
      </c>
      <c r="BO71" s="37" t="s">
        <v>159</v>
      </c>
      <c r="BP71" s="46">
        <v>11</v>
      </c>
      <c r="BQ71" s="46">
        <v>346.91829999999999</v>
      </c>
      <c r="BR71" s="46">
        <v>3</v>
      </c>
      <c r="BS71" s="46">
        <v>-7</v>
      </c>
      <c r="BT71" s="46">
        <v>25</v>
      </c>
      <c r="BU71" s="46">
        <v>38</v>
      </c>
      <c r="BV71" s="46">
        <v>31</v>
      </c>
      <c r="BW71" s="46">
        <v>75.411799999999999</v>
      </c>
      <c r="BX71" s="46">
        <v>-1387</v>
      </c>
      <c r="BY71" s="46">
        <v>23.864699999999999</v>
      </c>
      <c r="BZ71" s="46">
        <v>107.4571</v>
      </c>
      <c r="CA71" s="46">
        <v>1</v>
      </c>
      <c r="CB71" s="46">
        <v>0</v>
      </c>
      <c r="CC71" s="46">
        <v>1</v>
      </c>
      <c r="CD71" s="46">
        <v>199</v>
      </c>
      <c r="CE71" s="46">
        <v>1</v>
      </c>
      <c r="CF71" s="46">
        <v>11531</v>
      </c>
      <c r="CG71" s="46">
        <v>491510016</v>
      </c>
      <c r="CH71" s="46">
        <v>136</v>
      </c>
      <c r="CI71" s="46">
        <v>0</v>
      </c>
      <c r="CJ71" s="46">
        <v>0</v>
      </c>
      <c r="CK71" s="46">
        <v>1</v>
      </c>
      <c r="CL71" s="46">
        <v>11</v>
      </c>
      <c r="CM71" s="46">
        <v>0</v>
      </c>
      <c r="CN71" s="46">
        <v>0</v>
      </c>
      <c r="CO71" s="46">
        <v>0</v>
      </c>
      <c r="CP71" s="46">
        <v>125</v>
      </c>
      <c r="CQ71" s="46">
        <v>1</v>
      </c>
      <c r="CR71" s="46">
        <v>1</v>
      </c>
      <c r="CS71" s="46">
        <v>0</v>
      </c>
      <c r="CT71" s="46">
        <v>1</v>
      </c>
      <c r="CU71" s="46">
        <v>1</v>
      </c>
      <c r="CV71" s="46">
        <v>0</v>
      </c>
      <c r="CW71" s="46">
        <v>1</v>
      </c>
      <c r="CX71" s="46">
        <v>1</v>
      </c>
      <c r="CY71" s="50" t="s">
        <v>159</v>
      </c>
      <c r="CZ71" s="37"/>
      <c r="DA71" s="38"/>
    </row>
    <row r="72" spans="1:105" x14ac:dyDescent="0.25">
      <c r="A72" s="36">
        <v>69</v>
      </c>
      <c r="B72" s="46" t="s">
        <v>790</v>
      </c>
      <c r="C72" s="46">
        <v>56907</v>
      </c>
      <c r="D72" s="46">
        <v>54364</v>
      </c>
      <c r="E72" s="46">
        <v>3</v>
      </c>
      <c r="F72" s="46">
        <v>28</v>
      </c>
      <c r="G72" s="46">
        <v>-2</v>
      </c>
      <c r="H72" s="46">
        <v>-3</v>
      </c>
      <c r="I72" s="46">
        <v>0.152</v>
      </c>
      <c r="J72" s="46">
        <v>-1787</v>
      </c>
      <c r="K72" s="46">
        <v>203.3698</v>
      </c>
      <c r="L72" s="46">
        <v>15.82</v>
      </c>
      <c r="M72" s="46">
        <v>0</v>
      </c>
      <c r="N72" s="46">
        <v>1</v>
      </c>
      <c r="O72" s="46">
        <v>291.21899999999999</v>
      </c>
      <c r="P72" s="46">
        <v>0</v>
      </c>
      <c r="Q72" s="46">
        <v>211</v>
      </c>
      <c r="R72" s="46">
        <v>1</v>
      </c>
      <c r="S72" s="46">
        <v>245</v>
      </c>
      <c r="T72" s="46">
        <v>602118144</v>
      </c>
      <c r="U72" s="46">
        <v>65</v>
      </c>
      <c r="V72" s="46">
        <v>32</v>
      </c>
      <c r="W72" s="46">
        <v>63.003</v>
      </c>
      <c r="X72" s="46">
        <v>97.870400000000004</v>
      </c>
      <c r="Y72" s="46">
        <v>0.77</v>
      </c>
      <c r="Z72" s="46">
        <v>352.7</v>
      </c>
      <c r="AA72" s="63">
        <v>3</v>
      </c>
      <c r="AB72" s="63">
        <v>28</v>
      </c>
      <c r="AC72" s="46">
        <v>15</v>
      </c>
      <c r="AD72" s="46">
        <v>99</v>
      </c>
      <c r="AE72" s="56">
        <v>0</v>
      </c>
      <c r="AF72" s="46">
        <v>106903552</v>
      </c>
      <c r="AG72" s="37" t="s">
        <v>159</v>
      </c>
      <c r="AH72" s="37" t="s">
        <v>159</v>
      </c>
      <c r="AI72" s="37" t="s">
        <v>159</v>
      </c>
      <c r="AJ72" s="37" t="s">
        <v>159</v>
      </c>
      <c r="AK72" s="37" t="s">
        <v>159</v>
      </c>
      <c r="AL72" s="37" t="s">
        <v>159</v>
      </c>
      <c r="AM72" s="37" t="s">
        <v>159</v>
      </c>
      <c r="AN72" s="37" t="s">
        <v>159</v>
      </c>
      <c r="AO72" s="37" t="s">
        <v>159</v>
      </c>
      <c r="AP72" s="37" t="s">
        <v>159</v>
      </c>
      <c r="AQ72" s="37" t="s">
        <v>159</v>
      </c>
      <c r="AR72" s="37" t="s">
        <v>159</v>
      </c>
      <c r="AS72" s="37" t="s">
        <v>159</v>
      </c>
      <c r="AT72" s="37" t="s">
        <v>159</v>
      </c>
      <c r="AU72" s="37" t="s">
        <v>159</v>
      </c>
      <c r="AV72" s="37" t="s">
        <v>159</v>
      </c>
      <c r="AW72" s="37" t="s">
        <v>159</v>
      </c>
      <c r="AX72" s="37" t="s">
        <v>159</v>
      </c>
      <c r="AY72" s="37" t="s">
        <v>159</v>
      </c>
      <c r="AZ72" s="37" t="s">
        <v>159</v>
      </c>
      <c r="BA72" s="37" t="s">
        <v>159</v>
      </c>
      <c r="BB72" s="37" t="s">
        <v>159</v>
      </c>
      <c r="BC72" s="37" t="s">
        <v>159</v>
      </c>
      <c r="BD72" s="37" t="s">
        <v>159</v>
      </c>
      <c r="BE72" s="37" t="s">
        <v>159</v>
      </c>
      <c r="BF72" s="37" t="s">
        <v>159</v>
      </c>
      <c r="BG72" s="37" t="s">
        <v>159</v>
      </c>
      <c r="BH72" s="37" t="s">
        <v>159</v>
      </c>
      <c r="BI72" s="37" t="s">
        <v>159</v>
      </c>
      <c r="BJ72" s="37" t="s">
        <v>159</v>
      </c>
      <c r="BK72" s="37" t="s">
        <v>159</v>
      </c>
      <c r="BL72" s="37" t="s">
        <v>159</v>
      </c>
      <c r="BM72" s="37" t="s">
        <v>159</v>
      </c>
      <c r="BN72" s="37" t="s">
        <v>159</v>
      </c>
      <c r="BO72" s="37" t="s">
        <v>159</v>
      </c>
      <c r="BP72" s="46">
        <v>28</v>
      </c>
      <c r="BQ72" s="46">
        <v>15.82</v>
      </c>
      <c r="BR72" s="46">
        <v>-2</v>
      </c>
      <c r="BS72" s="46">
        <v>-3</v>
      </c>
      <c r="BT72" s="46">
        <v>114</v>
      </c>
      <c r="BU72" s="46">
        <v>55</v>
      </c>
      <c r="BV72" s="46">
        <v>38</v>
      </c>
      <c r="BW72" s="46">
        <v>291.21899999999999</v>
      </c>
      <c r="BX72" s="46">
        <v>-1787</v>
      </c>
      <c r="BY72" s="46">
        <v>63.003</v>
      </c>
      <c r="BZ72" s="46">
        <v>97.870400000000004</v>
      </c>
      <c r="CA72" s="46">
        <v>0</v>
      </c>
      <c r="CB72" s="46">
        <v>1</v>
      </c>
      <c r="CC72" s="46">
        <v>1</v>
      </c>
      <c r="CD72" s="46">
        <v>99</v>
      </c>
      <c r="CE72" s="46">
        <v>1</v>
      </c>
      <c r="CF72" s="46">
        <v>0</v>
      </c>
      <c r="CG72" s="46">
        <v>602118144</v>
      </c>
      <c r="CH72" s="46">
        <v>65</v>
      </c>
      <c r="CI72" s="46">
        <v>32089</v>
      </c>
      <c r="CJ72" s="46">
        <v>29642</v>
      </c>
      <c r="CK72" s="46">
        <v>3</v>
      </c>
      <c r="CL72" s="46">
        <v>28</v>
      </c>
      <c r="CM72" s="46">
        <v>1</v>
      </c>
      <c r="CN72" s="46">
        <v>1</v>
      </c>
      <c r="CO72" s="46">
        <v>1</v>
      </c>
      <c r="CP72" s="46">
        <v>352.7</v>
      </c>
      <c r="CQ72" s="46">
        <v>0</v>
      </c>
      <c r="CR72" s="46">
        <v>0</v>
      </c>
      <c r="CS72" s="46">
        <v>0</v>
      </c>
      <c r="CT72" s="46">
        <v>0</v>
      </c>
      <c r="CU72" s="46">
        <v>0</v>
      </c>
      <c r="CV72" s="46">
        <v>1</v>
      </c>
      <c r="CW72" s="46">
        <v>1</v>
      </c>
      <c r="CX72" s="46">
        <v>0</v>
      </c>
      <c r="CY72" s="50" t="s">
        <v>159</v>
      </c>
      <c r="CZ72" s="37"/>
      <c r="DA72" s="38"/>
    </row>
    <row r="73" spans="1:105" x14ac:dyDescent="0.25">
      <c r="A73" s="36">
        <v>70</v>
      </c>
      <c r="B73" s="46" t="s">
        <v>791</v>
      </c>
      <c r="C73" s="46">
        <v>43980</v>
      </c>
      <c r="D73" s="46">
        <v>50665</v>
      </c>
      <c r="E73" s="46">
        <v>2</v>
      </c>
      <c r="F73" s="46">
        <v>5</v>
      </c>
      <c r="G73" s="46">
        <v>-5</v>
      </c>
      <c r="H73" s="46">
        <v>1</v>
      </c>
      <c r="I73" s="46">
        <v>0.156</v>
      </c>
      <c r="J73" s="46">
        <v>-1628</v>
      </c>
      <c r="K73" s="46">
        <v>298.95170000000002</v>
      </c>
      <c r="L73" s="46">
        <v>214.11709999999999</v>
      </c>
      <c r="M73" s="46">
        <v>1</v>
      </c>
      <c r="N73" s="46">
        <v>0</v>
      </c>
      <c r="O73" s="46">
        <v>193.03110000000001</v>
      </c>
      <c r="P73" s="46">
        <v>0</v>
      </c>
      <c r="Q73" s="46">
        <v>223</v>
      </c>
      <c r="R73" s="46">
        <v>0</v>
      </c>
      <c r="S73" s="46">
        <v>265</v>
      </c>
      <c r="T73" s="46">
        <v>72612608</v>
      </c>
      <c r="U73" s="46">
        <v>99</v>
      </c>
      <c r="V73" s="46">
        <v>63</v>
      </c>
      <c r="W73" s="46">
        <v>221.25149999999999</v>
      </c>
      <c r="X73" s="46">
        <v>71.965000000000003</v>
      </c>
      <c r="Y73" s="46">
        <v>0.81</v>
      </c>
      <c r="Z73" s="46">
        <v>580.4</v>
      </c>
      <c r="AA73" s="63">
        <v>2</v>
      </c>
      <c r="AB73" s="63">
        <v>5</v>
      </c>
      <c r="AC73" s="46">
        <v>11</v>
      </c>
      <c r="AD73" s="46">
        <v>109</v>
      </c>
      <c r="AE73" s="56">
        <v>65535</v>
      </c>
      <c r="AF73" s="46">
        <v>1398872832</v>
      </c>
      <c r="AG73" s="37" t="s">
        <v>159</v>
      </c>
      <c r="AH73" s="37" t="s">
        <v>159</v>
      </c>
      <c r="AI73" s="37" t="s">
        <v>159</v>
      </c>
      <c r="AJ73" s="37" t="s">
        <v>159</v>
      </c>
      <c r="AK73" s="37" t="s">
        <v>159</v>
      </c>
      <c r="AL73" s="37" t="s">
        <v>159</v>
      </c>
      <c r="AM73" s="37" t="s">
        <v>159</v>
      </c>
      <c r="AN73" s="37" t="s">
        <v>159</v>
      </c>
      <c r="AO73" s="37" t="s">
        <v>159</v>
      </c>
      <c r="AP73" s="37" t="s">
        <v>159</v>
      </c>
      <c r="AQ73" s="37" t="s">
        <v>159</v>
      </c>
      <c r="AR73" s="37" t="s">
        <v>159</v>
      </c>
      <c r="AS73" s="37" t="s">
        <v>159</v>
      </c>
      <c r="AT73" s="37" t="s">
        <v>159</v>
      </c>
      <c r="AU73" s="37" t="s">
        <v>159</v>
      </c>
      <c r="AV73" s="37" t="s">
        <v>159</v>
      </c>
      <c r="AW73" s="37" t="s">
        <v>159</v>
      </c>
      <c r="AX73" s="37" t="s">
        <v>159</v>
      </c>
      <c r="AY73" s="37" t="s">
        <v>159</v>
      </c>
      <c r="AZ73" s="37" t="s">
        <v>159</v>
      </c>
      <c r="BA73" s="37" t="s">
        <v>159</v>
      </c>
      <c r="BB73" s="37" t="s">
        <v>159</v>
      </c>
      <c r="BC73" s="37" t="s">
        <v>159</v>
      </c>
      <c r="BD73" s="37" t="s">
        <v>159</v>
      </c>
      <c r="BE73" s="37" t="s">
        <v>159</v>
      </c>
      <c r="BF73" s="37" t="s">
        <v>159</v>
      </c>
      <c r="BG73" s="37" t="s">
        <v>159</v>
      </c>
      <c r="BH73" s="37" t="s">
        <v>159</v>
      </c>
      <c r="BI73" s="37" t="s">
        <v>159</v>
      </c>
      <c r="BJ73" s="37" t="s">
        <v>159</v>
      </c>
      <c r="BK73" s="37" t="s">
        <v>159</v>
      </c>
      <c r="BL73" s="37" t="s">
        <v>159</v>
      </c>
      <c r="BM73" s="37" t="s">
        <v>159</v>
      </c>
      <c r="BN73" s="37" t="s">
        <v>159</v>
      </c>
      <c r="BO73" s="37" t="s">
        <v>159</v>
      </c>
      <c r="BP73" s="46">
        <v>11</v>
      </c>
      <c r="BQ73" s="46">
        <v>214.11709999999999</v>
      </c>
      <c r="BR73" s="46">
        <v>-5</v>
      </c>
      <c r="BS73" s="46">
        <v>1</v>
      </c>
      <c r="BT73" s="46">
        <v>102</v>
      </c>
      <c r="BU73" s="46">
        <v>101</v>
      </c>
      <c r="BV73" s="46">
        <v>13</v>
      </c>
      <c r="BW73" s="46">
        <v>193.03110000000001</v>
      </c>
      <c r="BX73" s="46">
        <v>-1628</v>
      </c>
      <c r="BY73" s="46">
        <v>221.25149999999999</v>
      </c>
      <c r="BZ73" s="46">
        <v>71.965000000000003</v>
      </c>
      <c r="CA73" s="46">
        <v>1</v>
      </c>
      <c r="CB73" s="46">
        <v>0</v>
      </c>
      <c r="CC73" s="46">
        <v>1</v>
      </c>
      <c r="CD73" s="46">
        <v>109</v>
      </c>
      <c r="CE73" s="46">
        <v>1</v>
      </c>
      <c r="CF73" s="46">
        <v>265</v>
      </c>
      <c r="CG73" s="46">
        <v>72612608</v>
      </c>
      <c r="CH73" s="46">
        <v>98</v>
      </c>
      <c r="CI73" s="46">
        <v>0</v>
      </c>
      <c r="CJ73" s="46">
        <v>0</v>
      </c>
      <c r="CK73" s="46">
        <v>1</v>
      </c>
      <c r="CL73" s="46">
        <v>11</v>
      </c>
      <c r="CM73" s="46">
        <v>0</v>
      </c>
      <c r="CN73" s="46">
        <v>0</v>
      </c>
      <c r="CO73" s="46">
        <v>0</v>
      </c>
      <c r="CP73" s="46">
        <v>580.4</v>
      </c>
      <c r="CQ73" s="46">
        <v>1</v>
      </c>
      <c r="CR73" s="46">
        <v>1</v>
      </c>
      <c r="CS73" s="46">
        <v>0</v>
      </c>
      <c r="CT73" s="46">
        <v>1</v>
      </c>
      <c r="CU73" s="46">
        <v>1</v>
      </c>
      <c r="CV73" s="46">
        <v>1</v>
      </c>
      <c r="CW73" s="46">
        <v>0</v>
      </c>
      <c r="CX73" s="46">
        <v>0</v>
      </c>
      <c r="CY73" s="50" t="s">
        <v>159</v>
      </c>
      <c r="CZ73" s="37"/>
      <c r="DA73" s="38"/>
    </row>
    <row r="74" spans="1:105" x14ac:dyDescent="0.25">
      <c r="A74" s="36">
        <v>71</v>
      </c>
      <c r="B74" s="46" t="s">
        <v>792</v>
      </c>
      <c r="C74" s="46">
        <v>22998</v>
      </c>
      <c r="D74" s="46">
        <v>22157</v>
      </c>
      <c r="E74" s="46">
        <v>2</v>
      </c>
      <c r="F74" s="46">
        <v>29</v>
      </c>
      <c r="G74" s="46">
        <v>4</v>
      </c>
      <c r="H74" s="46">
        <v>-9</v>
      </c>
      <c r="I74" s="46">
        <v>0.16</v>
      </c>
      <c r="J74" s="46">
        <v>770</v>
      </c>
      <c r="K74" s="46">
        <v>288.75099999999998</v>
      </c>
      <c r="L74" s="46">
        <v>176.65620000000001</v>
      </c>
      <c r="M74" s="46">
        <v>1</v>
      </c>
      <c r="N74" s="46">
        <v>0</v>
      </c>
      <c r="O74" s="46">
        <v>261.33089999999999</v>
      </c>
      <c r="P74" s="46">
        <v>1</v>
      </c>
      <c r="Q74" s="46">
        <v>235</v>
      </c>
      <c r="R74" s="46">
        <v>0</v>
      </c>
      <c r="S74" s="46">
        <v>285</v>
      </c>
      <c r="T74" s="46">
        <v>340709888</v>
      </c>
      <c r="U74" s="46">
        <v>10</v>
      </c>
      <c r="V74" s="46">
        <v>83</v>
      </c>
      <c r="W74" s="46">
        <v>340.95310000000001</v>
      </c>
      <c r="X74" s="46">
        <v>291.11540000000002</v>
      </c>
      <c r="Y74" s="46">
        <v>0.85</v>
      </c>
      <c r="Z74" s="46">
        <v>808.1</v>
      </c>
      <c r="AA74" s="63">
        <v>2</v>
      </c>
      <c r="AB74" s="63">
        <v>29</v>
      </c>
      <c r="AC74" s="46">
        <v>9</v>
      </c>
      <c r="AD74" s="46">
        <v>119</v>
      </c>
      <c r="AE74" s="56">
        <v>33683</v>
      </c>
      <c r="AF74" s="46">
        <v>1135047168</v>
      </c>
      <c r="AG74" s="37" t="s">
        <v>159</v>
      </c>
      <c r="AH74" s="37" t="s">
        <v>159</v>
      </c>
      <c r="AI74" s="37" t="s">
        <v>159</v>
      </c>
      <c r="AJ74" s="37" t="s">
        <v>159</v>
      </c>
      <c r="AK74" s="37" t="s">
        <v>159</v>
      </c>
      <c r="AL74" s="37" t="s">
        <v>159</v>
      </c>
      <c r="AM74" s="37" t="s">
        <v>159</v>
      </c>
      <c r="AN74" s="37" t="s">
        <v>159</v>
      </c>
      <c r="AO74" s="37" t="s">
        <v>159</v>
      </c>
      <c r="AP74" s="37" t="s">
        <v>159</v>
      </c>
      <c r="AQ74" s="37" t="s">
        <v>159</v>
      </c>
      <c r="AR74" s="37" t="s">
        <v>159</v>
      </c>
      <c r="AS74" s="37" t="s">
        <v>159</v>
      </c>
      <c r="AT74" s="37" t="s">
        <v>159</v>
      </c>
      <c r="AU74" s="37" t="s">
        <v>159</v>
      </c>
      <c r="AV74" s="37" t="s">
        <v>159</v>
      </c>
      <c r="AW74" s="37" t="s">
        <v>159</v>
      </c>
      <c r="AX74" s="37" t="s">
        <v>159</v>
      </c>
      <c r="AY74" s="37" t="s">
        <v>159</v>
      </c>
      <c r="AZ74" s="37" t="s">
        <v>159</v>
      </c>
      <c r="BA74" s="37" t="s">
        <v>159</v>
      </c>
      <c r="BB74" s="37" t="s">
        <v>159</v>
      </c>
      <c r="BC74" s="37" t="s">
        <v>159</v>
      </c>
      <c r="BD74" s="37" t="s">
        <v>159</v>
      </c>
      <c r="BE74" s="37" t="s">
        <v>159</v>
      </c>
      <c r="BF74" s="37" t="s">
        <v>159</v>
      </c>
      <c r="BG74" s="37" t="s">
        <v>159</v>
      </c>
      <c r="BH74" s="37" t="s">
        <v>159</v>
      </c>
      <c r="BI74" s="37" t="s">
        <v>159</v>
      </c>
      <c r="BJ74" s="37" t="s">
        <v>159</v>
      </c>
      <c r="BK74" s="37" t="s">
        <v>159</v>
      </c>
      <c r="BL74" s="37" t="s">
        <v>159</v>
      </c>
      <c r="BM74" s="37" t="s">
        <v>159</v>
      </c>
      <c r="BN74" s="37" t="s">
        <v>159</v>
      </c>
      <c r="BO74" s="37" t="s">
        <v>159</v>
      </c>
      <c r="BP74" s="46">
        <v>9</v>
      </c>
      <c r="BQ74" s="46">
        <v>176.65620000000001</v>
      </c>
      <c r="BR74" s="46">
        <v>4</v>
      </c>
      <c r="BS74" s="46">
        <v>-9</v>
      </c>
      <c r="BT74" s="46">
        <v>7</v>
      </c>
      <c r="BU74" s="46">
        <v>3</v>
      </c>
      <c r="BV74" s="46">
        <v>62</v>
      </c>
      <c r="BW74" s="46">
        <v>261.33089999999999</v>
      </c>
      <c r="BX74" s="46">
        <v>770</v>
      </c>
      <c r="BY74" s="46">
        <v>340.95310000000001</v>
      </c>
      <c r="BZ74" s="46">
        <v>291.11540000000002</v>
      </c>
      <c r="CA74" s="46">
        <v>1</v>
      </c>
      <c r="CB74" s="46">
        <v>0</v>
      </c>
      <c r="CC74" s="46">
        <v>1</v>
      </c>
      <c r="CD74" s="46">
        <v>235</v>
      </c>
      <c r="CE74" s="46">
        <v>1</v>
      </c>
      <c r="CF74" s="46">
        <v>285</v>
      </c>
      <c r="CG74" s="46">
        <v>340709888</v>
      </c>
      <c r="CH74" s="46">
        <v>9</v>
      </c>
      <c r="CI74" s="46">
        <v>0</v>
      </c>
      <c r="CJ74" s="46">
        <v>0</v>
      </c>
      <c r="CK74" s="46">
        <v>1</v>
      </c>
      <c r="CL74" s="46">
        <v>9</v>
      </c>
      <c r="CM74" s="46">
        <v>0</v>
      </c>
      <c r="CN74" s="46">
        <v>0</v>
      </c>
      <c r="CO74" s="46">
        <v>0</v>
      </c>
      <c r="CP74" s="46">
        <v>808.1</v>
      </c>
      <c r="CQ74" s="46">
        <v>1</v>
      </c>
      <c r="CR74" s="46">
        <v>1</v>
      </c>
      <c r="CS74" s="46">
        <v>0</v>
      </c>
      <c r="CT74" s="46">
        <v>1</v>
      </c>
      <c r="CU74" s="46">
        <v>1</v>
      </c>
      <c r="CV74" s="46">
        <v>0</v>
      </c>
      <c r="CW74" s="46">
        <v>0</v>
      </c>
      <c r="CX74" s="46">
        <v>0</v>
      </c>
      <c r="CY74" s="50" t="s">
        <v>159</v>
      </c>
      <c r="CZ74" s="37"/>
      <c r="DA74" s="38"/>
    </row>
    <row r="75" spans="1:105" x14ac:dyDescent="0.25">
      <c r="A75" s="36">
        <v>72</v>
      </c>
      <c r="B75" s="46" t="s">
        <v>793</v>
      </c>
      <c r="C75" s="46">
        <v>15380</v>
      </c>
      <c r="D75" s="46">
        <v>42174</v>
      </c>
      <c r="E75" s="46">
        <v>3</v>
      </c>
      <c r="F75" s="46">
        <v>30</v>
      </c>
      <c r="G75" s="46">
        <v>-2</v>
      </c>
      <c r="H75" s="46">
        <v>-4</v>
      </c>
      <c r="I75" s="46">
        <v>0.16400000000000001</v>
      </c>
      <c r="J75" s="46">
        <v>1540</v>
      </c>
      <c r="K75" s="46">
        <v>191.90530000000001</v>
      </c>
      <c r="L75" s="46">
        <v>128.43539999999999</v>
      </c>
      <c r="M75" s="46">
        <v>1</v>
      </c>
      <c r="N75" s="46">
        <v>1</v>
      </c>
      <c r="O75" s="46">
        <v>80.911000000000001</v>
      </c>
      <c r="P75" s="46">
        <v>1</v>
      </c>
      <c r="Q75" s="46">
        <v>247</v>
      </c>
      <c r="R75" s="46">
        <v>0</v>
      </c>
      <c r="S75" s="46">
        <v>305</v>
      </c>
      <c r="T75" s="46">
        <v>8015104</v>
      </c>
      <c r="U75" s="46">
        <v>34</v>
      </c>
      <c r="V75" s="46">
        <v>238</v>
      </c>
      <c r="W75" s="46">
        <v>71.194800000000001</v>
      </c>
      <c r="X75" s="46">
        <v>360</v>
      </c>
      <c r="Y75" s="46">
        <v>0.89</v>
      </c>
      <c r="Z75" s="46">
        <v>1035.8</v>
      </c>
      <c r="AA75" s="63">
        <v>3</v>
      </c>
      <c r="AB75" s="63">
        <v>30</v>
      </c>
      <c r="AC75" s="46">
        <v>7</v>
      </c>
      <c r="AD75" s="46">
        <v>129</v>
      </c>
      <c r="AE75" s="46">
        <v>15696</v>
      </c>
      <c r="AF75" s="56">
        <v>0</v>
      </c>
      <c r="AG75" s="37" t="s">
        <v>159</v>
      </c>
      <c r="AH75" s="37" t="s">
        <v>159</v>
      </c>
      <c r="AI75" s="37" t="s">
        <v>159</v>
      </c>
      <c r="AJ75" s="37" t="s">
        <v>159</v>
      </c>
      <c r="AK75" s="37" t="s">
        <v>159</v>
      </c>
      <c r="AL75" s="37" t="s">
        <v>159</v>
      </c>
      <c r="AM75" s="37" t="s">
        <v>159</v>
      </c>
      <c r="AN75" s="37" t="s">
        <v>159</v>
      </c>
      <c r="AO75" s="37" t="s">
        <v>159</v>
      </c>
      <c r="AP75" s="37" t="s">
        <v>159</v>
      </c>
      <c r="AQ75" s="37" t="s">
        <v>159</v>
      </c>
      <c r="AR75" s="37" t="s">
        <v>159</v>
      </c>
      <c r="AS75" s="37" t="s">
        <v>159</v>
      </c>
      <c r="AT75" s="37" t="s">
        <v>159</v>
      </c>
      <c r="AU75" s="37" t="s">
        <v>159</v>
      </c>
      <c r="AV75" s="37" t="s">
        <v>159</v>
      </c>
      <c r="AW75" s="37" t="s">
        <v>159</v>
      </c>
      <c r="AX75" s="37" t="s">
        <v>159</v>
      </c>
      <c r="AY75" s="37" t="s">
        <v>159</v>
      </c>
      <c r="AZ75" s="37" t="s">
        <v>159</v>
      </c>
      <c r="BA75" s="37" t="s">
        <v>159</v>
      </c>
      <c r="BB75" s="37" t="s">
        <v>159</v>
      </c>
      <c r="BC75" s="37" t="s">
        <v>159</v>
      </c>
      <c r="BD75" s="37" t="s">
        <v>159</v>
      </c>
      <c r="BE75" s="37" t="s">
        <v>159</v>
      </c>
      <c r="BF75" s="37" t="s">
        <v>159</v>
      </c>
      <c r="BG75" s="37" t="s">
        <v>159</v>
      </c>
      <c r="BH75" s="37" t="s">
        <v>159</v>
      </c>
      <c r="BI75" s="37" t="s">
        <v>159</v>
      </c>
      <c r="BJ75" s="37" t="s">
        <v>159</v>
      </c>
      <c r="BK75" s="37" t="s">
        <v>159</v>
      </c>
      <c r="BL75" s="37" t="s">
        <v>159</v>
      </c>
      <c r="BM75" s="37" t="s">
        <v>159</v>
      </c>
      <c r="BN75" s="37" t="s">
        <v>159</v>
      </c>
      <c r="BO75" s="37" t="s">
        <v>159</v>
      </c>
      <c r="BP75" s="46">
        <v>7</v>
      </c>
      <c r="BQ75" s="46">
        <v>128.43539999999999</v>
      </c>
      <c r="BR75" s="46">
        <v>-2</v>
      </c>
      <c r="BS75" s="46">
        <v>-4</v>
      </c>
      <c r="BT75" s="46">
        <v>12</v>
      </c>
      <c r="BU75" s="46">
        <v>125</v>
      </c>
      <c r="BV75" s="46">
        <v>66</v>
      </c>
      <c r="BW75" s="46">
        <v>80.911000000000001</v>
      </c>
      <c r="BX75" s="46">
        <v>1540</v>
      </c>
      <c r="BY75" s="46">
        <v>71.194800000000001</v>
      </c>
      <c r="BZ75" s="46">
        <v>360</v>
      </c>
      <c r="CA75" s="46">
        <v>1</v>
      </c>
      <c r="CB75" s="46">
        <v>1</v>
      </c>
      <c r="CC75" s="46">
        <v>1</v>
      </c>
      <c r="CD75" s="46">
        <v>247</v>
      </c>
      <c r="CE75" s="46">
        <v>1</v>
      </c>
      <c r="CF75" s="46">
        <v>305</v>
      </c>
      <c r="CG75" s="46">
        <v>8015104</v>
      </c>
      <c r="CH75" s="46">
        <v>33</v>
      </c>
      <c r="CI75" s="46">
        <v>0</v>
      </c>
      <c r="CJ75" s="46">
        <v>0</v>
      </c>
      <c r="CK75" s="46">
        <v>1</v>
      </c>
      <c r="CL75" s="46">
        <v>7</v>
      </c>
      <c r="CM75" s="46">
        <v>0</v>
      </c>
      <c r="CN75" s="46">
        <v>0</v>
      </c>
      <c r="CO75" s="46">
        <v>0</v>
      </c>
      <c r="CP75" s="46">
        <v>1035.8</v>
      </c>
      <c r="CQ75" s="46">
        <v>1</v>
      </c>
      <c r="CR75" s="46">
        <v>1</v>
      </c>
      <c r="CS75" s="46">
        <v>0</v>
      </c>
      <c r="CT75" s="46">
        <v>1</v>
      </c>
      <c r="CU75" s="46">
        <v>1</v>
      </c>
      <c r="CV75" s="46">
        <v>0</v>
      </c>
      <c r="CW75" s="46">
        <v>0</v>
      </c>
      <c r="CX75" s="46">
        <v>0</v>
      </c>
      <c r="CY75" s="50" t="s">
        <v>159</v>
      </c>
      <c r="CZ75" s="37"/>
      <c r="DA75" s="38"/>
    </row>
    <row r="76" spans="1:105" x14ac:dyDescent="0.25">
      <c r="A76" s="36">
        <v>73</v>
      </c>
      <c r="B76" s="46" t="s">
        <v>794</v>
      </c>
      <c r="C76" s="46">
        <v>16453</v>
      </c>
      <c r="D76" s="46">
        <v>10712</v>
      </c>
      <c r="E76" s="46">
        <v>4</v>
      </c>
      <c r="F76" s="46">
        <v>19</v>
      </c>
      <c r="G76" s="46">
        <v>5</v>
      </c>
      <c r="H76" s="46">
        <v>-4</v>
      </c>
      <c r="I76" s="46">
        <v>0.7</v>
      </c>
      <c r="J76" s="46">
        <v>842</v>
      </c>
      <c r="K76" s="46">
        <v>42.223300000000002</v>
      </c>
      <c r="L76" s="46">
        <v>190.84610000000001</v>
      </c>
      <c r="M76" s="46">
        <v>1</v>
      </c>
      <c r="N76" s="46">
        <v>0</v>
      </c>
      <c r="O76" s="46">
        <v>345.66989999999998</v>
      </c>
      <c r="P76" s="46">
        <v>0</v>
      </c>
      <c r="Q76" s="46">
        <v>259</v>
      </c>
      <c r="R76" s="46">
        <v>0</v>
      </c>
      <c r="S76" s="46">
        <v>325</v>
      </c>
      <c r="T76" s="46">
        <v>1470356480</v>
      </c>
      <c r="U76" s="46">
        <v>38</v>
      </c>
      <c r="V76" s="46">
        <v>7</v>
      </c>
      <c r="W76" s="46">
        <v>48.367199999999997</v>
      </c>
      <c r="X76" s="46">
        <v>298.03140000000002</v>
      </c>
      <c r="Y76" s="46">
        <v>0.93</v>
      </c>
      <c r="Z76" s="46">
        <v>1263.5</v>
      </c>
      <c r="AA76" s="63">
        <v>4</v>
      </c>
      <c r="AB76" s="63">
        <v>19</v>
      </c>
      <c r="AC76" s="46">
        <v>1</v>
      </c>
      <c r="AD76" s="46">
        <v>139</v>
      </c>
      <c r="AE76" s="46">
        <v>9744</v>
      </c>
      <c r="AF76" s="56">
        <v>4294967295</v>
      </c>
      <c r="AG76" s="37" t="s">
        <v>159</v>
      </c>
      <c r="AH76" s="37" t="s">
        <v>159</v>
      </c>
      <c r="AI76" s="37" t="s">
        <v>159</v>
      </c>
      <c r="AJ76" s="37" t="s">
        <v>159</v>
      </c>
      <c r="AK76" s="37" t="s">
        <v>159</v>
      </c>
      <c r="AL76" s="37" t="s">
        <v>159</v>
      </c>
      <c r="AM76" s="37" t="s">
        <v>159</v>
      </c>
      <c r="AN76" s="37" t="s">
        <v>159</v>
      </c>
      <c r="AO76" s="37" t="s">
        <v>159</v>
      </c>
      <c r="AP76" s="37" t="s">
        <v>159</v>
      </c>
      <c r="AQ76" s="37" t="s">
        <v>159</v>
      </c>
      <c r="AR76" s="37" t="s">
        <v>159</v>
      </c>
      <c r="AS76" s="37" t="s">
        <v>159</v>
      </c>
      <c r="AT76" s="37" t="s">
        <v>159</v>
      </c>
      <c r="AU76" s="37" t="s">
        <v>159</v>
      </c>
      <c r="AV76" s="37" t="s">
        <v>159</v>
      </c>
      <c r="AW76" s="37" t="s">
        <v>159</v>
      </c>
      <c r="AX76" s="37" t="s">
        <v>159</v>
      </c>
      <c r="AY76" s="37" t="s">
        <v>159</v>
      </c>
      <c r="AZ76" s="37" t="s">
        <v>159</v>
      </c>
      <c r="BA76" s="37" t="s">
        <v>159</v>
      </c>
      <c r="BB76" s="37" t="s">
        <v>159</v>
      </c>
      <c r="BC76" s="37" t="s">
        <v>159</v>
      </c>
      <c r="BD76" s="37" t="s">
        <v>159</v>
      </c>
      <c r="BE76" s="37" t="s">
        <v>159</v>
      </c>
      <c r="BF76" s="37" t="s">
        <v>159</v>
      </c>
      <c r="BG76" s="37" t="s">
        <v>159</v>
      </c>
      <c r="BH76" s="37" t="s">
        <v>159</v>
      </c>
      <c r="BI76" s="37" t="s">
        <v>159</v>
      </c>
      <c r="BJ76" s="37" t="s">
        <v>159</v>
      </c>
      <c r="BK76" s="37" t="s">
        <v>159</v>
      </c>
      <c r="BL76" s="37" t="s">
        <v>159</v>
      </c>
      <c r="BM76" s="37" t="s">
        <v>159</v>
      </c>
      <c r="BN76" s="37" t="s">
        <v>159</v>
      </c>
      <c r="BO76" s="37" t="s">
        <v>159</v>
      </c>
      <c r="BP76" s="46">
        <v>1</v>
      </c>
      <c r="BQ76" s="46">
        <v>190.84610000000001</v>
      </c>
      <c r="BR76" s="46">
        <v>5</v>
      </c>
      <c r="BS76" s="46">
        <v>-4</v>
      </c>
      <c r="BT76" s="46">
        <v>52</v>
      </c>
      <c r="BU76" s="46">
        <v>113</v>
      </c>
      <c r="BV76" s="46">
        <v>54</v>
      </c>
      <c r="BW76" s="46">
        <v>345.66989999999998</v>
      </c>
      <c r="BX76" s="46">
        <v>842</v>
      </c>
      <c r="BY76" s="46">
        <v>48.367199999999997</v>
      </c>
      <c r="BZ76" s="46">
        <v>298.03140000000002</v>
      </c>
      <c r="CA76" s="46">
        <v>1</v>
      </c>
      <c r="CB76" s="46">
        <v>0</v>
      </c>
      <c r="CC76" s="46">
        <v>1</v>
      </c>
      <c r="CD76" s="46">
        <v>139</v>
      </c>
      <c r="CE76" s="46">
        <v>1</v>
      </c>
      <c r="CF76" s="46">
        <v>325</v>
      </c>
      <c r="CG76" s="46">
        <v>1470356480</v>
      </c>
      <c r="CH76" s="46">
        <v>37</v>
      </c>
      <c r="CI76" s="46">
        <v>0</v>
      </c>
      <c r="CJ76" s="46">
        <v>0</v>
      </c>
      <c r="CK76" s="46">
        <v>1</v>
      </c>
      <c r="CL76" s="46">
        <v>1</v>
      </c>
      <c r="CM76" s="46">
        <v>0</v>
      </c>
      <c r="CN76" s="46">
        <v>0</v>
      </c>
      <c r="CO76" s="46">
        <v>0</v>
      </c>
      <c r="CP76" s="46">
        <v>1263.5</v>
      </c>
      <c r="CQ76" s="46">
        <v>1</v>
      </c>
      <c r="CR76" s="46">
        <v>1</v>
      </c>
      <c r="CS76" s="46">
        <v>0</v>
      </c>
      <c r="CT76" s="46">
        <v>1</v>
      </c>
      <c r="CU76" s="46">
        <v>1</v>
      </c>
      <c r="CV76" s="46">
        <v>1</v>
      </c>
      <c r="CW76" s="46">
        <v>0</v>
      </c>
      <c r="CX76" s="46">
        <v>0</v>
      </c>
      <c r="CY76" s="50" t="s">
        <v>159</v>
      </c>
      <c r="CZ76" s="37"/>
      <c r="DA76" s="38"/>
    </row>
    <row r="77" spans="1:105" x14ac:dyDescent="0.25">
      <c r="A77" s="36">
        <v>74</v>
      </c>
      <c r="B77" s="46" t="s">
        <v>795</v>
      </c>
      <c r="C77" s="46">
        <v>58094</v>
      </c>
      <c r="D77" s="46">
        <v>64388</v>
      </c>
      <c r="E77" s="46">
        <v>0</v>
      </c>
      <c r="F77" s="46">
        <v>3</v>
      </c>
      <c r="G77" s="46">
        <v>-1</v>
      </c>
      <c r="H77" s="46">
        <v>6</v>
      </c>
      <c r="I77" s="46">
        <v>0.9</v>
      </c>
      <c r="J77" s="46">
        <v>824</v>
      </c>
      <c r="K77" s="46">
        <v>106.614</v>
      </c>
      <c r="L77" s="46">
        <v>137.55670000000001</v>
      </c>
      <c r="M77" s="46">
        <v>0</v>
      </c>
      <c r="N77" s="46">
        <v>1</v>
      </c>
      <c r="O77" s="46">
        <v>268.0831</v>
      </c>
      <c r="P77" s="46">
        <v>0</v>
      </c>
      <c r="Q77" s="46">
        <v>500</v>
      </c>
      <c r="R77" s="46">
        <v>0</v>
      </c>
      <c r="S77" s="46">
        <v>555</v>
      </c>
      <c r="T77" s="46">
        <v>2938318592</v>
      </c>
      <c r="U77" s="46">
        <v>228</v>
      </c>
      <c r="V77" s="46">
        <v>177</v>
      </c>
      <c r="W77" s="46">
        <v>334.34460000000001</v>
      </c>
      <c r="X77" s="46">
        <v>297.92169999999999</v>
      </c>
      <c r="Y77" s="46">
        <v>0.3</v>
      </c>
      <c r="Z77" s="46">
        <v>1491.2</v>
      </c>
      <c r="AA77" s="63">
        <v>0</v>
      </c>
      <c r="AB77" s="63">
        <v>3</v>
      </c>
      <c r="AC77" s="46">
        <v>3</v>
      </c>
      <c r="AD77" s="46">
        <v>149</v>
      </c>
      <c r="AE77" s="46">
        <v>29965</v>
      </c>
      <c r="AF77" s="56">
        <v>2755322112</v>
      </c>
      <c r="AG77" s="37" t="s">
        <v>159</v>
      </c>
      <c r="AH77" s="37" t="s">
        <v>159</v>
      </c>
      <c r="AI77" s="37" t="s">
        <v>159</v>
      </c>
      <c r="AJ77" s="37" t="s">
        <v>159</v>
      </c>
      <c r="AK77" s="37" t="s">
        <v>159</v>
      </c>
      <c r="AL77" s="37" t="s">
        <v>159</v>
      </c>
      <c r="AM77" s="37" t="s">
        <v>159</v>
      </c>
      <c r="AN77" s="37" t="s">
        <v>159</v>
      </c>
      <c r="AO77" s="37" t="s">
        <v>159</v>
      </c>
      <c r="AP77" s="37" t="s">
        <v>159</v>
      </c>
      <c r="AQ77" s="37" t="s">
        <v>159</v>
      </c>
      <c r="AR77" s="37" t="s">
        <v>159</v>
      </c>
      <c r="AS77" s="37" t="s">
        <v>159</v>
      </c>
      <c r="AT77" s="37" t="s">
        <v>159</v>
      </c>
      <c r="AU77" s="37" t="s">
        <v>159</v>
      </c>
      <c r="AV77" s="37" t="s">
        <v>159</v>
      </c>
      <c r="AW77" s="37" t="s">
        <v>159</v>
      </c>
      <c r="AX77" s="37" t="s">
        <v>159</v>
      </c>
      <c r="AY77" s="37" t="s">
        <v>159</v>
      </c>
      <c r="AZ77" s="37" t="s">
        <v>159</v>
      </c>
      <c r="BA77" s="37" t="s">
        <v>159</v>
      </c>
      <c r="BB77" s="37" t="s">
        <v>159</v>
      </c>
      <c r="BC77" s="37" t="s">
        <v>159</v>
      </c>
      <c r="BD77" s="37" t="s">
        <v>159</v>
      </c>
      <c r="BE77" s="37" t="s">
        <v>159</v>
      </c>
      <c r="BF77" s="37" t="s">
        <v>159</v>
      </c>
      <c r="BG77" s="37" t="s">
        <v>159</v>
      </c>
      <c r="BH77" s="37" t="s">
        <v>159</v>
      </c>
      <c r="BI77" s="37" t="s">
        <v>159</v>
      </c>
      <c r="BJ77" s="37" t="s">
        <v>159</v>
      </c>
      <c r="BK77" s="37" t="s">
        <v>159</v>
      </c>
      <c r="BL77" s="37" t="s">
        <v>159</v>
      </c>
      <c r="BM77" s="37" t="s">
        <v>159</v>
      </c>
      <c r="BN77" s="37" t="s">
        <v>159</v>
      </c>
      <c r="BO77" s="37" t="s">
        <v>159</v>
      </c>
      <c r="BP77" s="46">
        <v>3</v>
      </c>
      <c r="BQ77" s="46">
        <v>137.55670000000001</v>
      </c>
      <c r="BR77" s="46">
        <v>-1</v>
      </c>
      <c r="BS77" s="46">
        <v>6</v>
      </c>
      <c r="BT77" s="46">
        <v>40</v>
      </c>
      <c r="BU77" s="46">
        <v>67</v>
      </c>
      <c r="BV77" s="46">
        <v>74</v>
      </c>
      <c r="BW77" s="46">
        <v>268.0831</v>
      </c>
      <c r="BX77" s="46">
        <v>824</v>
      </c>
      <c r="BY77" s="46">
        <v>334.34460000000001</v>
      </c>
      <c r="BZ77" s="46">
        <v>297.92169999999999</v>
      </c>
      <c r="CA77" s="46">
        <v>0</v>
      </c>
      <c r="CB77" s="46">
        <v>1</v>
      </c>
      <c r="CC77" s="46">
        <v>1</v>
      </c>
      <c r="CD77" s="46">
        <v>149</v>
      </c>
      <c r="CE77" s="46">
        <v>1</v>
      </c>
      <c r="CF77" s="46">
        <v>555</v>
      </c>
      <c r="CG77" s="46">
        <v>2938318592</v>
      </c>
      <c r="CH77" s="46">
        <v>227</v>
      </c>
      <c r="CI77" s="46">
        <v>0</v>
      </c>
      <c r="CJ77" s="46">
        <v>0</v>
      </c>
      <c r="CK77" s="46">
        <v>1</v>
      </c>
      <c r="CL77" s="46">
        <v>3</v>
      </c>
      <c r="CM77" s="46">
        <v>0</v>
      </c>
      <c r="CN77" s="46">
        <v>0</v>
      </c>
      <c r="CO77" s="46">
        <v>0</v>
      </c>
      <c r="CP77" s="46">
        <v>1491.2</v>
      </c>
      <c r="CQ77" s="46">
        <v>1</v>
      </c>
      <c r="CR77" s="46">
        <v>1</v>
      </c>
      <c r="CS77" s="46">
        <v>0</v>
      </c>
      <c r="CT77" s="46">
        <v>1</v>
      </c>
      <c r="CU77" s="46">
        <v>1</v>
      </c>
      <c r="CV77" s="46">
        <v>1</v>
      </c>
      <c r="CW77" s="46">
        <v>0</v>
      </c>
      <c r="CX77" s="46">
        <v>0</v>
      </c>
      <c r="CY77" s="50" t="s">
        <v>159</v>
      </c>
      <c r="CZ77" s="37"/>
      <c r="DA77" s="38"/>
    </row>
    <row r="78" spans="1:105" x14ac:dyDescent="0.25">
      <c r="A78" s="36">
        <v>75</v>
      </c>
      <c r="B78" s="46" t="s">
        <v>798</v>
      </c>
      <c r="C78" s="46">
        <v>45084</v>
      </c>
      <c r="D78" s="46">
        <v>10827</v>
      </c>
      <c r="E78" s="46">
        <v>2</v>
      </c>
      <c r="F78" s="46">
        <v>8</v>
      </c>
      <c r="G78" s="46">
        <v>-1</v>
      </c>
      <c r="H78" s="46">
        <v>-10</v>
      </c>
      <c r="I78" s="46">
        <v>0.124</v>
      </c>
      <c r="J78" s="46">
        <v>-1361</v>
      </c>
      <c r="K78" s="46">
        <v>264.55439999999999</v>
      </c>
      <c r="L78" s="46">
        <v>178.5575</v>
      </c>
      <c r="M78" s="46">
        <v>1</v>
      </c>
      <c r="N78" s="46">
        <v>0</v>
      </c>
      <c r="O78" s="46">
        <v>114.0287</v>
      </c>
      <c r="P78" s="46">
        <v>1</v>
      </c>
      <c r="Q78" s="46">
        <v>127</v>
      </c>
      <c r="R78" s="46">
        <v>1</v>
      </c>
      <c r="S78" s="46">
        <v>105</v>
      </c>
      <c r="T78" s="46">
        <v>3483204864</v>
      </c>
      <c r="U78" s="46">
        <v>111</v>
      </c>
      <c r="V78" s="46">
        <v>1</v>
      </c>
      <c r="W78" s="46">
        <v>19.8353</v>
      </c>
      <c r="X78" s="46">
        <v>204.13419999999999</v>
      </c>
      <c r="Y78" s="56">
        <v>0</v>
      </c>
      <c r="Z78" s="46">
        <v>1718.9</v>
      </c>
      <c r="AA78" s="63">
        <v>2</v>
      </c>
      <c r="AB78" s="63">
        <v>8</v>
      </c>
      <c r="AC78" s="46">
        <v>6</v>
      </c>
      <c r="AD78" s="46">
        <v>159</v>
      </c>
      <c r="AE78" s="46">
        <v>655</v>
      </c>
      <c r="AF78" s="46">
        <v>124</v>
      </c>
      <c r="AG78" s="37" t="s">
        <v>159</v>
      </c>
      <c r="AH78" s="37" t="s">
        <v>159</v>
      </c>
      <c r="AI78" s="37" t="s">
        <v>159</v>
      </c>
      <c r="AJ78" s="37" t="s">
        <v>159</v>
      </c>
      <c r="AK78" s="37" t="s">
        <v>159</v>
      </c>
      <c r="AL78" s="37" t="s">
        <v>159</v>
      </c>
      <c r="AM78" s="37" t="s">
        <v>159</v>
      </c>
      <c r="AN78" s="37" t="s">
        <v>159</v>
      </c>
      <c r="AO78" s="37" t="s">
        <v>159</v>
      </c>
      <c r="AP78" s="37" t="s">
        <v>159</v>
      </c>
      <c r="AQ78" s="37" t="s">
        <v>159</v>
      </c>
      <c r="AR78" s="37" t="s">
        <v>159</v>
      </c>
      <c r="AS78" s="37" t="s">
        <v>159</v>
      </c>
      <c r="AT78" s="37" t="s">
        <v>159</v>
      </c>
      <c r="AU78" s="37" t="s">
        <v>159</v>
      </c>
      <c r="AV78" s="37" t="s">
        <v>159</v>
      </c>
      <c r="AW78" s="37" t="s">
        <v>159</v>
      </c>
      <c r="AX78" s="37" t="s">
        <v>159</v>
      </c>
      <c r="AY78" s="37" t="s">
        <v>159</v>
      </c>
      <c r="AZ78" s="37" t="s">
        <v>159</v>
      </c>
      <c r="BA78" s="37" t="s">
        <v>159</v>
      </c>
      <c r="BB78" s="37" t="s">
        <v>159</v>
      </c>
      <c r="BC78" s="37" t="s">
        <v>159</v>
      </c>
      <c r="BD78" s="37" t="s">
        <v>159</v>
      </c>
      <c r="BE78" s="37" t="s">
        <v>159</v>
      </c>
      <c r="BF78" s="37" t="s">
        <v>159</v>
      </c>
      <c r="BG78" s="37" t="s">
        <v>159</v>
      </c>
      <c r="BH78" s="37" t="s">
        <v>159</v>
      </c>
      <c r="BI78" s="37" t="s">
        <v>159</v>
      </c>
      <c r="BJ78" s="37" t="s">
        <v>159</v>
      </c>
      <c r="BK78" s="37" t="s">
        <v>159</v>
      </c>
      <c r="BL78" s="37" t="s">
        <v>159</v>
      </c>
      <c r="BM78" s="37" t="s">
        <v>159</v>
      </c>
      <c r="BN78" s="37" t="s">
        <v>159</v>
      </c>
      <c r="BO78" s="37" t="s">
        <v>159</v>
      </c>
      <c r="BP78" s="46">
        <v>6</v>
      </c>
      <c r="BQ78" s="46">
        <v>178.5575</v>
      </c>
      <c r="BR78" s="46">
        <v>-1</v>
      </c>
      <c r="BS78" s="46">
        <v>-10</v>
      </c>
      <c r="BT78" s="46">
        <v>67</v>
      </c>
      <c r="BU78" s="46">
        <v>9</v>
      </c>
      <c r="BV78" s="46">
        <v>63</v>
      </c>
      <c r="BW78" s="46">
        <v>114.0287</v>
      </c>
      <c r="BX78" s="46">
        <v>-1361</v>
      </c>
      <c r="BY78" s="46">
        <v>19.8353</v>
      </c>
      <c r="BZ78" s="46">
        <v>204.13419999999999</v>
      </c>
      <c r="CA78" s="46">
        <v>1</v>
      </c>
      <c r="CB78" s="46">
        <v>0</v>
      </c>
      <c r="CC78" s="46">
        <v>1</v>
      </c>
      <c r="CD78" s="46">
        <v>127</v>
      </c>
      <c r="CE78" s="46">
        <v>1</v>
      </c>
      <c r="CF78" s="46">
        <v>655</v>
      </c>
      <c r="CG78" s="46">
        <v>124</v>
      </c>
      <c r="CH78" s="46">
        <v>110</v>
      </c>
      <c r="CI78" s="46">
        <v>0</v>
      </c>
      <c r="CJ78" s="46">
        <v>0</v>
      </c>
      <c r="CK78" s="46">
        <v>1</v>
      </c>
      <c r="CL78" s="46">
        <v>6</v>
      </c>
      <c r="CM78" s="46">
        <v>0</v>
      </c>
      <c r="CN78" s="46">
        <v>0</v>
      </c>
      <c r="CO78" s="46">
        <v>0</v>
      </c>
      <c r="CP78" s="46">
        <v>1718.9</v>
      </c>
      <c r="CQ78" s="46">
        <v>1</v>
      </c>
      <c r="CR78" s="46">
        <v>1</v>
      </c>
      <c r="CS78" s="46">
        <v>0</v>
      </c>
      <c r="CT78" s="46">
        <v>1</v>
      </c>
      <c r="CU78" s="46">
        <v>1</v>
      </c>
      <c r="CV78" s="46">
        <v>0</v>
      </c>
      <c r="CW78" s="46">
        <v>1</v>
      </c>
      <c r="CX78" s="46">
        <v>1</v>
      </c>
      <c r="CY78" s="50" t="s">
        <v>159</v>
      </c>
      <c r="CZ78" s="37"/>
      <c r="DA78" s="38"/>
    </row>
    <row r="79" spans="1:105" x14ac:dyDescent="0.25">
      <c r="A79" s="36">
        <v>76</v>
      </c>
      <c r="B79" s="46" t="s">
        <v>800</v>
      </c>
      <c r="C79" s="46">
        <v>8334</v>
      </c>
      <c r="D79" s="46">
        <v>52113</v>
      </c>
      <c r="E79" s="46">
        <v>3</v>
      </c>
      <c r="F79" s="46">
        <v>27</v>
      </c>
      <c r="G79" s="46">
        <v>4</v>
      </c>
      <c r="H79" s="46">
        <v>8</v>
      </c>
      <c r="I79" s="46">
        <v>0.128</v>
      </c>
      <c r="J79" s="46">
        <v>696</v>
      </c>
      <c r="K79" s="46">
        <v>148.7517</v>
      </c>
      <c r="L79" s="46">
        <v>279.49279999999999</v>
      </c>
      <c r="M79" s="46">
        <v>0</v>
      </c>
      <c r="N79" s="46">
        <v>1</v>
      </c>
      <c r="O79" s="46">
        <v>129.43430000000001</v>
      </c>
      <c r="P79" s="46">
        <v>0</v>
      </c>
      <c r="Q79" s="46">
        <v>139</v>
      </c>
      <c r="R79" s="46">
        <v>1</v>
      </c>
      <c r="S79" s="46">
        <v>125</v>
      </c>
      <c r="T79" s="46">
        <v>2998389248</v>
      </c>
      <c r="U79" s="46">
        <v>237</v>
      </c>
      <c r="V79" s="46">
        <v>59</v>
      </c>
      <c r="W79" s="46">
        <v>359.5686</v>
      </c>
      <c r="X79" s="46">
        <v>178.87010000000001</v>
      </c>
      <c r="Y79" s="56">
        <v>1</v>
      </c>
      <c r="Z79" s="46">
        <v>1946.6</v>
      </c>
      <c r="AA79" s="63">
        <v>3</v>
      </c>
      <c r="AB79" s="63">
        <v>27</v>
      </c>
      <c r="AC79" s="46">
        <v>9</v>
      </c>
      <c r="AD79" s="46">
        <v>169</v>
      </c>
      <c r="AE79" s="46">
        <v>253</v>
      </c>
      <c r="AF79" s="46">
        <v>561</v>
      </c>
      <c r="AG79" s="37" t="s">
        <v>159</v>
      </c>
      <c r="AH79" s="37" t="s">
        <v>159</v>
      </c>
      <c r="AI79" s="37" t="s">
        <v>159</v>
      </c>
      <c r="AJ79" s="37" t="s">
        <v>159</v>
      </c>
      <c r="AK79" s="37" t="s">
        <v>159</v>
      </c>
      <c r="AL79" s="37" t="s">
        <v>159</v>
      </c>
      <c r="AM79" s="37" t="s">
        <v>159</v>
      </c>
      <c r="AN79" s="37" t="s">
        <v>159</v>
      </c>
      <c r="AO79" s="37" t="s">
        <v>159</v>
      </c>
      <c r="AP79" s="37" t="s">
        <v>159</v>
      </c>
      <c r="AQ79" s="37" t="s">
        <v>159</v>
      </c>
      <c r="AR79" s="37" t="s">
        <v>159</v>
      </c>
      <c r="AS79" s="37" t="s">
        <v>159</v>
      </c>
      <c r="AT79" s="37" t="s">
        <v>159</v>
      </c>
      <c r="AU79" s="37" t="s">
        <v>159</v>
      </c>
      <c r="AV79" s="37" t="s">
        <v>159</v>
      </c>
      <c r="AW79" s="37" t="s">
        <v>159</v>
      </c>
      <c r="AX79" s="37" t="s">
        <v>159</v>
      </c>
      <c r="AY79" s="37" t="s">
        <v>159</v>
      </c>
      <c r="AZ79" s="37" t="s">
        <v>159</v>
      </c>
      <c r="BA79" s="37" t="s">
        <v>159</v>
      </c>
      <c r="BB79" s="37" t="s">
        <v>159</v>
      </c>
      <c r="BC79" s="37" t="s">
        <v>159</v>
      </c>
      <c r="BD79" s="37" t="s">
        <v>159</v>
      </c>
      <c r="BE79" s="37" t="s">
        <v>159</v>
      </c>
      <c r="BF79" s="37" t="s">
        <v>159</v>
      </c>
      <c r="BG79" s="37" t="s">
        <v>159</v>
      </c>
      <c r="BH79" s="37" t="s">
        <v>159</v>
      </c>
      <c r="BI79" s="37" t="s">
        <v>159</v>
      </c>
      <c r="BJ79" s="37" t="s">
        <v>159</v>
      </c>
      <c r="BK79" s="37" t="s">
        <v>159</v>
      </c>
      <c r="BL79" s="37" t="s">
        <v>159</v>
      </c>
      <c r="BM79" s="37" t="s">
        <v>159</v>
      </c>
      <c r="BN79" s="37" t="s">
        <v>159</v>
      </c>
      <c r="BO79" s="37" t="s">
        <v>159</v>
      </c>
      <c r="BP79" s="46">
        <v>9</v>
      </c>
      <c r="BQ79" s="46">
        <v>279.49279999999999</v>
      </c>
      <c r="BR79" s="46">
        <v>4</v>
      </c>
      <c r="BS79" s="46">
        <v>8</v>
      </c>
      <c r="BT79" s="46">
        <v>68</v>
      </c>
      <c r="BU79" s="46">
        <v>58</v>
      </c>
      <c r="BV79" s="46">
        <v>32</v>
      </c>
      <c r="BW79" s="46">
        <v>129.43430000000001</v>
      </c>
      <c r="BX79" s="46">
        <v>696</v>
      </c>
      <c r="BY79" s="46">
        <v>359.5686</v>
      </c>
      <c r="BZ79" s="46">
        <v>178.87010000000001</v>
      </c>
      <c r="CA79" s="46">
        <v>0</v>
      </c>
      <c r="CB79" s="46">
        <v>1</v>
      </c>
      <c r="CC79" s="46">
        <v>1</v>
      </c>
      <c r="CD79" s="46">
        <v>169</v>
      </c>
      <c r="CE79" s="46">
        <v>1</v>
      </c>
      <c r="CF79" s="46">
        <v>253</v>
      </c>
      <c r="CG79" s="46">
        <v>561</v>
      </c>
      <c r="CH79" s="46">
        <v>236</v>
      </c>
      <c r="CI79" s="46">
        <v>0</v>
      </c>
      <c r="CJ79" s="46">
        <v>0</v>
      </c>
      <c r="CK79" s="46">
        <v>1</v>
      </c>
      <c r="CL79" s="46">
        <v>9</v>
      </c>
      <c r="CM79" s="46">
        <v>0</v>
      </c>
      <c r="CN79" s="46">
        <v>0</v>
      </c>
      <c r="CO79" s="46">
        <v>0</v>
      </c>
      <c r="CP79" s="46">
        <v>1946.6</v>
      </c>
      <c r="CQ79" s="46">
        <v>1</v>
      </c>
      <c r="CR79" s="46">
        <v>1</v>
      </c>
      <c r="CS79" s="46">
        <v>0</v>
      </c>
      <c r="CT79" s="46">
        <v>1</v>
      </c>
      <c r="CU79" s="46">
        <v>1</v>
      </c>
      <c r="CV79" s="46">
        <v>1</v>
      </c>
      <c r="CW79" s="46">
        <v>1</v>
      </c>
      <c r="CX79" s="46">
        <v>1</v>
      </c>
      <c r="CY79" s="50" t="s">
        <v>159</v>
      </c>
      <c r="CZ79" s="37"/>
      <c r="DA79" s="38"/>
    </row>
    <row r="80" spans="1:105" x14ac:dyDescent="0.25">
      <c r="A80" s="36">
        <v>77</v>
      </c>
      <c r="B80" s="46" t="s">
        <v>802</v>
      </c>
      <c r="C80" s="46">
        <v>3314</v>
      </c>
      <c r="D80" s="46">
        <v>65338</v>
      </c>
      <c r="E80" s="46">
        <v>2</v>
      </c>
      <c r="F80" s="46">
        <v>2</v>
      </c>
      <c r="G80" s="46">
        <v>-4</v>
      </c>
      <c r="H80" s="46">
        <v>-4</v>
      </c>
      <c r="I80" s="46">
        <v>0.13200000000000001</v>
      </c>
      <c r="J80" s="46">
        <v>-5</v>
      </c>
      <c r="K80" s="46">
        <v>85.105800000000002</v>
      </c>
      <c r="L80" s="46">
        <v>194.8509</v>
      </c>
      <c r="M80" s="46">
        <v>0</v>
      </c>
      <c r="N80" s="46">
        <v>0</v>
      </c>
      <c r="O80" s="46">
        <v>233.8777</v>
      </c>
      <c r="P80" s="46">
        <v>1</v>
      </c>
      <c r="Q80" s="46">
        <v>151</v>
      </c>
      <c r="R80" s="46">
        <v>1</v>
      </c>
      <c r="S80" s="46">
        <v>145</v>
      </c>
      <c r="T80" s="46">
        <v>522151168</v>
      </c>
      <c r="U80" s="46">
        <v>255</v>
      </c>
      <c r="V80" s="46">
        <v>46</v>
      </c>
      <c r="W80" s="46">
        <v>111.0626</v>
      </c>
      <c r="X80" s="46">
        <v>135.3665</v>
      </c>
      <c r="Y80" s="56">
        <v>0.42</v>
      </c>
      <c r="Z80" s="46">
        <v>2174.3000000000002</v>
      </c>
      <c r="AA80" s="63">
        <v>2</v>
      </c>
      <c r="AB80" s="63">
        <v>2</v>
      </c>
      <c r="AC80" s="46">
        <v>12</v>
      </c>
      <c r="AD80" s="46">
        <v>179</v>
      </c>
      <c r="AE80" s="46">
        <v>124</v>
      </c>
      <c r="AF80" s="46">
        <v>8</v>
      </c>
      <c r="AG80" s="37" t="s">
        <v>159</v>
      </c>
      <c r="AH80" s="37" t="s">
        <v>159</v>
      </c>
      <c r="AI80" s="37" t="s">
        <v>159</v>
      </c>
      <c r="AJ80" s="37" t="s">
        <v>159</v>
      </c>
      <c r="AK80" s="37" t="s">
        <v>159</v>
      </c>
      <c r="AL80" s="37" t="s">
        <v>159</v>
      </c>
      <c r="AM80" s="37" t="s">
        <v>159</v>
      </c>
      <c r="AN80" s="37" t="s">
        <v>159</v>
      </c>
      <c r="AO80" s="37" t="s">
        <v>159</v>
      </c>
      <c r="AP80" s="37" t="s">
        <v>159</v>
      </c>
      <c r="AQ80" s="37" t="s">
        <v>159</v>
      </c>
      <c r="AR80" s="37" t="s">
        <v>159</v>
      </c>
      <c r="AS80" s="37" t="s">
        <v>159</v>
      </c>
      <c r="AT80" s="37" t="s">
        <v>159</v>
      </c>
      <c r="AU80" s="37" t="s">
        <v>159</v>
      </c>
      <c r="AV80" s="37" t="s">
        <v>159</v>
      </c>
      <c r="AW80" s="37" t="s">
        <v>159</v>
      </c>
      <c r="AX80" s="37" t="s">
        <v>159</v>
      </c>
      <c r="AY80" s="37" t="s">
        <v>159</v>
      </c>
      <c r="AZ80" s="37" t="s">
        <v>159</v>
      </c>
      <c r="BA80" s="37" t="s">
        <v>159</v>
      </c>
      <c r="BB80" s="37" t="s">
        <v>159</v>
      </c>
      <c r="BC80" s="37" t="s">
        <v>159</v>
      </c>
      <c r="BD80" s="37" t="s">
        <v>159</v>
      </c>
      <c r="BE80" s="37" t="s">
        <v>159</v>
      </c>
      <c r="BF80" s="37" t="s">
        <v>159</v>
      </c>
      <c r="BG80" s="37" t="s">
        <v>159</v>
      </c>
      <c r="BH80" s="37" t="s">
        <v>159</v>
      </c>
      <c r="BI80" s="37" t="s">
        <v>159</v>
      </c>
      <c r="BJ80" s="37" t="s">
        <v>159</v>
      </c>
      <c r="BK80" s="37" t="s">
        <v>159</v>
      </c>
      <c r="BL80" s="37" t="s">
        <v>159</v>
      </c>
      <c r="BM80" s="37" t="s">
        <v>159</v>
      </c>
      <c r="BN80" s="37" t="s">
        <v>159</v>
      </c>
      <c r="BO80" s="37" t="s">
        <v>159</v>
      </c>
      <c r="BP80" s="46">
        <v>12</v>
      </c>
      <c r="BQ80" s="46">
        <v>194.8509</v>
      </c>
      <c r="BR80" s="46">
        <v>-4</v>
      </c>
      <c r="BS80" s="46">
        <v>-4</v>
      </c>
      <c r="BT80" s="46">
        <v>8</v>
      </c>
      <c r="BU80" s="46">
        <v>55</v>
      </c>
      <c r="BV80" s="46">
        <v>91</v>
      </c>
      <c r="BW80" s="46">
        <v>233.8777</v>
      </c>
      <c r="BX80" s="46">
        <v>-5</v>
      </c>
      <c r="BY80" s="46">
        <v>111.0626</v>
      </c>
      <c r="BZ80" s="46">
        <v>135.3665</v>
      </c>
      <c r="CA80" s="46">
        <v>0</v>
      </c>
      <c r="CB80" s="46">
        <v>0</v>
      </c>
      <c r="CC80" s="46">
        <v>1</v>
      </c>
      <c r="CD80" s="46">
        <v>151</v>
      </c>
      <c r="CE80" s="46">
        <v>1</v>
      </c>
      <c r="CF80" s="46">
        <v>124</v>
      </c>
      <c r="CG80" s="46">
        <v>8</v>
      </c>
      <c r="CH80" s="46">
        <v>254</v>
      </c>
      <c r="CI80" s="46">
        <v>0</v>
      </c>
      <c r="CJ80" s="46">
        <v>0</v>
      </c>
      <c r="CK80" s="46">
        <v>1</v>
      </c>
      <c r="CL80" s="46">
        <v>12</v>
      </c>
      <c r="CM80" s="46">
        <v>0</v>
      </c>
      <c r="CN80" s="46">
        <v>0</v>
      </c>
      <c r="CO80" s="46">
        <v>0</v>
      </c>
      <c r="CP80" s="46">
        <v>2174.3000000000002</v>
      </c>
      <c r="CQ80" s="46">
        <v>1</v>
      </c>
      <c r="CR80" s="46">
        <v>1</v>
      </c>
      <c r="CS80" s="46">
        <v>0</v>
      </c>
      <c r="CT80" s="46">
        <v>1</v>
      </c>
      <c r="CU80" s="46">
        <v>1</v>
      </c>
      <c r="CV80" s="46">
        <v>0</v>
      </c>
      <c r="CW80" s="46">
        <v>1</v>
      </c>
      <c r="CX80" s="46">
        <v>1</v>
      </c>
      <c r="CY80" s="50" t="s">
        <v>159</v>
      </c>
      <c r="CZ80" s="37"/>
      <c r="DA80" s="38"/>
    </row>
    <row r="81" spans="1:105" x14ac:dyDescent="0.25">
      <c r="A81" s="36">
        <v>78</v>
      </c>
      <c r="B81" s="46" t="s">
        <v>799</v>
      </c>
      <c r="C81" s="46">
        <v>32403</v>
      </c>
      <c r="D81" s="46">
        <v>3530</v>
      </c>
      <c r="E81" s="46">
        <v>3</v>
      </c>
      <c r="F81" s="46">
        <v>12</v>
      </c>
      <c r="G81" s="46">
        <v>0</v>
      </c>
      <c r="H81" s="46">
        <v>-3</v>
      </c>
      <c r="I81" s="46">
        <v>0.13600000000000001</v>
      </c>
      <c r="J81" s="46">
        <v>871</v>
      </c>
      <c r="K81" s="46">
        <v>177.51400000000001</v>
      </c>
      <c r="L81" s="46">
        <v>130.3235</v>
      </c>
      <c r="M81" s="46">
        <v>1</v>
      </c>
      <c r="N81" s="46">
        <v>1</v>
      </c>
      <c r="O81" s="46">
        <v>73.439300000000003</v>
      </c>
      <c r="P81" s="46">
        <v>1</v>
      </c>
      <c r="Q81" s="46">
        <v>163</v>
      </c>
      <c r="R81" s="46">
        <v>0</v>
      </c>
      <c r="S81" s="46">
        <v>165</v>
      </c>
      <c r="T81" s="46">
        <v>2383713280</v>
      </c>
      <c r="U81" s="46">
        <v>120</v>
      </c>
      <c r="V81" s="46">
        <v>231</v>
      </c>
      <c r="W81" s="46">
        <v>183.12100000000001</v>
      </c>
      <c r="X81" s="46">
        <v>309.83440000000002</v>
      </c>
      <c r="Y81" s="46">
        <v>0.46</v>
      </c>
      <c r="Z81" s="56">
        <v>-3960</v>
      </c>
      <c r="AA81" s="63">
        <v>3</v>
      </c>
      <c r="AB81" s="63">
        <v>12</v>
      </c>
      <c r="AC81" s="46">
        <v>15</v>
      </c>
      <c r="AD81" s="46">
        <v>189</v>
      </c>
      <c r="AE81" s="46">
        <v>788</v>
      </c>
      <c r="AF81" s="46">
        <v>10000</v>
      </c>
      <c r="AG81" s="37" t="s">
        <v>159</v>
      </c>
      <c r="AH81" s="37" t="s">
        <v>159</v>
      </c>
      <c r="AI81" s="37" t="s">
        <v>159</v>
      </c>
      <c r="AJ81" s="37" t="s">
        <v>159</v>
      </c>
      <c r="AK81" s="37" t="s">
        <v>159</v>
      </c>
      <c r="AL81" s="37" t="s">
        <v>159</v>
      </c>
      <c r="AM81" s="37" t="s">
        <v>159</v>
      </c>
      <c r="AN81" s="37" t="s">
        <v>159</v>
      </c>
      <c r="AO81" s="37" t="s">
        <v>159</v>
      </c>
      <c r="AP81" s="37" t="s">
        <v>159</v>
      </c>
      <c r="AQ81" s="37" t="s">
        <v>159</v>
      </c>
      <c r="AR81" s="37" t="s">
        <v>159</v>
      </c>
      <c r="AS81" s="37" t="s">
        <v>159</v>
      </c>
      <c r="AT81" s="37" t="s">
        <v>159</v>
      </c>
      <c r="AU81" s="37" t="s">
        <v>159</v>
      </c>
      <c r="AV81" s="37" t="s">
        <v>159</v>
      </c>
      <c r="AW81" s="37" t="s">
        <v>159</v>
      </c>
      <c r="AX81" s="37" t="s">
        <v>159</v>
      </c>
      <c r="AY81" s="37" t="s">
        <v>159</v>
      </c>
      <c r="AZ81" s="37" t="s">
        <v>159</v>
      </c>
      <c r="BA81" s="37" t="s">
        <v>159</v>
      </c>
      <c r="BB81" s="37" t="s">
        <v>159</v>
      </c>
      <c r="BC81" s="37" t="s">
        <v>159</v>
      </c>
      <c r="BD81" s="37" t="s">
        <v>159</v>
      </c>
      <c r="BE81" s="37" t="s">
        <v>159</v>
      </c>
      <c r="BF81" s="37" t="s">
        <v>159</v>
      </c>
      <c r="BG81" s="37" t="s">
        <v>159</v>
      </c>
      <c r="BH81" s="37" t="s">
        <v>159</v>
      </c>
      <c r="BI81" s="37" t="s">
        <v>159</v>
      </c>
      <c r="BJ81" s="37" t="s">
        <v>159</v>
      </c>
      <c r="BK81" s="37" t="s">
        <v>159</v>
      </c>
      <c r="BL81" s="37" t="s">
        <v>159</v>
      </c>
      <c r="BM81" s="37" t="s">
        <v>159</v>
      </c>
      <c r="BN81" s="37" t="s">
        <v>159</v>
      </c>
      <c r="BO81" s="37" t="s">
        <v>159</v>
      </c>
      <c r="BP81" s="46">
        <v>15</v>
      </c>
      <c r="BQ81" s="46">
        <v>130.3235</v>
      </c>
      <c r="BR81" s="46">
        <v>0</v>
      </c>
      <c r="BS81" s="46">
        <v>-3</v>
      </c>
      <c r="BT81" s="46">
        <v>24</v>
      </c>
      <c r="BU81" s="46">
        <v>103</v>
      </c>
      <c r="BV81" s="46">
        <v>60</v>
      </c>
      <c r="BW81" s="46">
        <v>73.439300000000003</v>
      </c>
      <c r="BX81" s="46">
        <v>871</v>
      </c>
      <c r="BY81" s="46">
        <v>183.12100000000001</v>
      </c>
      <c r="BZ81" s="46">
        <v>309.83440000000002</v>
      </c>
      <c r="CA81" s="46">
        <v>1</v>
      </c>
      <c r="CB81" s="46">
        <v>1</v>
      </c>
      <c r="CC81" s="46">
        <v>1</v>
      </c>
      <c r="CD81" s="46">
        <v>163</v>
      </c>
      <c r="CE81" s="46">
        <v>1</v>
      </c>
      <c r="CF81" s="46">
        <v>165</v>
      </c>
      <c r="CG81" s="46">
        <v>2383713280</v>
      </c>
      <c r="CH81" s="46">
        <v>119</v>
      </c>
      <c r="CI81" s="46">
        <v>0</v>
      </c>
      <c r="CJ81" s="46">
        <v>0</v>
      </c>
      <c r="CK81" s="46">
        <v>1</v>
      </c>
      <c r="CL81" s="46">
        <v>15</v>
      </c>
      <c r="CM81" s="46">
        <v>0</v>
      </c>
      <c r="CN81" s="46">
        <v>0</v>
      </c>
      <c r="CO81" s="46">
        <v>0</v>
      </c>
      <c r="CP81" s="46">
        <v>-3960</v>
      </c>
      <c r="CQ81" s="46">
        <v>1</v>
      </c>
      <c r="CR81" s="46">
        <v>1</v>
      </c>
      <c r="CS81" s="46">
        <v>0</v>
      </c>
      <c r="CT81" s="46">
        <v>1</v>
      </c>
      <c r="CU81" s="46">
        <v>1</v>
      </c>
      <c r="CV81" s="46">
        <v>0</v>
      </c>
      <c r="CW81" s="46">
        <v>0</v>
      </c>
      <c r="CX81" s="46">
        <v>0</v>
      </c>
      <c r="CY81" s="50" t="s">
        <v>159</v>
      </c>
      <c r="CZ81" s="37"/>
      <c r="DA81" s="38"/>
    </row>
    <row r="82" spans="1:105" x14ac:dyDescent="0.25">
      <c r="A82" s="36">
        <v>79</v>
      </c>
      <c r="B82" s="46" t="s">
        <v>801</v>
      </c>
      <c r="C82" s="46">
        <v>46413</v>
      </c>
      <c r="D82" s="46">
        <v>5495</v>
      </c>
      <c r="E82" s="46">
        <v>2</v>
      </c>
      <c r="F82" s="46">
        <v>26</v>
      </c>
      <c r="G82" s="46">
        <v>3</v>
      </c>
      <c r="H82" s="46">
        <v>-7</v>
      </c>
      <c r="I82" s="46">
        <v>0.14000000000000001</v>
      </c>
      <c r="J82" s="46">
        <v>686</v>
      </c>
      <c r="K82" s="46">
        <v>95.565700000000007</v>
      </c>
      <c r="L82" s="46">
        <v>83.452100000000002</v>
      </c>
      <c r="M82" s="46">
        <v>0</v>
      </c>
      <c r="N82" s="46">
        <v>0</v>
      </c>
      <c r="O82" s="46">
        <v>344.26650000000001</v>
      </c>
      <c r="P82" s="46">
        <v>0</v>
      </c>
      <c r="Q82" s="46">
        <v>175</v>
      </c>
      <c r="R82" s="46">
        <v>1</v>
      </c>
      <c r="S82" s="46">
        <v>185</v>
      </c>
      <c r="T82" s="46">
        <v>3568371456</v>
      </c>
      <c r="U82" s="46">
        <v>181</v>
      </c>
      <c r="V82" s="46">
        <v>182</v>
      </c>
      <c r="W82" s="46">
        <v>69.512600000000006</v>
      </c>
      <c r="X82" s="46">
        <v>263.74650000000003</v>
      </c>
      <c r="Y82" s="46">
        <v>0.8</v>
      </c>
      <c r="Z82" s="56">
        <v>4320</v>
      </c>
      <c r="AA82" s="63">
        <v>2</v>
      </c>
      <c r="AB82" s="63">
        <v>26</v>
      </c>
      <c r="AC82" s="46">
        <v>9</v>
      </c>
      <c r="AD82" s="46">
        <v>303</v>
      </c>
      <c r="AE82" s="46">
        <v>888</v>
      </c>
      <c r="AF82" s="46">
        <v>5252</v>
      </c>
      <c r="AG82" s="37" t="s">
        <v>159</v>
      </c>
      <c r="AH82" s="37" t="s">
        <v>159</v>
      </c>
      <c r="AI82" s="37" t="s">
        <v>159</v>
      </c>
      <c r="AJ82" s="37" t="s">
        <v>159</v>
      </c>
      <c r="AK82" s="37" t="s">
        <v>159</v>
      </c>
      <c r="AL82" s="37" t="s">
        <v>159</v>
      </c>
      <c r="AM82" s="37" t="s">
        <v>159</v>
      </c>
      <c r="AN82" s="37" t="s">
        <v>159</v>
      </c>
      <c r="AO82" s="37" t="s">
        <v>159</v>
      </c>
      <c r="AP82" s="37" t="s">
        <v>159</v>
      </c>
      <c r="AQ82" s="37" t="s">
        <v>159</v>
      </c>
      <c r="AR82" s="37" t="s">
        <v>159</v>
      </c>
      <c r="AS82" s="37" t="s">
        <v>159</v>
      </c>
      <c r="AT82" s="37" t="s">
        <v>159</v>
      </c>
      <c r="AU82" s="37" t="s">
        <v>159</v>
      </c>
      <c r="AV82" s="37" t="s">
        <v>159</v>
      </c>
      <c r="AW82" s="37" t="s">
        <v>159</v>
      </c>
      <c r="AX82" s="37" t="s">
        <v>159</v>
      </c>
      <c r="AY82" s="37" t="s">
        <v>159</v>
      </c>
      <c r="AZ82" s="37" t="s">
        <v>159</v>
      </c>
      <c r="BA82" s="37" t="s">
        <v>159</v>
      </c>
      <c r="BB82" s="37" t="s">
        <v>159</v>
      </c>
      <c r="BC82" s="37" t="s">
        <v>159</v>
      </c>
      <c r="BD82" s="37" t="s">
        <v>159</v>
      </c>
      <c r="BE82" s="37" t="s">
        <v>159</v>
      </c>
      <c r="BF82" s="37" t="s">
        <v>159</v>
      </c>
      <c r="BG82" s="37" t="s">
        <v>159</v>
      </c>
      <c r="BH82" s="37" t="s">
        <v>159</v>
      </c>
      <c r="BI82" s="37" t="s">
        <v>159</v>
      </c>
      <c r="BJ82" s="37" t="s">
        <v>159</v>
      </c>
      <c r="BK82" s="37" t="s">
        <v>159</v>
      </c>
      <c r="BL82" s="37" t="s">
        <v>159</v>
      </c>
      <c r="BM82" s="37" t="s">
        <v>159</v>
      </c>
      <c r="BN82" s="37" t="s">
        <v>159</v>
      </c>
      <c r="BO82" s="37" t="s">
        <v>159</v>
      </c>
      <c r="BP82" s="46">
        <v>9</v>
      </c>
      <c r="BQ82" s="46">
        <v>83.452100000000002</v>
      </c>
      <c r="BR82" s="46">
        <v>3</v>
      </c>
      <c r="BS82" s="46">
        <v>-7</v>
      </c>
      <c r="BT82" s="46">
        <v>106</v>
      </c>
      <c r="BU82" s="46">
        <v>47</v>
      </c>
      <c r="BV82" s="46">
        <v>56</v>
      </c>
      <c r="BW82" s="46">
        <v>344.26650000000001</v>
      </c>
      <c r="BX82" s="46">
        <v>686</v>
      </c>
      <c r="BY82" s="46">
        <v>69.512600000000006</v>
      </c>
      <c r="BZ82" s="46">
        <v>263.74650000000003</v>
      </c>
      <c r="CA82" s="46">
        <v>0</v>
      </c>
      <c r="CB82" s="46">
        <v>0</v>
      </c>
      <c r="CC82" s="46">
        <v>1</v>
      </c>
      <c r="CD82" s="46">
        <v>303</v>
      </c>
      <c r="CE82" s="46">
        <v>1</v>
      </c>
      <c r="CF82" s="46">
        <v>888</v>
      </c>
      <c r="CG82" s="46">
        <v>5252</v>
      </c>
      <c r="CH82" s="46">
        <v>180</v>
      </c>
      <c r="CI82" s="46">
        <v>0</v>
      </c>
      <c r="CJ82" s="46">
        <v>0</v>
      </c>
      <c r="CK82" s="46">
        <v>1</v>
      </c>
      <c r="CL82" s="46">
        <v>9</v>
      </c>
      <c r="CM82" s="46">
        <v>0</v>
      </c>
      <c r="CN82" s="46">
        <v>0</v>
      </c>
      <c r="CO82" s="46">
        <v>0</v>
      </c>
      <c r="CP82" s="46">
        <v>4320</v>
      </c>
      <c r="CQ82" s="46">
        <v>1</v>
      </c>
      <c r="CR82" s="46">
        <v>1</v>
      </c>
      <c r="CS82" s="46">
        <v>0</v>
      </c>
      <c r="CT82" s="46">
        <v>1</v>
      </c>
      <c r="CU82" s="46">
        <v>1</v>
      </c>
      <c r="CV82" s="46">
        <v>1</v>
      </c>
      <c r="CW82" s="46">
        <v>1</v>
      </c>
      <c r="CX82" s="46">
        <v>1</v>
      </c>
      <c r="CY82" s="50" t="s">
        <v>159</v>
      </c>
      <c r="CZ82" s="37"/>
      <c r="DA82" s="38"/>
    </row>
    <row r="83" spans="1:105" x14ac:dyDescent="0.25">
      <c r="A83" s="36">
        <v>80</v>
      </c>
      <c r="B83" s="46" t="s">
        <v>803</v>
      </c>
      <c r="C83" s="46">
        <v>43980</v>
      </c>
      <c r="D83" s="46">
        <v>50665</v>
      </c>
      <c r="E83" s="46">
        <v>2</v>
      </c>
      <c r="F83" s="46">
        <v>5</v>
      </c>
      <c r="G83" s="46">
        <v>-5</v>
      </c>
      <c r="H83" s="46">
        <v>1</v>
      </c>
      <c r="I83" s="46">
        <v>0.156</v>
      </c>
      <c r="J83" s="46">
        <v>-1628</v>
      </c>
      <c r="K83" s="46">
        <v>298.95170000000002</v>
      </c>
      <c r="L83" s="46">
        <v>214.11709999999999</v>
      </c>
      <c r="M83" s="46">
        <v>1</v>
      </c>
      <c r="N83" s="46">
        <v>0</v>
      </c>
      <c r="O83" s="46">
        <v>193.03110000000001</v>
      </c>
      <c r="P83" s="46">
        <v>0</v>
      </c>
      <c r="Q83" s="46">
        <v>223</v>
      </c>
      <c r="R83" s="46">
        <v>0</v>
      </c>
      <c r="S83" s="46">
        <v>265</v>
      </c>
      <c r="T83" s="46">
        <v>72612608</v>
      </c>
      <c r="U83" s="46">
        <v>99</v>
      </c>
      <c r="V83" s="46">
        <v>63</v>
      </c>
      <c r="W83" s="46">
        <v>221.25149999999999</v>
      </c>
      <c r="X83" s="46">
        <v>71.965000000000003</v>
      </c>
      <c r="Y83" s="46">
        <v>0.81</v>
      </c>
      <c r="Z83" s="56">
        <v>652.20000000000005</v>
      </c>
      <c r="AA83" s="63">
        <v>2</v>
      </c>
      <c r="AB83" s="63">
        <v>5</v>
      </c>
      <c r="AC83" s="46">
        <v>7</v>
      </c>
      <c r="AD83" s="46">
        <v>159</v>
      </c>
      <c r="AE83" s="46">
        <v>6055</v>
      </c>
      <c r="AF83" s="46">
        <v>124</v>
      </c>
      <c r="AG83" s="37" t="s">
        <v>159</v>
      </c>
      <c r="AH83" s="37" t="s">
        <v>159</v>
      </c>
      <c r="AI83" s="37" t="s">
        <v>159</v>
      </c>
      <c r="AJ83" s="37" t="s">
        <v>159</v>
      </c>
      <c r="AK83" s="37" t="s">
        <v>159</v>
      </c>
      <c r="AL83" s="37" t="s">
        <v>159</v>
      </c>
      <c r="AM83" s="37" t="s">
        <v>159</v>
      </c>
      <c r="AN83" s="37" t="s">
        <v>159</v>
      </c>
      <c r="AO83" s="37" t="s">
        <v>159</v>
      </c>
      <c r="AP83" s="37" t="s">
        <v>159</v>
      </c>
      <c r="AQ83" s="37" t="s">
        <v>159</v>
      </c>
      <c r="AR83" s="37" t="s">
        <v>159</v>
      </c>
      <c r="AS83" s="37" t="s">
        <v>159</v>
      </c>
      <c r="AT83" s="37" t="s">
        <v>159</v>
      </c>
      <c r="AU83" s="37" t="s">
        <v>159</v>
      </c>
      <c r="AV83" s="37" t="s">
        <v>159</v>
      </c>
      <c r="AW83" s="37" t="s">
        <v>159</v>
      </c>
      <c r="AX83" s="37" t="s">
        <v>159</v>
      </c>
      <c r="AY83" s="37" t="s">
        <v>159</v>
      </c>
      <c r="AZ83" s="37" t="s">
        <v>159</v>
      </c>
      <c r="BA83" s="37" t="s">
        <v>159</v>
      </c>
      <c r="BB83" s="37" t="s">
        <v>159</v>
      </c>
      <c r="BC83" s="37" t="s">
        <v>159</v>
      </c>
      <c r="BD83" s="37" t="s">
        <v>159</v>
      </c>
      <c r="BE83" s="37" t="s">
        <v>159</v>
      </c>
      <c r="BF83" s="37" t="s">
        <v>159</v>
      </c>
      <c r="BG83" s="37" t="s">
        <v>159</v>
      </c>
      <c r="BH83" s="37" t="s">
        <v>159</v>
      </c>
      <c r="BI83" s="37" t="s">
        <v>159</v>
      </c>
      <c r="BJ83" s="37" t="s">
        <v>159</v>
      </c>
      <c r="BK83" s="37" t="s">
        <v>159</v>
      </c>
      <c r="BL83" s="37" t="s">
        <v>159</v>
      </c>
      <c r="BM83" s="37" t="s">
        <v>159</v>
      </c>
      <c r="BN83" s="37" t="s">
        <v>159</v>
      </c>
      <c r="BO83" s="37" t="s">
        <v>159</v>
      </c>
      <c r="BP83" s="46">
        <v>7</v>
      </c>
      <c r="BQ83" s="46">
        <v>214.11709999999999</v>
      </c>
      <c r="BR83" s="46">
        <v>-5</v>
      </c>
      <c r="BS83" s="46">
        <v>1</v>
      </c>
      <c r="BT83" s="46">
        <v>93</v>
      </c>
      <c r="BU83" s="46">
        <v>69</v>
      </c>
      <c r="BV83" s="46">
        <v>59</v>
      </c>
      <c r="BW83" s="46">
        <v>193.03110000000001</v>
      </c>
      <c r="BX83" s="46">
        <v>-1628</v>
      </c>
      <c r="BY83" s="46">
        <v>221.25149999999999</v>
      </c>
      <c r="BZ83" s="46">
        <v>71.965000000000003</v>
      </c>
      <c r="CA83" s="46">
        <v>1</v>
      </c>
      <c r="CB83" s="46">
        <v>0</v>
      </c>
      <c r="CC83" s="46">
        <v>1</v>
      </c>
      <c r="CD83" s="46">
        <v>159</v>
      </c>
      <c r="CE83" s="46">
        <v>1</v>
      </c>
      <c r="CF83" s="46">
        <v>265</v>
      </c>
      <c r="CG83" s="46">
        <v>72612608</v>
      </c>
      <c r="CH83" s="46">
        <v>98</v>
      </c>
      <c r="CI83" s="46">
        <v>0</v>
      </c>
      <c r="CJ83" s="46">
        <v>0</v>
      </c>
      <c r="CK83" s="46">
        <v>1</v>
      </c>
      <c r="CL83" s="46">
        <v>7</v>
      </c>
      <c r="CM83" s="46">
        <v>0</v>
      </c>
      <c r="CN83" s="46">
        <v>0</v>
      </c>
      <c r="CO83" s="46">
        <v>0</v>
      </c>
      <c r="CP83" s="46">
        <v>652.20000000000005</v>
      </c>
      <c r="CQ83" s="46">
        <v>1</v>
      </c>
      <c r="CR83" s="46">
        <v>1</v>
      </c>
      <c r="CS83" s="46">
        <v>0</v>
      </c>
      <c r="CT83" s="46">
        <v>1</v>
      </c>
      <c r="CU83" s="46">
        <v>1</v>
      </c>
      <c r="CV83" s="46">
        <v>1</v>
      </c>
      <c r="CW83" s="46">
        <v>0</v>
      </c>
      <c r="CX83" s="46">
        <v>0</v>
      </c>
      <c r="CY83" s="50" t="s">
        <v>159</v>
      </c>
      <c r="CZ83" s="37"/>
      <c r="DA83" s="38"/>
    </row>
    <row r="84" spans="1:105" x14ac:dyDescent="0.25">
      <c r="A84" s="36">
        <v>81</v>
      </c>
      <c r="B84" s="46" t="s">
        <v>804</v>
      </c>
      <c r="C84" s="46">
        <v>22998</v>
      </c>
      <c r="D84" s="46">
        <v>22157</v>
      </c>
      <c r="E84" s="46">
        <v>2</v>
      </c>
      <c r="F84" s="46">
        <v>29</v>
      </c>
      <c r="G84" s="46">
        <v>4</v>
      </c>
      <c r="H84" s="46">
        <v>-9</v>
      </c>
      <c r="I84" s="46">
        <v>0.16</v>
      </c>
      <c r="J84" s="46">
        <v>770</v>
      </c>
      <c r="K84" s="46">
        <v>288.75099999999998</v>
      </c>
      <c r="L84" s="46">
        <v>176.65620000000001</v>
      </c>
      <c r="M84" s="46">
        <v>1</v>
      </c>
      <c r="N84" s="46">
        <v>0</v>
      </c>
      <c r="O84" s="46">
        <v>261.33089999999999</v>
      </c>
      <c r="P84" s="46">
        <v>1</v>
      </c>
      <c r="Q84" s="46">
        <v>235</v>
      </c>
      <c r="R84" s="46">
        <v>0</v>
      </c>
      <c r="S84" s="46">
        <v>285</v>
      </c>
      <c r="T84" s="46">
        <v>340709888</v>
      </c>
      <c r="U84" s="46">
        <v>10</v>
      </c>
      <c r="V84" s="46">
        <v>83</v>
      </c>
      <c r="W84" s="46">
        <v>340.95310000000001</v>
      </c>
      <c r="X84" s="46">
        <v>291.11540000000002</v>
      </c>
      <c r="Y84" s="46">
        <v>0.85</v>
      </c>
      <c r="Z84" s="56">
        <v>0</v>
      </c>
      <c r="AA84" s="63">
        <v>2</v>
      </c>
      <c r="AB84" s="63">
        <v>29</v>
      </c>
      <c r="AC84" s="46">
        <v>11</v>
      </c>
      <c r="AD84" s="46">
        <v>169</v>
      </c>
      <c r="AE84" s="46">
        <v>2531</v>
      </c>
      <c r="AF84" s="46">
        <v>561</v>
      </c>
      <c r="AG84" s="37" t="s">
        <v>159</v>
      </c>
      <c r="AH84" s="37" t="s">
        <v>159</v>
      </c>
      <c r="AI84" s="37" t="s">
        <v>159</v>
      </c>
      <c r="AJ84" s="37" t="s">
        <v>159</v>
      </c>
      <c r="AK84" s="37" t="s">
        <v>159</v>
      </c>
      <c r="AL84" s="37" t="s">
        <v>159</v>
      </c>
      <c r="AM84" s="37" t="s">
        <v>159</v>
      </c>
      <c r="AN84" s="37" t="s">
        <v>159</v>
      </c>
      <c r="AO84" s="37" t="s">
        <v>159</v>
      </c>
      <c r="AP84" s="37" t="s">
        <v>159</v>
      </c>
      <c r="AQ84" s="37" t="s">
        <v>159</v>
      </c>
      <c r="AR84" s="37" t="s">
        <v>159</v>
      </c>
      <c r="AS84" s="37" t="s">
        <v>159</v>
      </c>
      <c r="AT84" s="37" t="s">
        <v>159</v>
      </c>
      <c r="AU84" s="37" t="s">
        <v>159</v>
      </c>
      <c r="AV84" s="37" t="s">
        <v>159</v>
      </c>
      <c r="AW84" s="37" t="s">
        <v>159</v>
      </c>
      <c r="AX84" s="37" t="s">
        <v>159</v>
      </c>
      <c r="AY84" s="37" t="s">
        <v>159</v>
      </c>
      <c r="AZ84" s="37" t="s">
        <v>159</v>
      </c>
      <c r="BA84" s="37" t="s">
        <v>159</v>
      </c>
      <c r="BB84" s="37" t="s">
        <v>159</v>
      </c>
      <c r="BC84" s="37" t="s">
        <v>159</v>
      </c>
      <c r="BD84" s="37" t="s">
        <v>159</v>
      </c>
      <c r="BE84" s="37" t="s">
        <v>159</v>
      </c>
      <c r="BF84" s="37" t="s">
        <v>159</v>
      </c>
      <c r="BG84" s="37" t="s">
        <v>159</v>
      </c>
      <c r="BH84" s="37" t="s">
        <v>159</v>
      </c>
      <c r="BI84" s="37" t="s">
        <v>159</v>
      </c>
      <c r="BJ84" s="37" t="s">
        <v>159</v>
      </c>
      <c r="BK84" s="37" t="s">
        <v>159</v>
      </c>
      <c r="BL84" s="37" t="s">
        <v>159</v>
      </c>
      <c r="BM84" s="37" t="s">
        <v>159</v>
      </c>
      <c r="BN84" s="37" t="s">
        <v>159</v>
      </c>
      <c r="BO84" s="37" t="s">
        <v>159</v>
      </c>
      <c r="BP84" s="46">
        <v>11</v>
      </c>
      <c r="BQ84" s="46">
        <v>176.65620000000001</v>
      </c>
      <c r="BR84" s="46">
        <v>4</v>
      </c>
      <c r="BS84" s="46">
        <v>-9</v>
      </c>
      <c r="BT84" s="46">
        <v>14</v>
      </c>
      <c r="BU84" s="46">
        <v>108</v>
      </c>
      <c r="BV84" s="46">
        <v>45</v>
      </c>
      <c r="BW84" s="46">
        <v>261.33089999999999</v>
      </c>
      <c r="BX84" s="46">
        <v>770</v>
      </c>
      <c r="BY84" s="46">
        <v>340.95310000000001</v>
      </c>
      <c r="BZ84" s="46">
        <v>291.11540000000002</v>
      </c>
      <c r="CA84" s="46">
        <v>1</v>
      </c>
      <c r="CB84" s="46">
        <v>0</v>
      </c>
      <c r="CC84" s="46">
        <v>1</v>
      </c>
      <c r="CD84" s="46">
        <v>235</v>
      </c>
      <c r="CE84" s="46">
        <v>1</v>
      </c>
      <c r="CF84" s="46">
        <v>285</v>
      </c>
      <c r="CG84" s="46">
        <v>340709888</v>
      </c>
      <c r="CH84" s="46">
        <v>9</v>
      </c>
      <c r="CI84" s="46">
        <v>0</v>
      </c>
      <c r="CJ84" s="46">
        <v>0</v>
      </c>
      <c r="CK84" s="46">
        <v>1</v>
      </c>
      <c r="CL84" s="46">
        <v>11</v>
      </c>
      <c r="CM84" s="46">
        <v>0</v>
      </c>
      <c r="CN84" s="46">
        <v>0</v>
      </c>
      <c r="CO84" s="46">
        <v>0</v>
      </c>
      <c r="CP84" s="46">
        <v>0</v>
      </c>
      <c r="CQ84" s="46">
        <v>1</v>
      </c>
      <c r="CR84" s="46">
        <v>1</v>
      </c>
      <c r="CS84" s="46">
        <v>0</v>
      </c>
      <c r="CT84" s="46">
        <v>1</v>
      </c>
      <c r="CU84" s="46">
        <v>1</v>
      </c>
      <c r="CV84" s="46">
        <v>0</v>
      </c>
      <c r="CW84" s="46">
        <v>0</v>
      </c>
      <c r="CX84" s="46">
        <v>0</v>
      </c>
      <c r="CY84" s="50" t="s">
        <v>159</v>
      </c>
      <c r="CZ84" s="37"/>
      <c r="DA84" s="38"/>
    </row>
    <row r="85" spans="1:105" ht="15.75" thickBot="1" x14ac:dyDescent="0.3">
      <c r="A85" s="39">
        <v>82</v>
      </c>
      <c r="B85" s="47" t="s">
        <v>805</v>
      </c>
      <c r="C85" s="47">
        <v>15380</v>
      </c>
      <c r="D85" s="47">
        <v>42174</v>
      </c>
      <c r="E85" s="47">
        <v>3</v>
      </c>
      <c r="F85" s="47">
        <v>30</v>
      </c>
      <c r="G85" s="47">
        <v>-2</v>
      </c>
      <c r="H85" s="47">
        <v>-4</v>
      </c>
      <c r="I85" s="47">
        <v>0.16400000000000001</v>
      </c>
      <c r="J85" s="47">
        <v>1540</v>
      </c>
      <c r="K85" s="47">
        <v>191.90530000000001</v>
      </c>
      <c r="L85" s="47">
        <v>128.43539999999999</v>
      </c>
      <c r="M85" s="47">
        <v>1</v>
      </c>
      <c r="N85" s="47">
        <v>1</v>
      </c>
      <c r="O85" s="47">
        <v>80.911000000000001</v>
      </c>
      <c r="P85" s="47">
        <v>1</v>
      </c>
      <c r="Q85" s="47">
        <v>247</v>
      </c>
      <c r="R85" s="47">
        <v>0</v>
      </c>
      <c r="S85" s="47">
        <v>305</v>
      </c>
      <c r="T85" s="47">
        <v>8015104</v>
      </c>
      <c r="U85" s="47">
        <v>34</v>
      </c>
      <c r="V85" s="47">
        <v>238</v>
      </c>
      <c r="W85" s="47">
        <v>71.194800000000001</v>
      </c>
      <c r="X85" s="47">
        <v>360</v>
      </c>
      <c r="Y85" s="47">
        <v>0.89</v>
      </c>
      <c r="Z85" s="57">
        <v>-243.1</v>
      </c>
      <c r="AA85" s="67">
        <v>3</v>
      </c>
      <c r="AB85" s="67">
        <v>30</v>
      </c>
      <c r="AC85" s="47">
        <v>12</v>
      </c>
      <c r="AD85" s="47">
        <v>179</v>
      </c>
      <c r="AE85" s="47">
        <v>124</v>
      </c>
      <c r="AF85" s="47">
        <v>8</v>
      </c>
      <c r="AG85" s="40" t="s">
        <v>159</v>
      </c>
      <c r="AH85" s="40" t="s">
        <v>159</v>
      </c>
      <c r="AI85" s="40" t="s">
        <v>159</v>
      </c>
      <c r="AJ85" s="40" t="s">
        <v>159</v>
      </c>
      <c r="AK85" s="40" t="s">
        <v>159</v>
      </c>
      <c r="AL85" s="40" t="s">
        <v>159</v>
      </c>
      <c r="AM85" s="40" t="s">
        <v>159</v>
      </c>
      <c r="AN85" s="40" t="s">
        <v>159</v>
      </c>
      <c r="AO85" s="40" t="s">
        <v>159</v>
      </c>
      <c r="AP85" s="40" t="s">
        <v>159</v>
      </c>
      <c r="AQ85" s="40" t="s">
        <v>159</v>
      </c>
      <c r="AR85" s="40" t="s">
        <v>159</v>
      </c>
      <c r="AS85" s="40" t="s">
        <v>159</v>
      </c>
      <c r="AT85" s="40" t="s">
        <v>159</v>
      </c>
      <c r="AU85" s="40" t="s">
        <v>159</v>
      </c>
      <c r="AV85" s="40" t="s">
        <v>159</v>
      </c>
      <c r="AW85" s="40" t="s">
        <v>159</v>
      </c>
      <c r="AX85" s="40" t="s">
        <v>159</v>
      </c>
      <c r="AY85" s="40" t="s">
        <v>159</v>
      </c>
      <c r="AZ85" s="40" t="s">
        <v>159</v>
      </c>
      <c r="BA85" s="40" t="s">
        <v>159</v>
      </c>
      <c r="BB85" s="40" t="s">
        <v>159</v>
      </c>
      <c r="BC85" s="40" t="s">
        <v>159</v>
      </c>
      <c r="BD85" s="40" t="s">
        <v>159</v>
      </c>
      <c r="BE85" s="40" t="s">
        <v>159</v>
      </c>
      <c r="BF85" s="40" t="s">
        <v>159</v>
      </c>
      <c r="BG85" s="40" t="s">
        <v>159</v>
      </c>
      <c r="BH85" s="40" t="s">
        <v>159</v>
      </c>
      <c r="BI85" s="40" t="s">
        <v>159</v>
      </c>
      <c r="BJ85" s="40" t="s">
        <v>159</v>
      </c>
      <c r="BK85" s="40" t="s">
        <v>159</v>
      </c>
      <c r="BL85" s="40" t="s">
        <v>159</v>
      </c>
      <c r="BM85" s="40" t="s">
        <v>159</v>
      </c>
      <c r="BN85" s="40" t="s">
        <v>159</v>
      </c>
      <c r="BO85" s="40" t="s">
        <v>159</v>
      </c>
      <c r="BP85" s="47">
        <v>12</v>
      </c>
      <c r="BQ85" s="47">
        <v>128.43539999999999</v>
      </c>
      <c r="BR85" s="47">
        <v>-2</v>
      </c>
      <c r="BS85" s="47">
        <v>-4</v>
      </c>
      <c r="BT85" s="47">
        <v>77</v>
      </c>
      <c r="BU85" s="47">
        <v>81</v>
      </c>
      <c r="BV85" s="47">
        <v>40</v>
      </c>
      <c r="BW85" s="47">
        <v>80.911000000000001</v>
      </c>
      <c r="BX85" s="47">
        <v>1540</v>
      </c>
      <c r="BY85" s="47">
        <v>71.194800000000001</v>
      </c>
      <c r="BZ85" s="47">
        <v>360</v>
      </c>
      <c r="CA85" s="47">
        <v>1</v>
      </c>
      <c r="CB85" s="47">
        <v>1</v>
      </c>
      <c r="CC85" s="47">
        <v>1</v>
      </c>
      <c r="CD85" s="47">
        <v>247</v>
      </c>
      <c r="CE85" s="47">
        <v>1</v>
      </c>
      <c r="CF85" s="47">
        <v>305</v>
      </c>
      <c r="CG85" s="47">
        <v>8015104</v>
      </c>
      <c r="CH85" s="47">
        <v>33</v>
      </c>
      <c r="CI85" s="47">
        <v>0</v>
      </c>
      <c r="CJ85" s="47">
        <v>0</v>
      </c>
      <c r="CK85" s="47">
        <v>1</v>
      </c>
      <c r="CL85" s="47">
        <v>12</v>
      </c>
      <c r="CM85" s="47">
        <v>0</v>
      </c>
      <c r="CN85" s="47">
        <v>0</v>
      </c>
      <c r="CO85" s="47">
        <v>0</v>
      </c>
      <c r="CP85" s="47">
        <v>-243.1</v>
      </c>
      <c r="CQ85" s="47">
        <v>1</v>
      </c>
      <c r="CR85" s="47">
        <v>1</v>
      </c>
      <c r="CS85" s="47">
        <v>0</v>
      </c>
      <c r="CT85" s="47">
        <v>1</v>
      </c>
      <c r="CU85" s="47">
        <v>1</v>
      </c>
      <c r="CV85" s="47">
        <v>0</v>
      </c>
      <c r="CW85" s="47">
        <v>0</v>
      </c>
      <c r="CX85" s="47">
        <v>0</v>
      </c>
      <c r="CY85" s="51" t="s">
        <v>159</v>
      </c>
      <c r="CZ85" s="40"/>
      <c r="DA85" s="41"/>
    </row>
    <row r="86" spans="1:105" x14ac:dyDescent="0.25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</row>
    <row r="87" spans="1:105" x14ac:dyDescent="0.25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</row>
    <row r="88" spans="1:105" x14ac:dyDescent="0.25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</row>
    <row r="89" spans="1:105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</row>
    <row r="90" spans="1:105" x14ac:dyDescent="0.25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</row>
    <row r="91" spans="1:105" x14ac:dyDescent="0.25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</row>
    <row r="92" spans="1:105" x14ac:dyDescent="0.25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</row>
    <row r="93" spans="1:105" x14ac:dyDescent="0.25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</row>
    <row r="94" spans="1:105" x14ac:dyDescent="0.25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</row>
    <row r="95" spans="1:105" x14ac:dyDescent="0.25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</row>
  </sheetData>
  <mergeCells count="2">
    <mergeCell ref="A1:B1"/>
    <mergeCell ref="A2:B2"/>
  </mergeCells>
  <hyperlinks>
    <hyperlink ref="A1" location="'DigColPs_Per1'!A1" display="'DigColPs_Per1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1"/>
      <c r="D15" s="272" t="s">
        <v>42</v>
      </c>
      <c r="E15" s="273"/>
      <c r="F15" s="74" t="s">
        <v>43</v>
      </c>
    </row>
    <row r="16" spans="1:6" x14ac:dyDescent="0.25">
      <c r="A16" s="77" t="s">
        <v>44</v>
      </c>
      <c r="B16" s="78" t="s">
        <v>45</v>
      </c>
      <c r="C16" s="79" t="s">
        <v>46</v>
      </c>
      <c r="D16" s="81" t="s">
        <v>47</v>
      </c>
      <c r="E16" s="80" t="s">
        <v>48</v>
      </c>
      <c r="F16" s="14" t="s">
        <v>44</v>
      </c>
    </row>
    <row r="17" spans="1:6" x14ac:dyDescent="0.25">
      <c r="A17" s="52" t="s">
        <v>60</v>
      </c>
      <c r="B17" s="15" t="s">
        <v>718</v>
      </c>
      <c r="C17" s="16">
        <v>16</v>
      </c>
      <c r="D17" s="17" t="s">
        <v>117</v>
      </c>
      <c r="E17" s="18" t="s">
        <v>117</v>
      </c>
      <c r="F17" s="19"/>
    </row>
    <row r="18" spans="1:6" x14ac:dyDescent="0.25">
      <c r="A18" s="52" t="s">
        <v>60</v>
      </c>
      <c r="B18" s="15" t="s">
        <v>193</v>
      </c>
      <c r="C18" s="16">
        <v>4</v>
      </c>
      <c r="D18" s="17" t="s">
        <v>186</v>
      </c>
      <c r="E18" s="18"/>
      <c r="F18" s="19"/>
    </row>
    <row r="19" spans="1:6" x14ac:dyDescent="0.25">
      <c r="A19" s="52" t="s">
        <v>60</v>
      </c>
      <c r="B19" s="15" t="s">
        <v>99</v>
      </c>
      <c r="C19" s="16">
        <v>2</v>
      </c>
      <c r="D19" s="17" t="s">
        <v>187</v>
      </c>
      <c r="E19" s="18"/>
      <c r="F19" s="19"/>
    </row>
    <row r="20" spans="1:6" x14ac:dyDescent="0.25">
      <c r="A20" s="15"/>
      <c r="B20" s="15"/>
      <c r="C20" s="16"/>
      <c r="D20" s="17" t="s">
        <v>188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nosticThreshold() R'!A1" display="'DiagnosticThreshold() R'!A1"/>
    <hyperlink ref="A18" location="'DiagnosticThreshold() P'!A1" display="'DiagnosticThreshold() P'!A1"/>
    <hyperlink ref="A19" location="'DiagnosticThreshold() M'!A1" display="'DiagnosticThreshold() M'!A1"/>
  </hyperlink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N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4.140625" bestFit="1" customWidth="1"/>
    <col min="4" max="7" width="6" bestFit="1" customWidth="1"/>
    <col min="8" max="8" width="7.28515625" bestFit="1" customWidth="1"/>
    <col min="9" max="9" width="4.140625" bestFit="1" customWidth="1"/>
    <col min="10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79" t="s">
        <v>60</v>
      </c>
      <c r="B1" s="280"/>
      <c r="C1" s="45" t="s">
        <v>160</v>
      </c>
      <c r="D1" s="58" t="s">
        <v>159</v>
      </c>
      <c r="E1" s="75"/>
      <c r="F1" s="75"/>
      <c r="G1" s="75"/>
      <c r="H1" s="75"/>
      <c r="I1" s="75"/>
      <c r="J1" s="75"/>
      <c r="K1" s="75"/>
      <c r="L1" s="43"/>
      <c r="M1" s="43"/>
      <c r="N1" s="44"/>
    </row>
    <row r="2" spans="1:14" ht="60" customHeight="1" x14ac:dyDescent="0.25">
      <c r="A2" s="281" t="s">
        <v>99</v>
      </c>
      <c r="B2" s="282"/>
      <c r="C2" s="48" t="s">
        <v>169</v>
      </c>
      <c r="D2" s="48" t="s">
        <v>150</v>
      </c>
      <c r="E2" s="48" t="s">
        <v>150</v>
      </c>
      <c r="F2" s="48" t="s">
        <v>150</v>
      </c>
      <c r="G2" s="48" t="s">
        <v>150</v>
      </c>
      <c r="H2" s="60" t="s">
        <v>170</v>
      </c>
      <c r="I2" s="27" t="s">
        <v>151</v>
      </c>
      <c r="J2" s="28" t="s">
        <v>171</v>
      </c>
      <c r="K2" s="28" t="s">
        <v>153</v>
      </c>
      <c r="L2" s="29" t="s">
        <v>21</v>
      </c>
      <c r="M2" s="29" t="s">
        <v>156</v>
      </c>
      <c r="N2" s="30" t="s">
        <v>158</v>
      </c>
    </row>
    <row r="3" spans="1:14" ht="126" x14ac:dyDescent="0.25">
      <c r="A3" s="31" t="s">
        <v>148</v>
      </c>
      <c r="B3" s="32" t="s">
        <v>149</v>
      </c>
      <c r="C3" s="59" t="s">
        <v>111</v>
      </c>
      <c r="D3" s="33" t="s">
        <v>117</v>
      </c>
      <c r="E3" s="33" t="s">
        <v>186</v>
      </c>
      <c r="F3" s="33" t="s">
        <v>187</v>
      </c>
      <c r="G3" s="33" t="s">
        <v>188</v>
      </c>
      <c r="H3" s="34" t="s">
        <v>60</v>
      </c>
      <c r="I3" s="34" t="s">
        <v>117</v>
      </c>
      <c r="J3" s="35" t="s">
        <v>60</v>
      </c>
      <c r="K3" s="35" t="s">
        <v>117</v>
      </c>
      <c r="L3" s="29" t="s">
        <v>155</v>
      </c>
      <c r="M3" s="29" t="s">
        <v>157</v>
      </c>
      <c r="N3" s="30"/>
    </row>
    <row r="4" spans="1:14" ht="20.100000000000001" customHeight="1" x14ac:dyDescent="0.25">
      <c r="A4" s="36">
        <v>1</v>
      </c>
      <c r="B4" s="69" t="s">
        <v>368</v>
      </c>
      <c r="C4" s="46">
        <v>1</v>
      </c>
      <c r="D4" s="46">
        <v>65535</v>
      </c>
      <c r="E4" s="46">
        <v>65535</v>
      </c>
      <c r="F4" s="46">
        <v>65535</v>
      </c>
      <c r="G4" s="46">
        <v>65535</v>
      </c>
      <c r="H4" s="37" t="s">
        <v>159</v>
      </c>
      <c r="I4" s="37" t="s">
        <v>159</v>
      </c>
      <c r="J4" s="46">
        <v>1</v>
      </c>
      <c r="K4" s="46">
        <v>65535</v>
      </c>
      <c r="L4" s="50" t="s">
        <v>159</v>
      </c>
      <c r="M4" s="37"/>
      <c r="N4" s="38"/>
    </row>
    <row r="5" spans="1:14" ht="20.100000000000001" customHeight="1" thickBot="1" x14ac:dyDescent="0.3">
      <c r="A5" s="39">
        <v>2</v>
      </c>
      <c r="B5" s="68" t="s">
        <v>369</v>
      </c>
      <c r="C5" s="47">
        <v>0</v>
      </c>
      <c r="D5" s="47">
        <v>1</v>
      </c>
      <c r="E5" s="47">
        <v>100</v>
      </c>
      <c r="F5" s="47">
        <v>48</v>
      </c>
      <c r="G5" s="47">
        <v>852</v>
      </c>
      <c r="H5" s="40" t="s">
        <v>159</v>
      </c>
      <c r="I5" s="40" t="s">
        <v>159</v>
      </c>
      <c r="J5" s="47">
        <v>0</v>
      </c>
      <c r="K5" s="47">
        <v>0</v>
      </c>
      <c r="L5" s="51" t="s">
        <v>159</v>
      </c>
      <c r="M5" s="40"/>
      <c r="N5" s="41"/>
    </row>
    <row r="6" spans="1:1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</sheetData>
  <sheetProtection sheet="1" objects="1" scenarios="1"/>
  <mergeCells count="2">
    <mergeCell ref="A1:B1"/>
    <mergeCell ref="A2:B2"/>
  </mergeCells>
  <hyperlinks>
    <hyperlink ref="A1" location="'DiagnosticThreshold'!A1" display="'DiagnosticThreshold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N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6.140625" bestFit="1" customWidth="1"/>
    <col min="3" max="3" width="4.140625" bestFit="1" customWidth="1"/>
    <col min="4" max="7" width="6" bestFit="1" customWidth="1"/>
    <col min="8" max="8" width="7.28515625" bestFit="1" customWidth="1"/>
    <col min="9" max="9" width="4.140625" bestFit="1" customWidth="1"/>
    <col min="10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79" t="s">
        <v>60</v>
      </c>
      <c r="B1" s="280"/>
      <c r="C1" s="45" t="s">
        <v>160</v>
      </c>
      <c r="D1" s="58" t="s">
        <v>159</v>
      </c>
      <c r="E1" s="75"/>
      <c r="F1" s="75"/>
      <c r="G1" s="75"/>
      <c r="H1" s="75"/>
      <c r="I1" s="75"/>
      <c r="J1" s="75"/>
      <c r="K1" s="75"/>
      <c r="L1" s="43"/>
      <c r="M1" s="43"/>
      <c r="N1" s="44"/>
    </row>
    <row r="2" spans="1:14" ht="60" customHeight="1" x14ac:dyDescent="0.25">
      <c r="A2" s="281" t="s">
        <v>193</v>
      </c>
      <c r="B2" s="282"/>
      <c r="C2" s="48" t="s">
        <v>169</v>
      </c>
      <c r="D2" s="48" t="s">
        <v>150</v>
      </c>
      <c r="E2" s="48" t="s">
        <v>150</v>
      </c>
      <c r="F2" s="48" t="s">
        <v>150</v>
      </c>
      <c r="G2" s="48" t="s">
        <v>150</v>
      </c>
      <c r="H2" s="60" t="s">
        <v>170</v>
      </c>
      <c r="I2" s="27" t="s">
        <v>151</v>
      </c>
      <c r="J2" s="28" t="s">
        <v>171</v>
      </c>
      <c r="K2" s="28" t="s">
        <v>153</v>
      </c>
      <c r="L2" s="29" t="s">
        <v>21</v>
      </c>
      <c r="M2" s="29" t="s">
        <v>156</v>
      </c>
      <c r="N2" s="30" t="s">
        <v>158</v>
      </c>
    </row>
    <row r="3" spans="1:14" ht="126" x14ac:dyDescent="0.25">
      <c r="A3" s="31" t="s">
        <v>148</v>
      </c>
      <c r="B3" s="32" t="s">
        <v>149</v>
      </c>
      <c r="C3" s="59" t="s">
        <v>111</v>
      </c>
      <c r="D3" s="33" t="s">
        <v>117</v>
      </c>
      <c r="E3" s="33" t="s">
        <v>186</v>
      </c>
      <c r="F3" s="33" t="s">
        <v>187</v>
      </c>
      <c r="G3" s="33" t="s">
        <v>188</v>
      </c>
      <c r="H3" s="34" t="s">
        <v>60</v>
      </c>
      <c r="I3" s="34" t="s">
        <v>117</v>
      </c>
      <c r="J3" s="35" t="s">
        <v>60</v>
      </c>
      <c r="K3" s="35" t="s">
        <v>117</v>
      </c>
      <c r="L3" s="29" t="s">
        <v>155</v>
      </c>
      <c r="M3" s="29" t="s">
        <v>157</v>
      </c>
      <c r="N3" s="30"/>
    </row>
    <row r="4" spans="1:14" ht="20.100000000000001" customHeight="1" x14ac:dyDescent="0.25">
      <c r="A4" s="36">
        <v>1</v>
      </c>
      <c r="B4" s="69" t="s">
        <v>227</v>
      </c>
      <c r="C4" s="46">
        <v>1</v>
      </c>
      <c r="D4" s="46">
        <v>65535</v>
      </c>
      <c r="E4" s="46">
        <v>65535</v>
      </c>
      <c r="F4" s="46">
        <v>65535</v>
      </c>
      <c r="G4" s="46">
        <v>65535</v>
      </c>
      <c r="H4" s="37" t="s">
        <v>159</v>
      </c>
      <c r="I4" s="37" t="s">
        <v>159</v>
      </c>
      <c r="J4" s="46">
        <v>1</v>
      </c>
      <c r="K4" s="46">
        <v>65535</v>
      </c>
      <c r="L4" s="50" t="s">
        <v>159</v>
      </c>
      <c r="M4" s="37"/>
      <c r="N4" s="38"/>
    </row>
    <row r="5" spans="1:14" ht="20.100000000000001" customHeight="1" x14ac:dyDescent="0.25">
      <c r="A5" s="36">
        <v>2</v>
      </c>
      <c r="B5" s="46" t="s">
        <v>228</v>
      </c>
      <c r="C5" s="46">
        <v>0</v>
      </c>
      <c r="D5" s="46">
        <v>1</v>
      </c>
      <c r="E5" s="46">
        <v>100</v>
      </c>
      <c r="F5" s="46">
        <v>48</v>
      </c>
      <c r="G5" s="46">
        <v>852</v>
      </c>
      <c r="H5" s="37" t="s">
        <v>159</v>
      </c>
      <c r="I5" s="37" t="s">
        <v>159</v>
      </c>
      <c r="J5" s="46">
        <v>0</v>
      </c>
      <c r="K5" s="46">
        <v>0</v>
      </c>
      <c r="L5" s="50" t="s">
        <v>159</v>
      </c>
      <c r="M5" s="37"/>
      <c r="N5" s="38"/>
    </row>
    <row r="6" spans="1:14" ht="20.100000000000001" customHeight="1" x14ac:dyDescent="0.25">
      <c r="A6" s="36">
        <v>3</v>
      </c>
      <c r="B6" s="69" t="s">
        <v>229</v>
      </c>
      <c r="C6" s="46">
        <v>1</v>
      </c>
      <c r="D6" s="46">
        <v>24</v>
      </c>
      <c r="E6" s="46">
        <v>200</v>
      </c>
      <c r="F6" s="46">
        <v>82</v>
      </c>
      <c r="G6" s="46">
        <v>1020</v>
      </c>
      <c r="H6" s="37" t="s">
        <v>159</v>
      </c>
      <c r="I6" s="37" t="s">
        <v>159</v>
      </c>
      <c r="J6" s="46">
        <v>0</v>
      </c>
      <c r="K6" s="46">
        <v>106</v>
      </c>
      <c r="L6" s="50" t="s">
        <v>159</v>
      </c>
      <c r="M6" s="37"/>
      <c r="N6" s="38"/>
    </row>
    <row r="7" spans="1:14" ht="20.100000000000001" customHeight="1" thickBot="1" x14ac:dyDescent="0.3">
      <c r="A7" s="39">
        <v>4</v>
      </c>
      <c r="B7" s="47" t="s">
        <v>367</v>
      </c>
      <c r="C7" s="47">
        <v>0</v>
      </c>
      <c r="D7" s="47">
        <v>1500</v>
      </c>
      <c r="E7" s="47">
        <v>100</v>
      </c>
      <c r="F7" s="47">
        <v>48</v>
      </c>
      <c r="G7" s="47">
        <v>852</v>
      </c>
      <c r="H7" s="40" t="s">
        <v>159</v>
      </c>
      <c r="I7" s="40" t="s">
        <v>159</v>
      </c>
      <c r="J7" s="47">
        <v>0</v>
      </c>
      <c r="K7" s="47">
        <v>648</v>
      </c>
      <c r="L7" s="51" t="s">
        <v>159</v>
      </c>
      <c r="M7" s="40"/>
      <c r="N7" s="41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</row>
    <row r="17" spans="1:1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</row>
  </sheetData>
  <sheetProtection sheet="1" objects="1" scenarios="1"/>
  <mergeCells count="2">
    <mergeCell ref="A1:B1"/>
    <mergeCell ref="A2:B2"/>
  </mergeCells>
  <hyperlinks>
    <hyperlink ref="A1" location="'DiagnosticThreshold'!A1" display="'DiagnosticThreshold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N2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6.28515625" bestFit="1" customWidth="1"/>
    <col min="3" max="3" width="4.140625" bestFit="1" customWidth="1"/>
    <col min="4" max="7" width="6" bestFit="1" customWidth="1"/>
    <col min="8" max="8" width="7.28515625" bestFit="1" customWidth="1"/>
    <col min="9" max="9" width="4.140625" bestFit="1" customWidth="1"/>
    <col min="10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79" t="s">
        <v>60</v>
      </c>
      <c r="B1" s="280"/>
      <c r="C1" s="45" t="s">
        <v>160</v>
      </c>
      <c r="D1" s="58" t="s">
        <v>159</v>
      </c>
      <c r="E1" s="75"/>
      <c r="F1" s="75"/>
      <c r="G1" s="75"/>
      <c r="H1" s="75"/>
      <c r="I1" s="75"/>
      <c r="J1" s="75"/>
      <c r="K1" s="75"/>
      <c r="L1" s="43"/>
      <c r="M1" s="43"/>
      <c r="N1" s="44"/>
    </row>
    <row r="2" spans="1:14" ht="60" customHeight="1" x14ac:dyDescent="0.25">
      <c r="A2" s="281" t="s">
        <v>147</v>
      </c>
      <c r="B2" s="282"/>
      <c r="C2" s="48" t="s">
        <v>169</v>
      </c>
      <c r="D2" s="48" t="s">
        <v>150</v>
      </c>
      <c r="E2" s="48" t="s">
        <v>150</v>
      </c>
      <c r="F2" s="48" t="s">
        <v>150</v>
      </c>
      <c r="G2" s="48" t="s">
        <v>150</v>
      </c>
      <c r="H2" s="60" t="s">
        <v>170</v>
      </c>
      <c r="I2" s="27" t="s">
        <v>151</v>
      </c>
      <c r="J2" s="28" t="s">
        <v>171</v>
      </c>
      <c r="K2" s="28" t="s">
        <v>153</v>
      </c>
      <c r="L2" s="29" t="s">
        <v>21</v>
      </c>
      <c r="M2" s="29" t="s">
        <v>156</v>
      </c>
      <c r="N2" s="30" t="s">
        <v>158</v>
      </c>
    </row>
    <row r="3" spans="1:14" ht="126" x14ac:dyDescent="0.25">
      <c r="A3" s="31" t="s">
        <v>148</v>
      </c>
      <c r="B3" s="32" t="s">
        <v>149</v>
      </c>
      <c r="C3" s="59" t="s">
        <v>111</v>
      </c>
      <c r="D3" s="33" t="s">
        <v>117</v>
      </c>
      <c r="E3" s="33" t="s">
        <v>186</v>
      </c>
      <c r="F3" s="33" t="s">
        <v>187</v>
      </c>
      <c r="G3" s="33" t="s">
        <v>188</v>
      </c>
      <c r="H3" s="34" t="s">
        <v>60</v>
      </c>
      <c r="I3" s="34" t="s">
        <v>117</v>
      </c>
      <c r="J3" s="35" t="s">
        <v>60</v>
      </c>
      <c r="K3" s="35" t="s">
        <v>117</v>
      </c>
      <c r="L3" s="29" t="s">
        <v>155</v>
      </c>
      <c r="M3" s="29" t="s">
        <v>157</v>
      </c>
      <c r="N3" s="30"/>
    </row>
    <row r="4" spans="1:14" x14ac:dyDescent="0.25">
      <c r="A4" s="36">
        <v>1</v>
      </c>
      <c r="B4" s="46" t="s">
        <v>161</v>
      </c>
      <c r="C4" s="56">
        <v>0</v>
      </c>
      <c r="D4" s="56">
        <v>0</v>
      </c>
      <c r="E4" s="56">
        <v>0</v>
      </c>
      <c r="F4" s="56">
        <v>0</v>
      </c>
      <c r="G4" s="56">
        <v>0</v>
      </c>
      <c r="H4" s="37" t="s">
        <v>159</v>
      </c>
      <c r="I4" s="37" t="s">
        <v>159</v>
      </c>
      <c r="J4" s="46">
        <v>0</v>
      </c>
      <c r="K4" s="46">
        <v>0</v>
      </c>
      <c r="L4" s="50" t="s">
        <v>159</v>
      </c>
      <c r="M4" s="37"/>
      <c r="N4" s="38"/>
    </row>
    <row r="5" spans="1:14" x14ac:dyDescent="0.25">
      <c r="A5" s="36">
        <v>2</v>
      </c>
      <c r="B5" s="46" t="s">
        <v>162</v>
      </c>
      <c r="C5" s="56">
        <v>1</v>
      </c>
      <c r="D5" s="56">
        <v>65535</v>
      </c>
      <c r="E5" s="56">
        <v>65535</v>
      </c>
      <c r="F5" s="56">
        <v>65535</v>
      </c>
      <c r="G5" s="56">
        <v>65535</v>
      </c>
      <c r="H5" s="37" t="s">
        <v>159</v>
      </c>
      <c r="I5" s="37" t="s">
        <v>159</v>
      </c>
      <c r="J5" s="46">
        <v>1</v>
      </c>
      <c r="K5" s="46">
        <v>65535</v>
      </c>
      <c r="L5" s="50" t="s">
        <v>159</v>
      </c>
      <c r="M5" s="37"/>
      <c r="N5" s="38"/>
    </row>
    <row r="6" spans="1:14" x14ac:dyDescent="0.25">
      <c r="A6" s="36">
        <v>3</v>
      </c>
      <c r="B6" s="46" t="s">
        <v>213</v>
      </c>
      <c r="C6" s="56">
        <v>0</v>
      </c>
      <c r="D6" s="46">
        <v>1</v>
      </c>
      <c r="E6" s="46">
        <v>100</v>
      </c>
      <c r="F6" s="46">
        <v>48</v>
      </c>
      <c r="G6" s="46">
        <v>852</v>
      </c>
      <c r="H6" s="37" t="s">
        <v>159</v>
      </c>
      <c r="I6" s="37" t="s">
        <v>159</v>
      </c>
      <c r="J6" s="46">
        <v>0</v>
      </c>
      <c r="K6" s="46">
        <v>0</v>
      </c>
      <c r="L6" s="50" t="s">
        <v>159</v>
      </c>
      <c r="M6" s="37"/>
      <c r="N6" s="38"/>
    </row>
    <row r="7" spans="1:14" x14ac:dyDescent="0.25">
      <c r="A7" s="36">
        <v>4</v>
      </c>
      <c r="B7" s="46" t="s">
        <v>214</v>
      </c>
      <c r="C7" s="56">
        <v>1</v>
      </c>
      <c r="D7" s="46">
        <v>24</v>
      </c>
      <c r="E7" s="46">
        <v>200</v>
      </c>
      <c r="F7" s="46">
        <v>82</v>
      </c>
      <c r="G7" s="46">
        <v>1020</v>
      </c>
      <c r="H7" s="37" t="s">
        <v>159</v>
      </c>
      <c r="I7" s="37" t="s">
        <v>159</v>
      </c>
      <c r="J7" s="46">
        <v>0</v>
      </c>
      <c r="K7" s="46">
        <v>106</v>
      </c>
      <c r="L7" s="50" t="s">
        <v>159</v>
      </c>
      <c r="M7" s="37"/>
      <c r="N7" s="38"/>
    </row>
    <row r="8" spans="1:14" x14ac:dyDescent="0.25">
      <c r="A8" s="36">
        <v>5</v>
      </c>
      <c r="B8" s="46" t="s">
        <v>215</v>
      </c>
      <c r="C8" s="46">
        <v>0</v>
      </c>
      <c r="D8" s="56">
        <v>0</v>
      </c>
      <c r="E8" s="46">
        <v>300</v>
      </c>
      <c r="F8" s="46">
        <v>116</v>
      </c>
      <c r="G8" s="46">
        <v>1188</v>
      </c>
      <c r="H8" s="37" t="s">
        <v>159</v>
      </c>
      <c r="I8" s="37" t="s">
        <v>159</v>
      </c>
      <c r="J8" s="46">
        <v>0</v>
      </c>
      <c r="K8" s="46">
        <v>0</v>
      </c>
      <c r="L8" s="50" t="s">
        <v>159</v>
      </c>
      <c r="M8" s="37"/>
      <c r="N8" s="38"/>
    </row>
    <row r="9" spans="1:14" x14ac:dyDescent="0.25">
      <c r="A9" s="36">
        <v>6</v>
      </c>
      <c r="B9" s="46" t="s">
        <v>216</v>
      </c>
      <c r="C9" s="46">
        <v>1</v>
      </c>
      <c r="D9" s="56">
        <v>65535</v>
      </c>
      <c r="E9" s="46">
        <v>400</v>
      </c>
      <c r="F9" s="46">
        <v>150</v>
      </c>
      <c r="G9" s="46">
        <v>1356</v>
      </c>
      <c r="H9" s="37" t="s">
        <v>159</v>
      </c>
      <c r="I9" s="37" t="s">
        <v>159</v>
      </c>
      <c r="J9" s="46">
        <v>1</v>
      </c>
      <c r="K9" s="46">
        <v>400</v>
      </c>
      <c r="L9" s="50" t="s">
        <v>159</v>
      </c>
      <c r="M9" s="37"/>
      <c r="N9" s="38"/>
    </row>
    <row r="10" spans="1:14" x14ac:dyDescent="0.25">
      <c r="A10" s="36">
        <v>7</v>
      </c>
      <c r="B10" s="46" t="s">
        <v>217</v>
      </c>
      <c r="C10" s="46">
        <v>0</v>
      </c>
      <c r="D10" s="56">
        <v>54</v>
      </c>
      <c r="E10" s="46">
        <v>500</v>
      </c>
      <c r="F10" s="46">
        <v>184</v>
      </c>
      <c r="G10" s="46">
        <v>1524</v>
      </c>
      <c r="H10" s="37" t="s">
        <v>159</v>
      </c>
      <c r="I10" s="37" t="s">
        <v>159</v>
      </c>
      <c r="J10" s="46">
        <v>0</v>
      </c>
      <c r="K10" s="46">
        <v>0</v>
      </c>
      <c r="L10" s="50" t="s">
        <v>159</v>
      </c>
      <c r="M10" s="37"/>
      <c r="N10" s="38"/>
    </row>
    <row r="11" spans="1:14" x14ac:dyDescent="0.25">
      <c r="A11" s="36">
        <v>8</v>
      </c>
      <c r="B11" s="46" t="s">
        <v>218</v>
      </c>
      <c r="C11" s="46">
        <v>1</v>
      </c>
      <c r="D11" s="46">
        <v>95</v>
      </c>
      <c r="E11" s="56">
        <v>0</v>
      </c>
      <c r="F11" s="46">
        <v>218</v>
      </c>
      <c r="G11" s="46">
        <v>1692</v>
      </c>
      <c r="H11" s="37" t="s">
        <v>159</v>
      </c>
      <c r="I11" s="37" t="s">
        <v>159</v>
      </c>
      <c r="J11" s="46">
        <v>1</v>
      </c>
      <c r="K11" s="46">
        <v>0</v>
      </c>
      <c r="L11" s="50" t="s">
        <v>159</v>
      </c>
      <c r="M11" s="37"/>
      <c r="N11" s="38"/>
    </row>
    <row r="12" spans="1:14" x14ac:dyDescent="0.25">
      <c r="A12" s="36">
        <v>9</v>
      </c>
      <c r="B12" s="46" t="s">
        <v>219</v>
      </c>
      <c r="C12" s="46">
        <v>0</v>
      </c>
      <c r="D12" s="46">
        <v>136</v>
      </c>
      <c r="E12" s="56">
        <v>65535</v>
      </c>
      <c r="F12" s="46">
        <v>252</v>
      </c>
      <c r="G12" s="46">
        <v>1860</v>
      </c>
      <c r="H12" s="37" t="s">
        <v>159</v>
      </c>
      <c r="I12" s="37" t="s">
        <v>159</v>
      </c>
      <c r="J12" s="46">
        <v>0</v>
      </c>
      <c r="K12" s="46">
        <v>0</v>
      </c>
      <c r="L12" s="50" t="s">
        <v>159</v>
      </c>
      <c r="M12" s="37"/>
      <c r="N12" s="38"/>
    </row>
    <row r="13" spans="1:14" x14ac:dyDescent="0.25">
      <c r="A13" s="36">
        <v>10</v>
      </c>
      <c r="B13" s="46" t="s">
        <v>220</v>
      </c>
      <c r="C13" s="46">
        <v>1</v>
      </c>
      <c r="D13" s="46">
        <v>177</v>
      </c>
      <c r="E13" s="56">
        <v>1023</v>
      </c>
      <c r="F13" s="46">
        <v>286</v>
      </c>
      <c r="G13" s="46">
        <v>2028</v>
      </c>
      <c r="H13" s="37" t="s">
        <v>159</v>
      </c>
      <c r="I13" s="37" t="s">
        <v>159</v>
      </c>
      <c r="J13" s="46">
        <v>0</v>
      </c>
      <c r="K13" s="46">
        <v>463</v>
      </c>
      <c r="L13" s="50" t="s">
        <v>159</v>
      </c>
      <c r="M13" s="37"/>
      <c r="N13" s="38"/>
    </row>
    <row r="14" spans="1:14" x14ac:dyDescent="0.25">
      <c r="A14" s="36">
        <v>11</v>
      </c>
      <c r="B14" s="46" t="s">
        <v>221</v>
      </c>
      <c r="C14" s="46">
        <v>0</v>
      </c>
      <c r="D14" s="46">
        <v>218</v>
      </c>
      <c r="E14" s="46">
        <v>1</v>
      </c>
      <c r="F14" s="56">
        <v>0</v>
      </c>
      <c r="G14" s="46">
        <v>2196</v>
      </c>
      <c r="H14" s="37" t="s">
        <v>159</v>
      </c>
      <c r="I14" s="37" t="s">
        <v>159</v>
      </c>
      <c r="J14" s="46">
        <v>0</v>
      </c>
      <c r="K14" s="46">
        <v>0</v>
      </c>
      <c r="L14" s="50" t="s">
        <v>159</v>
      </c>
      <c r="M14" s="37"/>
      <c r="N14" s="38"/>
    </row>
    <row r="15" spans="1:14" x14ac:dyDescent="0.25">
      <c r="A15" s="36">
        <v>12</v>
      </c>
      <c r="B15" s="46" t="s">
        <v>222</v>
      </c>
      <c r="C15" s="46">
        <v>1</v>
      </c>
      <c r="D15" s="46">
        <v>259</v>
      </c>
      <c r="E15" s="46">
        <v>488</v>
      </c>
      <c r="F15" s="56">
        <v>65535</v>
      </c>
      <c r="G15" s="46">
        <v>2364</v>
      </c>
      <c r="H15" s="37" t="s">
        <v>159</v>
      </c>
      <c r="I15" s="37" t="s">
        <v>159</v>
      </c>
      <c r="J15" s="46">
        <v>1</v>
      </c>
      <c r="K15" s="46">
        <v>488</v>
      </c>
      <c r="L15" s="50" t="s">
        <v>159</v>
      </c>
      <c r="M15" s="37"/>
      <c r="N15" s="38"/>
    </row>
    <row r="16" spans="1:14" x14ac:dyDescent="0.25">
      <c r="A16" s="36">
        <v>13</v>
      </c>
      <c r="B16" s="46" t="s">
        <v>223</v>
      </c>
      <c r="C16" s="46">
        <v>0</v>
      </c>
      <c r="D16" s="46">
        <v>300</v>
      </c>
      <c r="E16" s="46">
        <v>928</v>
      </c>
      <c r="F16" s="56">
        <v>1045</v>
      </c>
      <c r="G16" s="46">
        <v>2532</v>
      </c>
      <c r="H16" s="37" t="s">
        <v>159</v>
      </c>
      <c r="I16" s="37" t="s">
        <v>159</v>
      </c>
      <c r="J16" s="46">
        <v>0</v>
      </c>
      <c r="K16" s="46">
        <v>0</v>
      </c>
      <c r="L16" s="50" t="s">
        <v>159</v>
      </c>
      <c r="M16" s="37"/>
      <c r="N16" s="38"/>
    </row>
    <row r="17" spans="1:14" x14ac:dyDescent="0.25">
      <c r="A17" s="36">
        <v>14</v>
      </c>
      <c r="B17" s="46" t="s">
        <v>224</v>
      </c>
      <c r="C17" s="46">
        <v>1</v>
      </c>
      <c r="D17" s="46">
        <v>341</v>
      </c>
      <c r="E17" s="46">
        <v>1368</v>
      </c>
      <c r="F17" s="46">
        <v>645</v>
      </c>
      <c r="G17" s="56">
        <v>0</v>
      </c>
      <c r="H17" s="37" t="s">
        <v>159</v>
      </c>
      <c r="I17" s="37" t="s">
        <v>159</v>
      </c>
      <c r="J17" s="46">
        <v>0</v>
      </c>
      <c r="K17" s="46">
        <v>986</v>
      </c>
      <c r="L17" s="50" t="s">
        <v>159</v>
      </c>
      <c r="M17" s="37"/>
      <c r="N17" s="38"/>
    </row>
    <row r="18" spans="1:14" x14ac:dyDescent="0.25">
      <c r="A18" s="36">
        <v>15</v>
      </c>
      <c r="B18" s="46" t="s">
        <v>225</v>
      </c>
      <c r="C18" s="46">
        <v>0</v>
      </c>
      <c r="D18" s="46">
        <v>382</v>
      </c>
      <c r="E18" s="46">
        <v>1808</v>
      </c>
      <c r="F18" s="46">
        <v>152</v>
      </c>
      <c r="G18" s="56">
        <v>65535</v>
      </c>
      <c r="H18" s="37" t="s">
        <v>159</v>
      </c>
      <c r="I18" s="37" t="s">
        <v>159</v>
      </c>
      <c r="J18" s="46">
        <v>0</v>
      </c>
      <c r="K18" s="46">
        <v>0</v>
      </c>
      <c r="L18" s="50" t="s">
        <v>159</v>
      </c>
      <c r="M18" s="37"/>
      <c r="N18" s="38"/>
    </row>
    <row r="19" spans="1:14" ht="15.75" thickBot="1" x14ac:dyDescent="0.3">
      <c r="A19" s="39">
        <v>16</v>
      </c>
      <c r="B19" s="47" t="s">
        <v>226</v>
      </c>
      <c r="C19" s="47">
        <v>1</v>
      </c>
      <c r="D19" s="47">
        <v>423</v>
      </c>
      <c r="E19" s="47">
        <v>2248</v>
      </c>
      <c r="F19" s="47">
        <v>8524</v>
      </c>
      <c r="G19" s="57">
        <v>2046</v>
      </c>
      <c r="H19" s="40" t="s">
        <v>159</v>
      </c>
      <c r="I19" s="40" t="s">
        <v>159</v>
      </c>
      <c r="J19" s="47">
        <v>1</v>
      </c>
      <c r="K19" s="47">
        <v>2248</v>
      </c>
      <c r="L19" s="51" t="s">
        <v>159</v>
      </c>
      <c r="M19" s="40"/>
      <c r="N19" s="41"/>
    </row>
    <row r="20" spans="1:14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</row>
    <row r="21" spans="1:14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</row>
    <row r="22" spans="1:14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</row>
    <row r="23" spans="1:14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</row>
    <row r="24" spans="1:14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</row>
    <row r="25" spans="1:14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</row>
    <row r="26" spans="1:14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</row>
    <row r="27" spans="1:14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</row>
    <row r="28" spans="1:14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</row>
    <row r="29" spans="1:14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</row>
  </sheetData>
  <sheetProtection sheet="1" objects="1" scenarios="1"/>
  <mergeCells count="2">
    <mergeCell ref="A1:B1"/>
    <mergeCell ref="A2:B2"/>
  </mergeCells>
  <hyperlinks>
    <hyperlink ref="A1" location="'DiagnosticThreshold'!A1" display="'DiagnosticThreshold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240" t="s">
        <v>43</v>
      </c>
    </row>
    <row r="16" spans="1:6" x14ac:dyDescent="0.25">
      <c r="A16" s="247" t="s">
        <v>44</v>
      </c>
      <c r="B16" s="248" t="s">
        <v>45</v>
      </c>
      <c r="C16" s="249" t="s">
        <v>46</v>
      </c>
      <c r="D16" s="251" t="s">
        <v>47</v>
      </c>
      <c r="E16" s="250" t="s">
        <v>48</v>
      </c>
      <c r="F16" s="14" t="s">
        <v>44</v>
      </c>
    </row>
    <row r="17" spans="1:6" x14ac:dyDescent="0.25">
      <c r="A17" s="52" t="s">
        <v>401</v>
      </c>
      <c r="B17" s="15" t="s">
        <v>718</v>
      </c>
      <c r="C17" s="16">
        <v>1</v>
      </c>
      <c r="D17" s="17"/>
      <c r="E17" s="18" t="s">
        <v>258</v>
      </c>
      <c r="F17" s="19" t="s">
        <v>56</v>
      </c>
    </row>
    <row r="18" spans="1:6" x14ac:dyDescent="0.25">
      <c r="A18" s="15"/>
      <c r="B18" s="15"/>
      <c r="C18" s="16"/>
      <c r="D18" s="17"/>
      <c r="E18" s="18" t="s">
        <v>274</v>
      </c>
      <c r="F18" s="19" t="s">
        <v>55</v>
      </c>
    </row>
    <row r="19" spans="1:6" x14ac:dyDescent="0.25">
      <c r="A19" s="15"/>
      <c r="B19" s="15"/>
      <c r="C19" s="16"/>
      <c r="D19" s="17"/>
      <c r="E19" s="18" t="s">
        <v>259</v>
      </c>
      <c r="F19" s="19"/>
    </row>
    <row r="20" spans="1:6" x14ac:dyDescent="0.25">
      <c r="A20" s="15"/>
      <c r="B20" s="15"/>
      <c r="C20" s="16"/>
      <c r="D20" s="17"/>
      <c r="E20" s="18" t="s">
        <v>287</v>
      </c>
      <c r="F20" s="19"/>
    </row>
    <row r="21" spans="1:6" x14ac:dyDescent="0.25">
      <c r="A21" s="15"/>
      <c r="B21" s="15"/>
      <c r="C21" s="16"/>
      <c r="D21" s="17"/>
      <c r="E21" s="18" t="s">
        <v>288</v>
      </c>
      <c r="F21" s="19"/>
    </row>
    <row r="22" spans="1:6" x14ac:dyDescent="0.25">
      <c r="A22" s="15"/>
      <c r="B22" s="15"/>
      <c r="C22" s="16"/>
      <c r="D22" s="17"/>
      <c r="E22" s="18" t="s">
        <v>289</v>
      </c>
      <c r="F22" s="19"/>
    </row>
    <row r="23" spans="1:6" x14ac:dyDescent="0.25">
      <c r="A23" s="15"/>
      <c r="B23" s="15"/>
      <c r="C23" s="16"/>
      <c r="D23" s="17"/>
      <c r="E23" s="18" t="s">
        <v>123</v>
      </c>
      <c r="F23" s="19"/>
    </row>
    <row r="24" spans="1:6" x14ac:dyDescent="0.25">
      <c r="A24" s="15"/>
      <c r="B24" s="15"/>
      <c r="C24" s="16"/>
      <c r="D24" s="17"/>
      <c r="E24" s="18" t="s">
        <v>124</v>
      </c>
      <c r="F24" s="19"/>
    </row>
    <row r="25" spans="1:6" x14ac:dyDescent="0.25">
      <c r="A25" s="15"/>
      <c r="B25" s="15"/>
      <c r="C25" s="16"/>
      <c r="D25" s="17"/>
      <c r="E25" s="18" t="s">
        <v>125</v>
      </c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86"/>
      <c r="B318" s="86"/>
      <c r="C318" s="88"/>
      <c r="D318" s="91"/>
      <c r="E318" s="92"/>
      <c r="F318" s="94"/>
    </row>
    <row r="319" spans="1:6" x14ac:dyDescent="0.25">
      <c r="A319" s="86"/>
      <c r="B319" s="86"/>
      <c r="C319" s="88"/>
      <c r="D319" s="91"/>
      <c r="E319" s="92"/>
      <c r="F319" s="94"/>
    </row>
    <row r="320" spans="1:6" x14ac:dyDescent="0.25">
      <c r="A320" s="86"/>
      <c r="B320" s="86"/>
      <c r="C320" s="88"/>
      <c r="D320" s="91"/>
      <c r="E320" s="92"/>
      <c r="F320" s="94"/>
    </row>
    <row r="321" spans="1:6" x14ac:dyDescent="0.25">
      <c r="A321" s="86"/>
      <c r="B321" s="86"/>
      <c r="C321" s="88"/>
      <c r="D321" s="91"/>
      <c r="E321" s="92"/>
      <c r="F321" s="94"/>
    </row>
    <row r="322" spans="1:6" x14ac:dyDescent="0.25">
      <c r="A322" s="86"/>
      <c r="B322" s="86"/>
      <c r="C322" s="88"/>
      <c r="D322" s="91"/>
      <c r="E322" s="92"/>
      <c r="F322" s="94"/>
    </row>
    <row r="323" spans="1:6" x14ac:dyDescent="0.25">
      <c r="A323" s="86"/>
      <c r="B323" s="86"/>
      <c r="C323" s="88"/>
      <c r="D323" s="91"/>
      <c r="E323" s="92"/>
      <c r="F323" s="94"/>
    </row>
    <row r="324" spans="1:6" x14ac:dyDescent="0.25">
      <c r="A324" s="86"/>
      <c r="B324" s="86"/>
      <c r="C324" s="88"/>
      <c r="D324" s="91"/>
      <c r="E324" s="92"/>
      <c r="F324" s="94"/>
    </row>
    <row r="325" spans="1:6" x14ac:dyDescent="0.25">
      <c r="A325" s="86"/>
      <c r="B325" s="86"/>
      <c r="C325" s="88"/>
      <c r="D325" s="91"/>
      <c r="E325" s="92"/>
      <c r="F325" s="94"/>
    </row>
    <row r="326" spans="1:6" x14ac:dyDescent="0.25">
      <c r="A326" s="86"/>
      <c r="B326" s="86"/>
      <c r="C326" s="88"/>
      <c r="D326" s="91"/>
      <c r="E326" s="92"/>
      <c r="F326" s="94"/>
    </row>
    <row r="327" spans="1:6" x14ac:dyDescent="0.25">
      <c r="A327" s="86"/>
      <c r="B327" s="86"/>
      <c r="C327" s="88"/>
      <c r="D327" s="91"/>
      <c r="E327" s="92"/>
      <c r="F327" s="94"/>
    </row>
    <row r="328" spans="1:6" x14ac:dyDescent="0.25">
      <c r="A328" s="86"/>
      <c r="B328" s="86"/>
      <c r="C328" s="88"/>
      <c r="D328" s="91"/>
      <c r="E328" s="92"/>
      <c r="F328" s="94"/>
    </row>
    <row r="329" spans="1:6" x14ac:dyDescent="0.25">
      <c r="A329" s="86"/>
      <c r="B329" s="86"/>
      <c r="C329" s="88"/>
      <c r="D329" s="91"/>
      <c r="E329" s="92"/>
      <c r="F329" s="94"/>
    </row>
    <row r="330" spans="1:6" x14ac:dyDescent="0.25">
      <c r="A330" s="86"/>
      <c r="B330" s="86"/>
      <c r="C330" s="88"/>
      <c r="D330" s="91"/>
      <c r="E330" s="92"/>
      <c r="F330" s="94"/>
    </row>
    <row r="331" spans="1:6" x14ac:dyDescent="0.25">
      <c r="A331" s="86"/>
      <c r="B331" s="86"/>
      <c r="C331" s="88"/>
      <c r="D331" s="91"/>
      <c r="E331" s="92"/>
      <c r="F331" s="94"/>
    </row>
    <row r="332" spans="1:6" x14ac:dyDescent="0.25">
      <c r="A332" s="86"/>
      <c r="B332" s="86"/>
      <c r="C332" s="88"/>
      <c r="D332" s="91"/>
      <c r="E332" s="92"/>
      <c r="F332" s="94"/>
    </row>
    <row r="333" spans="1:6" x14ac:dyDescent="0.25">
      <c r="A333" s="86"/>
      <c r="B333" s="86"/>
      <c r="C333" s="88"/>
      <c r="D333" s="91"/>
      <c r="E333" s="92"/>
      <c r="F333" s="94"/>
    </row>
    <row r="334" spans="1:6" x14ac:dyDescent="0.25">
      <c r="A334" s="86"/>
      <c r="B334" s="86"/>
      <c r="C334" s="88"/>
      <c r="D334" s="91"/>
      <c r="E334" s="92"/>
      <c r="F334" s="94"/>
    </row>
    <row r="335" spans="1:6" x14ac:dyDescent="0.25">
      <c r="A335" s="86"/>
      <c r="B335" s="86"/>
      <c r="C335" s="88"/>
      <c r="D335" s="91"/>
      <c r="E335" s="92"/>
      <c r="F335" s="94"/>
    </row>
    <row r="336" spans="1:6" x14ac:dyDescent="0.25">
      <c r="A336" s="86"/>
      <c r="B336" s="86"/>
      <c r="C336" s="88"/>
      <c r="D336" s="91"/>
      <c r="E336" s="92"/>
      <c r="F336" s="94"/>
    </row>
    <row r="337" spans="1:6" x14ac:dyDescent="0.25">
      <c r="A337" s="86"/>
      <c r="B337" s="86"/>
      <c r="C337" s="88"/>
      <c r="D337" s="91"/>
      <c r="E337" s="92"/>
      <c r="F337" s="94"/>
    </row>
    <row r="338" spans="1:6" x14ac:dyDescent="0.25">
      <c r="A338" s="86"/>
      <c r="B338" s="86"/>
      <c r="C338" s="88"/>
      <c r="D338" s="91"/>
      <c r="E338" s="92"/>
      <c r="F338" s="94"/>
    </row>
    <row r="339" spans="1:6" x14ac:dyDescent="0.25">
      <c r="A339" s="86"/>
      <c r="B339" s="86"/>
      <c r="C339" s="88"/>
      <c r="D339" s="91"/>
      <c r="E339" s="92"/>
      <c r="F339" s="94"/>
    </row>
    <row r="340" spans="1:6" x14ac:dyDescent="0.25">
      <c r="A340" s="86"/>
      <c r="B340" s="86"/>
      <c r="C340" s="88"/>
      <c r="D340" s="91"/>
      <c r="E340" s="92"/>
      <c r="F340" s="94"/>
    </row>
    <row r="341" spans="1:6" x14ac:dyDescent="0.25">
      <c r="A341" s="86"/>
      <c r="B341" s="86"/>
      <c r="C341" s="88"/>
      <c r="D341" s="91"/>
      <c r="E341" s="92"/>
      <c r="F341" s="94"/>
    </row>
    <row r="342" spans="1:6" x14ac:dyDescent="0.25">
      <c r="A342" s="86"/>
      <c r="B342" s="86"/>
      <c r="C342" s="88"/>
      <c r="D342" s="91"/>
      <c r="E342" s="92"/>
      <c r="F342" s="94"/>
    </row>
    <row r="343" spans="1:6" x14ac:dyDescent="0.25">
      <c r="A343" s="86"/>
      <c r="B343" s="86"/>
      <c r="C343" s="88"/>
      <c r="D343" s="91"/>
      <c r="E343" s="92"/>
      <c r="F343" s="94"/>
    </row>
    <row r="344" spans="1:6" x14ac:dyDescent="0.25">
      <c r="A344" s="86"/>
      <c r="B344" s="86"/>
      <c r="C344" s="88"/>
      <c r="D344" s="91"/>
      <c r="E344" s="92"/>
      <c r="F344" s="94"/>
    </row>
    <row r="345" spans="1:6" x14ac:dyDescent="0.25">
      <c r="A345" s="86"/>
      <c r="B345" s="86"/>
      <c r="C345" s="88"/>
      <c r="D345" s="91"/>
      <c r="E345" s="92"/>
      <c r="F345" s="94"/>
    </row>
    <row r="346" spans="1:6" x14ac:dyDescent="0.25">
      <c r="A346" s="86"/>
      <c r="B346" s="86"/>
      <c r="C346" s="88"/>
      <c r="D346" s="91"/>
      <c r="E346" s="92"/>
      <c r="F346" s="94"/>
    </row>
    <row r="347" spans="1:6" x14ac:dyDescent="0.25">
      <c r="A347" s="86"/>
      <c r="B347" s="86"/>
      <c r="C347" s="88"/>
      <c r="D347" s="91"/>
      <c r="E347" s="92"/>
      <c r="F347" s="94"/>
    </row>
    <row r="348" spans="1:6" x14ac:dyDescent="0.25">
      <c r="A348" s="86"/>
      <c r="B348" s="86"/>
      <c r="C348" s="88"/>
      <c r="D348" s="91"/>
      <c r="E348" s="92"/>
      <c r="F348" s="94"/>
    </row>
    <row r="349" spans="1:6" x14ac:dyDescent="0.25">
      <c r="A349" s="86"/>
      <c r="B349" s="86"/>
      <c r="C349" s="88"/>
      <c r="D349" s="91"/>
      <c r="E349" s="92"/>
      <c r="F349" s="94"/>
    </row>
    <row r="350" spans="1:6" x14ac:dyDescent="0.25">
      <c r="A350" s="86"/>
      <c r="B350" s="86"/>
      <c r="C350" s="88"/>
      <c r="D350" s="91"/>
      <c r="E350" s="92"/>
      <c r="F350" s="94"/>
    </row>
    <row r="351" spans="1:6" x14ac:dyDescent="0.25">
      <c r="A351" s="86"/>
      <c r="B351" s="86"/>
      <c r="C351" s="88"/>
      <c r="D351" s="91"/>
      <c r="E351" s="92"/>
      <c r="F351" s="94"/>
    </row>
    <row r="352" spans="1:6" x14ac:dyDescent="0.25">
      <c r="A352" s="86"/>
      <c r="B352" s="86"/>
      <c r="C352" s="88"/>
      <c r="D352" s="91"/>
      <c r="E352" s="92"/>
      <c r="F352" s="94"/>
    </row>
    <row r="353" spans="1:6" x14ac:dyDescent="0.25">
      <c r="A353" s="86"/>
      <c r="B353" s="86"/>
      <c r="C353" s="88"/>
      <c r="D353" s="91"/>
      <c r="E353" s="92"/>
      <c r="F353" s="94"/>
    </row>
    <row r="354" spans="1:6" x14ac:dyDescent="0.25">
      <c r="A354" s="86"/>
      <c r="B354" s="86"/>
      <c r="C354" s="88"/>
      <c r="D354" s="91"/>
      <c r="E354" s="92"/>
      <c r="F354" s="94"/>
    </row>
    <row r="355" spans="1:6" x14ac:dyDescent="0.25">
      <c r="A355" s="86"/>
      <c r="B355" s="86"/>
      <c r="C355" s="88"/>
      <c r="D355" s="91"/>
      <c r="E355" s="92"/>
      <c r="F355" s="94"/>
    </row>
    <row r="356" spans="1:6" x14ac:dyDescent="0.25">
      <c r="A356" s="86"/>
      <c r="B356" s="86"/>
      <c r="C356" s="88"/>
      <c r="D356" s="91"/>
      <c r="E356" s="92"/>
      <c r="F356" s="94"/>
    </row>
    <row r="357" spans="1:6" x14ac:dyDescent="0.25">
      <c r="A357" s="86"/>
      <c r="B357" s="86"/>
      <c r="C357" s="88"/>
      <c r="D357" s="91"/>
      <c r="E357" s="92"/>
      <c r="F357" s="94"/>
    </row>
    <row r="358" spans="1:6" x14ac:dyDescent="0.25">
      <c r="A358" s="86"/>
      <c r="B358" s="86"/>
      <c r="C358" s="88"/>
      <c r="D358" s="91"/>
      <c r="E358" s="92"/>
      <c r="F358" s="94"/>
    </row>
    <row r="359" spans="1:6" x14ac:dyDescent="0.25">
      <c r="A359" s="86"/>
      <c r="B359" s="86"/>
      <c r="C359" s="88"/>
      <c r="D359" s="91"/>
      <c r="E359" s="92"/>
      <c r="F359" s="94"/>
    </row>
    <row r="360" spans="1:6" x14ac:dyDescent="0.25">
      <c r="A360" s="86"/>
      <c r="B360" s="86"/>
      <c r="C360" s="88"/>
      <c r="D360" s="91"/>
      <c r="E360" s="92"/>
      <c r="F360" s="94"/>
    </row>
    <row r="361" spans="1:6" x14ac:dyDescent="0.25">
      <c r="A361" s="86"/>
      <c r="B361" s="86"/>
      <c r="C361" s="88"/>
      <c r="D361" s="91"/>
      <c r="E361" s="92"/>
      <c r="F361" s="94"/>
    </row>
    <row r="362" spans="1:6" x14ac:dyDescent="0.25">
      <c r="A362" s="86"/>
      <c r="B362" s="86"/>
      <c r="C362" s="88"/>
      <c r="D362" s="91"/>
      <c r="E362" s="92"/>
      <c r="F362" s="94"/>
    </row>
    <row r="363" spans="1:6" x14ac:dyDescent="0.25">
      <c r="A363" s="86"/>
      <c r="B363" s="86"/>
      <c r="C363" s="88"/>
      <c r="D363" s="91"/>
      <c r="E363" s="92"/>
      <c r="F363" s="94"/>
    </row>
    <row r="364" spans="1:6" x14ac:dyDescent="0.25">
      <c r="A364" s="86"/>
      <c r="B364" s="86"/>
      <c r="C364" s="88"/>
      <c r="D364" s="91"/>
      <c r="E364" s="92"/>
      <c r="F364" s="94"/>
    </row>
    <row r="365" spans="1:6" x14ac:dyDescent="0.25">
      <c r="A365" s="86"/>
      <c r="B365" s="86"/>
      <c r="C365" s="88"/>
      <c r="D365" s="91"/>
      <c r="E365" s="92"/>
      <c r="F365" s="94"/>
    </row>
    <row r="366" spans="1:6" x14ac:dyDescent="0.25">
      <c r="A366" s="86"/>
      <c r="B366" s="86"/>
      <c r="C366" s="88"/>
      <c r="D366" s="91"/>
      <c r="E366" s="92"/>
      <c r="F366" s="94"/>
    </row>
    <row r="367" spans="1:6" x14ac:dyDescent="0.25">
      <c r="A367" s="86"/>
      <c r="B367" s="86"/>
      <c r="C367" s="88"/>
      <c r="D367" s="91"/>
      <c r="E367" s="92"/>
      <c r="F367" s="94"/>
    </row>
    <row r="368" spans="1:6" x14ac:dyDescent="0.25">
      <c r="A368" s="86"/>
      <c r="B368" s="86"/>
      <c r="C368" s="88"/>
      <c r="D368" s="91"/>
      <c r="E368" s="92"/>
      <c r="F368" s="94"/>
    </row>
    <row r="369" spans="1:6" x14ac:dyDescent="0.25">
      <c r="A369" s="86"/>
      <c r="B369" s="86"/>
      <c r="C369" s="88"/>
      <c r="D369" s="91"/>
      <c r="E369" s="92"/>
      <c r="F369" s="94"/>
    </row>
    <row r="370" spans="1:6" x14ac:dyDescent="0.25">
      <c r="A370" s="86"/>
      <c r="B370" s="86"/>
      <c r="C370" s="88"/>
      <c r="D370" s="91"/>
      <c r="E370" s="92"/>
      <c r="F370" s="94"/>
    </row>
    <row r="371" spans="1:6" x14ac:dyDescent="0.25">
      <c r="A371" s="86"/>
      <c r="B371" s="86"/>
      <c r="C371" s="88"/>
      <c r="D371" s="91"/>
      <c r="E371" s="92"/>
      <c r="F371" s="94"/>
    </row>
    <row r="372" spans="1:6" x14ac:dyDescent="0.25">
      <c r="A372" s="86"/>
      <c r="B372" s="86"/>
      <c r="C372" s="88"/>
      <c r="D372" s="91"/>
      <c r="E372" s="92"/>
      <c r="F372" s="94"/>
    </row>
    <row r="373" spans="1:6" x14ac:dyDescent="0.25">
      <c r="A373" s="86"/>
      <c r="B373" s="86"/>
      <c r="C373" s="88"/>
      <c r="D373" s="91"/>
      <c r="E373" s="92"/>
      <c r="F373" s="94"/>
    </row>
    <row r="374" spans="1:6" x14ac:dyDescent="0.25">
      <c r="A374" s="86"/>
      <c r="B374" s="86"/>
      <c r="C374" s="88"/>
      <c r="D374" s="91"/>
      <c r="E374" s="92"/>
      <c r="F374" s="94"/>
    </row>
    <row r="375" spans="1:6" x14ac:dyDescent="0.25">
      <c r="A375" s="86"/>
      <c r="B375" s="86"/>
      <c r="C375" s="88"/>
      <c r="D375" s="91"/>
      <c r="E375" s="92"/>
      <c r="F375" s="94"/>
    </row>
    <row r="376" spans="1:6" x14ac:dyDescent="0.25">
      <c r="A376" s="86"/>
      <c r="B376" s="86"/>
      <c r="C376" s="88"/>
      <c r="D376" s="91"/>
      <c r="E376" s="92"/>
      <c r="F376" s="94"/>
    </row>
    <row r="377" spans="1:6" x14ac:dyDescent="0.25">
      <c r="A377" s="86"/>
      <c r="B377" s="86"/>
      <c r="C377" s="88"/>
      <c r="D377" s="91"/>
      <c r="E377" s="92"/>
      <c r="F377" s="94"/>
    </row>
    <row r="378" spans="1:6" x14ac:dyDescent="0.25">
      <c r="A378" s="86"/>
      <c r="B378" s="86"/>
      <c r="C378" s="88"/>
      <c r="D378" s="91"/>
      <c r="E378" s="92"/>
      <c r="F378" s="94"/>
    </row>
    <row r="379" spans="1:6" x14ac:dyDescent="0.25">
      <c r="A379" s="86"/>
      <c r="B379" s="86"/>
      <c r="C379" s="88"/>
      <c r="D379" s="91"/>
      <c r="E379" s="92"/>
      <c r="F379" s="94"/>
    </row>
    <row r="380" spans="1:6" x14ac:dyDescent="0.25">
      <c r="A380" s="86"/>
      <c r="B380" s="86"/>
      <c r="C380" s="88"/>
      <c r="D380" s="91"/>
      <c r="E380" s="92"/>
      <c r="F380" s="94"/>
    </row>
    <row r="381" spans="1:6" x14ac:dyDescent="0.25">
      <c r="A381" s="86"/>
      <c r="B381" s="86"/>
      <c r="C381" s="88"/>
      <c r="D381" s="91"/>
      <c r="E381" s="92"/>
      <c r="F381" s="94"/>
    </row>
    <row r="382" spans="1:6" x14ac:dyDescent="0.25">
      <c r="A382" s="86"/>
      <c r="B382" s="86"/>
      <c r="C382" s="88"/>
      <c r="D382" s="91"/>
      <c r="E382" s="92"/>
      <c r="F382" s="94"/>
    </row>
    <row r="383" spans="1:6" x14ac:dyDescent="0.25">
      <c r="A383" s="86"/>
      <c r="B383" s="86"/>
      <c r="C383" s="88"/>
      <c r="D383" s="91"/>
      <c r="E383" s="92"/>
      <c r="F383" s="94"/>
    </row>
    <row r="384" spans="1:6" x14ac:dyDescent="0.25">
      <c r="A384" s="86"/>
      <c r="B384" s="86"/>
      <c r="C384" s="88"/>
      <c r="D384" s="91"/>
      <c r="E384" s="92"/>
      <c r="F384" s="94"/>
    </row>
    <row r="385" spans="1:6" x14ac:dyDescent="0.25">
      <c r="A385" s="86"/>
      <c r="B385" s="86"/>
      <c r="C385" s="88"/>
      <c r="D385" s="91"/>
      <c r="E385" s="92"/>
      <c r="F385" s="94"/>
    </row>
    <row r="386" spans="1:6" x14ac:dyDescent="0.25">
      <c r="A386" s="86"/>
      <c r="B386" s="86"/>
      <c r="C386" s="88"/>
      <c r="D386" s="91"/>
      <c r="E386" s="92"/>
      <c r="F386" s="94"/>
    </row>
    <row r="387" spans="1:6" x14ac:dyDescent="0.25">
      <c r="A387" s="86"/>
      <c r="B387" s="86"/>
      <c r="C387" s="88"/>
      <c r="D387" s="91"/>
      <c r="E387" s="92"/>
      <c r="F387" s="94"/>
    </row>
    <row r="388" spans="1:6" x14ac:dyDescent="0.25">
      <c r="A388" s="86"/>
      <c r="B388" s="86"/>
      <c r="C388" s="88"/>
      <c r="D388" s="91"/>
      <c r="E388" s="92"/>
      <c r="F388" s="94"/>
    </row>
    <row r="389" spans="1:6" x14ac:dyDescent="0.25">
      <c r="A389" s="86"/>
      <c r="B389" s="86"/>
      <c r="C389" s="88"/>
      <c r="D389" s="91"/>
      <c r="E389" s="92"/>
      <c r="F389" s="94"/>
    </row>
    <row r="390" spans="1:6" x14ac:dyDescent="0.25">
      <c r="A390" s="86"/>
      <c r="B390" s="86"/>
      <c r="C390" s="88"/>
      <c r="D390" s="91"/>
      <c r="E390" s="92"/>
      <c r="F390" s="94"/>
    </row>
    <row r="391" spans="1:6" x14ac:dyDescent="0.25">
      <c r="A391" s="86"/>
      <c r="B391" s="86"/>
      <c r="C391" s="88"/>
      <c r="D391" s="91"/>
      <c r="E391" s="92"/>
      <c r="F391" s="94"/>
    </row>
    <row r="392" spans="1:6" x14ac:dyDescent="0.25">
      <c r="A392" s="86"/>
      <c r="B392" s="86"/>
      <c r="C392" s="88"/>
      <c r="D392" s="91"/>
      <c r="E392" s="92"/>
      <c r="F392" s="94"/>
    </row>
    <row r="393" spans="1:6" x14ac:dyDescent="0.25">
      <c r="A393" s="86"/>
      <c r="B393" s="86"/>
      <c r="C393" s="88"/>
      <c r="D393" s="91"/>
      <c r="E393" s="92"/>
      <c r="F393" s="94"/>
    </row>
    <row r="394" spans="1:6" x14ac:dyDescent="0.25">
      <c r="A394" s="86"/>
      <c r="B394" s="86"/>
      <c r="C394" s="88"/>
      <c r="D394" s="91"/>
      <c r="E394" s="92"/>
      <c r="F394" s="94"/>
    </row>
    <row r="395" spans="1:6" x14ac:dyDescent="0.25">
      <c r="A395" s="86"/>
      <c r="B395" s="86"/>
      <c r="C395" s="88"/>
      <c r="D395" s="91"/>
      <c r="E395" s="92"/>
      <c r="F395" s="94"/>
    </row>
    <row r="396" spans="1:6" x14ac:dyDescent="0.25">
      <c r="A396" s="86"/>
      <c r="B396" s="86"/>
      <c r="C396" s="88"/>
      <c r="D396" s="91"/>
      <c r="E396" s="92"/>
      <c r="F396" s="94"/>
    </row>
    <row r="397" spans="1:6" x14ac:dyDescent="0.25">
      <c r="A397" s="86"/>
      <c r="B397" s="86"/>
      <c r="C397" s="88"/>
      <c r="D397" s="91"/>
      <c r="E397" s="92"/>
      <c r="F397" s="94"/>
    </row>
    <row r="398" spans="1:6" x14ac:dyDescent="0.25">
      <c r="A398" s="86"/>
      <c r="B398" s="86"/>
      <c r="C398" s="88"/>
      <c r="D398" s="91"/>
      <c r="E398" s="92"/>
      <c r="F398" s="94"/>
    </row>
    <row r="399" spans="1:6" x14ac:dyDescent="0.25">
      <c r="A399" s="86"/>
      <c r="B399" s="86"/>
      <c r="C399" s="88"/>
      <c r="D399" s="91"/>
      <c r="E399" s="92"/>
      <c r="F399" s="94"/>
    </row>
    <row r="400" spans="1:6" x14ac:dyDescent="0.25">
      <c r="A400" s="86"/>
      <c r="B400" s="86"/>
      <c r="C400" s="88"/>
      <c r="D400" s="91"/>
      <c r="E400" s="92"/>
      <c r="F400" s="94"/>
    </row>
    <row r="401" spans="1:6" x14ac:dyDescent="0.25">
      <c r="A401" s="86"/>
      <c r="B401" s="86"/>
      <c r="C401" s="88"/>
      <c r="D401" s="91"/>
      <c r="E401" s="92"/>
      <c r="F401" s="94"/>
    </row>
    <row r="402" spans="1:6" x14ac:dyDescent="0.25">
      <c r="A402" s="86"/>
      <c r="B402" s="86"/>
      <c r="C402" s="88"/>
      <c r="D402" s="91"/>
      <c r="E402" s="92"/>
      <c r="F402" s="94"/>
    </row>
    <row r="403" spans="1:6" x14ac:dyDescent="0.25">
      <c r="A403" s="86"/>
      <c r="B403" s="86"/>
      <c r="C403" s="88"/>
      <c r="D403" s="91"/>
      <c r="E403" s="92"/>
      <c r="F403" s="94"/>
    </row>
    <row r="404" spans="1:6" x14ac:dyDescent="0.25">
      <c r="A404" s="86"/>
      <c r="B404" s="86"/>
      <c r="C404" s="88"/>
      <c r="D404" s="91"/>
      <c r="E404" s="92"/>
      <c r="F404" s="94"/>
    </row>
    <row r="405" spans="1:6" x14ac:dyDescent="0.25">
      <c r="A405" s="86"/>
      <c r="B405" s="86"/>
      <c r="C405" s="88"/>
      <c r="D405" s="91"/>
      <c r="E405" s="92"/>
      <c r="F405" s="94"/>
    </row>
    <row r="406" spans="1:6" x14ac:dyDescent="0.25">
      <c r="A406" s="86"/>
      <c r="B406" s="86"/>
      <c r="C406" s="88"/>
      <c r="D406" s="91"/>
      <c r="E406" s="92"/>
      <c r="F406" s="94"/>
    </row>
    <row r="407" spans="1:6" x14ac:dyDescent="0.25">
      <c r="A407" s="86"/>
      <c r="B407" s="86"/>
      <c r="C407" s="88"/>
      <c r="D407" s="91"/>
      <c r="E407" s="92"/>
      <c r="F407" s="94"/>
    </row>
    <row r="408" spans="1:6" x14ac:dyDescent="0.25">
      <c r="A408" s="86"/>
      <c r="B408" s="86"/>
      <c r="C408" s="88"/>
      <c r="D408" s="91"/>
      <c r="E408" s="92"/>
      <c r="F408" s="94"/>
    </row>
    <row r="409" spans="1:6" x14ac:dyDescent="0.25">
      <c r="A409" s="86"/>
      <c r="B409" s="86"/>
      <c r="C409" s="88"/>
      <c r="D409" s="91"/>
      <c r="E409" s="92"/>
      <c r="F409" s="94"/>
    </row>
    <row r="410" spans="1:6" x14ac:dyDescent="0.25">
      <c r="A410" s="86"/>
      <c r="B410" s="86"/>
      <c r="C410" s="88"/>
      <c r="D410" s="91"/>
      <c r="E410" s="92"/>
      <c r="F410" s="94"/>
    </row>
    <row r="411" spans="1:6" x14ac:dyDescent="0.25">
      <c r="A411" s="86"/>
      <c r="B411" s="86"/>
      <c r="C411" s="88"/>
      <c r="D411" s="91"/>
      <c r="E411" s="92"/>
      <c r="F411" s="94"/>
    </row>
    <row r="412" spans="1:6" x14ac:dyDescent="0.25">
      <c r="A412" s="86"/>
      <c r="B412" s="86"/>
      <c r="C412" s="88"/>
      <c r="D412" s="91"/>
      <c r="E412" s="92"/>
      <c r="F412" s="94"/>
    </row>
    <row r="413" spans="1:6" x14ac:dyDescent="0.25">
      <c r="A413" s="86"/>
      <c r="B413" s="86"/>
      <c r="C413" s="88"/>
      <c r="D413" s="91"/>
      <c r="E413" s="92"/>
      <c r="F413" s="94"/>
    </row>
    <row r="414" spans="1:6" x14ac:dyDescent="0.25">
      <c r="A414" s="86"/>
      <c r="B414" s="86"/>
      <c r="C414" s="88"/>
      <c r="D414" s="91"/>
      <c r="E414" s="92"/>
      <c r="F414" s="94"/>
    </row>
    <row r="415" spans="1:6" x14ac:dyDescent="0.25">
      <c r="A415" s="86"/>
      <c r="B415" s="86"/>
      <c r="C415" s="88"/>
      <c r="D415" s="91"/>
      <c r="E415" s="92"/>
      <c r="F415" s="94"/>
    </row>
    <row r="416" spans="1:6" x14ac:dyDescent="0.25">
      <c r="A416" s="86"/>
      <c r="B416" s="86"/>
      <c r="C416" s="88"/>
      <c r="D416" s="91"/>
      <c r="E416" s="92"/>
      <c r="F416" s="94"/>
    </row>
    <row r="417" spans="1:6" x14ac:dyDescent="0.25">
      <c r="A417" s="86"/>
      <c r="B417" s="86"/>
      <c r="C417" s="88"/>
      <c r="D417" s="91"/>
      <c r="E417" s="92"/>
      <c r="F417" s="94"/>
    </row>
    <row r="418" spans="1:6" x14ac:dyDescent="0.25">
      <c r="A418" s="86"/>
      <c r="B418" s="86"/>
      <c r="C418" s="88"/>
      <c r="D418" s="91"/>
      <c r="E418" s="92"/>
      <c r="F418" s="94"/>
    </row>
    <row r="419" spans="1:6" x14ac:dyDescent="0.25">
      <c r="A419" s="86"/>
      <c r="B419" s="86"/>
      <c r="C419" s="88"/>
      <c r="D419" s="91"/>
      <c r="E419" s="92"/>
      <c r="F419" s="94"/>
    </row>
    <row r="420" spans="1:6" x14ac:dyDescent="0.25">
      <c r="A420" s="86"/>
      <c r="B420" s="86"/>
      <c r="C420" s="88"/>
      <c r="D420" s="91"/>
      <c r="E420" s="92"/>
      <c r="F420" s="94"/>
    </row>
    <row r="421" spans="1:6" x14ac:dyDescent="0.25">
      <c r="A421" s="86"/>
      <c r="B421" s="86"/>
      <c r="C421" s="88"/>
      <c r="D421" s="91"/>
      <c r="E421" s="92"/>
      <c r="F421" s="94"/>
    </row>
    <row r="422" spans="1:6" x14ac:dyDescent="0.25">
      <c r="A422" s="86"/>
      <c r="B422" s="86"/>
      <c r="C422" s="88"/>
      <c r="D422" s="91"/>
      <c r="E422" s="92"/>
      <c r="F422" s="94"/>
    </row>
    <row r="423" spans="1:6" x14ac:dyDescent="0.25">
      <c r="A423" s="86"/>
      <c r="B423" s="86"/>
      <c r="C423" s="88"/>
      <c r="D423" s="91"/>
      <c r="E423" s="92"/>
      <c r="F423" s="94"/>
    </row>
    <row r="424" spans="1:6" x14ac:dyDescent="0.25">
      <c r="A424" s="86"/>
      <c r="B424" s="86"/>
      <c r="C424" s="88"/>
      <c r="D424" s="91"/>
      <c r="E424" s="92"/>
      <c r="F424" s="94"/>
    </row>
    <row r="425" spans="1:6" x14ac:dyDescent="0.25">
      <c r="A425" s="86"/>
      <c r="B425" s="86"/>
      <c r="C425" s="88"/>
      <c r="D425" s="91"/>
      <c r="E425" s="92"/>
      <c r="F425" s="94"/>
    </row>
    <row r="426" spans="1:6" x14ac:dyDescent="0.25">
      <c r="A426" s="86"/>
      <c r="B426" s="86"/>
      <c r="C426" s="88"/>
      <c r="D426" s="91"/>
      <c r="E426" s="92"/>
      <c r="F426" s="94"/>
    </row>
    <row r="427" spans="1:6" x14ac:dyDescent="0.25">
      <c r="A427" s="86"/>
      <c r="B427" s="86"/>
      <c r="C427" s="88"/>
      <c r="D427" s="91"/>
      <c r="E427" s="92"/>
      <c r="F427" s="94"/>
    </row>
    <row r="428" spans="1:6" x14ac:dyDescent="0.25">
      <c r="A428" s="86"/>
      <c r="B428" s="86"/>
      <c r="C428" s="88"/>
      <c r="D428" s="91"/>
      <c r="E428" s="92"/>
      <c r="F428" s="94"/>
    </row>
    <row r="429" spans="1:6" x14ac:dyDescent="0.25">
      <c r="A429" s="86"/>
      <c r="B429" s="86"/>
      <c r="C429" s="88"/>
      <c r="D429" s="91"/>
      <c r="E429" s="92"/>
      <c r="F429" s="94"/>
    </row>
    <row r="430" spans="1:6" x14ac:dyDescent="0.25">
      <c r="A430" s="86"/>
      <c r="B430" s="86"/>
      <c r="C430" s="88"/>
      <c r="D430" s="91"/>
      <c r="E430" s="92"/>
      <c r="F430" s="94"/>
    </row>
    <row r="431" spans="1:6" x14ac:dyDescent="0.25">
      <c r="A431" s="86"/>
      <c r="B431" s="86"/>
      <c r="C431" s="88"/>
      <c r="D431" s="91"/>
      <c r="E431" s="92"/>
      <c r="F431" s="94"/>
    </row>
    <row r="432" spans="1:6" x14ac:dyDescent="0.25">
      <c r="A432" s="86"/>
      <c r="B432" s="86"/>
      <c r="C432" s="88"/>
      <c r="D432" s="91"/>
      <c r="E432" s="92"/>
      <c r="F432" s="94"/>
    </row>
    <row r="433" spans="1:6" x14ac:dyDescent="0.25">
      <c r="A433" s="86"/>
      <c r="B433" s="86"/>
      <c r="C433" s="88"/>
      <c r="D433" s="91"/>
      <c r="E433" s="92"/>
      <c r="F433" s="94"/>
    </row>
    <row r="434" spans="1:6" x14ac:dyDescent="0.25">
      <c r="A434" s="86"/>
      <c r="B434" s="86"/>
      <c r="C434" s="88"/>
      <c r="D434" s="91"/>
      <c r="E434" s="92"/>
      <c r="F434" s="94"/>
    </row>
    <row r="435" spans="1:6" x14ac:dyDescent="0.25">
      <c r="A435" s="86"/>
      <c r="B435" s="86"/>
      <c r="C435" s="88"/>
      <c r="D435" s="91"/>
      <c r="E435" s="92"/>
      <c r="F435" s="94"/>
    </row>
    <row r="436" spans="1:6" x14ac:dyDescent="0.25">
      <c r="A436" s="86"/>
      <c r="B436" s="86"/>
      <c r="C436" s="88"/>
      <c r="D436" s="91"/>
      <c r="E436" s="92"/>
      <c r="F436" s="94"/>
    </row>
    <row r="437" spans="1:6" x14ac:dyDescent="0.25">
      <c r="A437" s="86"/>
      <c r="B437" s="86"/>
      <c r="C437" s="88"/>
      <c r="D437" s="91"/>
      <c r="E437" s="92"/>
      <c r="F437" s="94"/>
    </row>
    <row r="438" spans="1:6" x14ac:dyDescent="0.25">
      <c r="A438" s="86"/>
      <c r="B438" s="86"/>
      <c r="C438" s="88"/>
      <c r="D438" s="91"/>
      <c r="E438" s="92"/>
      <c r="F438" s="94"/>
    </row>
    <row r="439" spans="1:6" x14ac:dyDescent="0.25">
      <c r="A439" s="86"/>
      <c r="B439" s="86"/>
      <c r="C439" s="88"/>
      <c r="D439" s="91"/>
      <c r="E439" s="92"/>
      <c r="F439" s="94"/>
    </row>
    <row r="440" spans="1:6" x14ac:dyDescent="0.25">
      <c r="A440" s="86"/>
      <c r="B440" s="86"/>
      <c r="C440" s="88"/>
      <c r="D440" s="91"/>
      <c r="E440" s="92"/>
      <c r="F440" s="94"/>
    </row>
    <row r="441" spans="1:6" x14ac:dyDescent="0.25">
      <c r="A441" s="86"/>
      <c r="B441" s="86"/>
      <c r="C441" s="88"/>
      <c r="D441" s="91"/>
      <c r="E441" s="92"/>
      <c r="F441" s="94"/>
    </row>
    <row r="442" spans="1:6" x14ac:dyDescent="0.25">
      <c r="A442" s="86"/>
      <c r="B442" s="86"/>
      <c r="C442" s="88"/>
      <c r="D442" s="91"/>
      <c r="E442" s="92"/>
      <c r="F442" s="94"/>
    </row>
    <row r="443" spans="1:6" x14ac:dyDescent="0.25">
      <c r="A443" s="86"/>
      <c r="B443" s="86"/>
      <c r="C443" s="88"/>
      <c r="D443" s="91"/>
      <c r="E443" s="92"/>
      <c r="F443" s="94"/>
    </row>
    <row r="444" spans="1:6" x14ac:dyDescent="0.25">
      <c r="A444" s="86"/>
      <c r="B444" s="86"/>
      <c r="C444" s="88"/>
      <c r="D444" s="91"/>
      <c r="E444" s="92"/>
      <c r="F444" s="94"/>
    </row>
    <row r="445" spans="1:6" x14ac:dyDescent="0.25">
      <c r="A445" s="86"/>
      <c r="B445" s="86"/>
      <c r="C445" s="88"/>
      <c r="D445" s="91"/>
      <c r="E445" s="92"/>
      <c r="F445" s="94"/>
    </row>
    <row r="446" spans="1:6" x14ac:dyDescent="0.25">
      <c r="A446" s="86"/>
      <c r="B446" s="86"/>
      <c r="C446" s="88"/>
      <c r="D446" s="91"/>
      <c r="E446" s="92"/>
      <c r="F446" s="94"/>
    </row>
    <row r="447" spans="1:6" x14ac:dyDescent="0.25">
      <c r="A447" s="86"/>
      <c r="B447" s="86"/>
      <c r="C447" s="88"/>
      <c r="D447" s="91"/>
      <c r="E447" s="92"/>
      <c r="F447" s="94"/>
    </row>
    <row r="448" spans="1:6" x14ac:dyDescent="0.25">
      <c r="A448" s="86"/>
      <c r="B448" s="86"/>
      <c r="C448" s="88"/>
      <c r="D448" s="91"/>
      <c r="E448" s="92"/>
      <c r="F448" s="94"/>
    </row>
    <row r="449" spans="1:6" x14ac:dyDescent="0.25">
      <c r="A449" s="86"/>
      <c r="B449" s="86"/>
      <c r="C449" s="88"/>
      <c r="D449" s="91"/>
      <c r="E449" s="92"/>
      <c r="F449" s="94"/>
    </row>
    <row r="450" spans="1:6" x14ac:dyDescent="0.25">
      <c r="A450" s="86"/>
      <c r="B450" s="86"/>
      <c r="C450" s="88"/>
      <c r="D450" s="91"/>
      <c r="E450" s="92"/>
      <c r="F450" s="94"/>
    </row>
    <row r="451" spans="1:6" x14ac:dyDescent="0.25">
      <c r="A451" s="86"/>
      <c r="B451" s="86"/>
      <c r="C451" s="88"/>
      <c r="D451" s="91"/>
      <c r="E451" s="92"/>
      <c r="F451" s="94"/>
    </row>
    <row r="452" spans="1:6" x14ac:dyDescent="0.25">
      <c r="A452" s="86"/>
      <c r="B452" s="86"/>
      <c r="C452" s="88"/>
      <c r="D452" s="91"/>
      <c r="E452" s="92"/>
      <c r="F452" s="94"/>
    </row>
    <row r="453" spans="1:6" x14ac:dyDescent="0.25">
      <c r="A453" s="86"/>
      <c r="B453" s="86"/>
      <c r="C453" s="88"/>
      <c r="D453" s="91"/>
      <c r="E453" s="92"/>
      <c r="F453" s="94"/>
    </row>
    <row r="454" spans="1:6" x14ac:dyDescent="0.25">
      <c r="A454" s="86"/>
      <c r="B454" s="86"/>
      <c r="C454" s="88"/>
      <c r="D454" s="91"/>
      <c r="E454" s="92"/>
      <c r="F454" s="94"/>
    </row>
    <row r="455" spans="1:6" x14ac:dyDescent="0.25">
      <c r="A455" s="86"/>
      <c r="B455" s="86"/>
      <c r="C455" s="88"/>
      <c r="D455" s="91"/>
      <c r="E455" s="92"/>
      <c r="F455" s="94"/>
    </row>
    <row r="456" spans="1:6" x14ac:dyDescent="0.25">
      <c r="A456" s="86"/>
      <c r="B456" s="86"/>
      <c r="C456" s="88"/>
      <c r="D456" s="91"/>
      <c r="E456" s="92"/>
      <c r="F456" s="94"/>
    </row>
    <row r="457" spans="1:6" x14ac:dyDescent="0.25">
      <c r="A457" s="86"/>
      <c r="B457" s="86"/>
      <c r="C457" s="88"/>
      <c r="D457" s="91"/>
      <c r="E457" s="92"/>
      <c r="F457" s="94"/>
    </row>
    <row r="458" spans="1:6" x14ac:dyDescent="0.25">
      <c r="A458" s="86"/>
      <c r="B458" s="86"/>
      <c r="C458" s="88"/>
      <c r="D458" s="91"/>
      <c r="E458" s="92"/>
      <c r="F458" s="94"/>
    </row>
    <row r="459" spans="1:6" x14ac:dyDescent="0.25">
      <c r="A459" s="86"/>
      <c r="B459" s="86"/>
      <c r="C459" s="88"/>
      <c r="D459" s="91"/>
      <c r="E459" s="92"/>
      <c r="F459" s="94"/>
    </row>
    <row r="460" spans="1:6" x14ac:dyDescent="0.25">
      <c r="A460" s="86"/>
      <c r="B460" s="86"/>
      <c r="C460" s="88"/>
      <c r="D460" s="91"/>
      <c r="E460" s="92"/>
      <c r="F460" s="94"/>
    </row>
    <row r="461" spans="1:6" x14ac:dyDescent="0.25">
      <c r="A461" s="86"/>
      <c r="B461" s="86"/>
      <c r="C461" s="88"/>
      <c r="D461" s="91"/>
      <c r="E461" s="92"/>
      <c r="F461" s="94"/>
    </row>
    <row r="462" spans="1:6" x14ac:dyDescent="0.25">
      <c r="A462" s="86"/>
      <c r="B462" s="86"/>
      <c r="C462" s="88"/>
      <c r="D462" s="91"/>
      <c r="E462" s="92"/>
      <c r="F462" s="94"/>
    </row>
    <row r="463" spans="1:6" x14ac:dyDescent="0.25">
      <c r="A463" s="86"/>
      <c r="B463" s="86"/>
      <c r="C463" s="88"/>
      <c r="D463" s="91"/>
      <c r="E463" s="92"/>
      <c r="F463" s="94"/>
    </row>
    <row r="464" spans="1:6" x14ac:dyDescent="0.25">
      <c r="A464" s="86"/>
      <c r="B464" s="86"/>
      <c r="C464" s="88"/>
      <c r="D464" s="91"/>
      <c r="E464" s="92"/>
      <c r="F464" s="94"/>
    </row>
    <row r="465" spans="1:6" x14ac:dyDescent="0.25">
      <c r="A465" s="86"/>
      <c r="B465" s="86"/>
      <c r="C465" s="88"/>
      <c r="D465" s="91"/>
      <c r="E465" s="92"/>
      <c r="F465" s="94"/>
    </row>
    <row r="466" spans="1:6" x14ac:dyDescent="0.25">
      <c r="A466" s="86"/>
      <c r="B466" s="86"/>
      <c r="C466" s="88"/>
      <c r="D466" s="91"/>
      <c r="E466" s="92"/>
      <c r="F466" s="94"/>
    </row>
    <row r="467" spans="1:6" x14ac:dyDescent="0.25">
      <c r="A467" s="86"/>
      <c r="B467" s="86"/>
      <c r="C467" s="88"/>
      <c r="D467" s="91"/>
      <c r="E467" s="92"/>
      <c r="F467" s="94"/>
    </row>
    <row r="468" spans="1:6" x14ac:dyDescent="0.25">
      <c r="A468" s="86"/>
      <c r="B468" s="86"/>
      <c r="C468" s="88"/>
      <c r="D468" s="91"/>
      <c r="E468" s="92"/>
      <c r="F468" s="94"/>
    </row>
    <row r="469" spans="1:6" x14ac:dyDescent="0.25">
      <c r="A469" s="86"/>
      <c r="B469" s="86"/>
      <c r="C469" s="88"/>
      <c r="D469" s="91"/>
      <c r="E469" s="92"/>
      <c r="F469" s="94"/>
    </row>
    <row r="470" spans="1:6" x14ac:dyDescent="0.25">
      <c r="A470" s="86"/>
      <c r="B470" s="86"/>
      <c r="C470" s="88"/>
      <c r="D470" s="91"/>
      <c r="E470" s="92"/>
      <c r="F470" s="94"/>
    </row>
    <row r="471" spans="1:6" x14ac:dyDescent="0.25">
      <c r="A471" s="86"/>
      <c r="B471" s="86"/>
      <c r="C471" s="88"/>
      <c r="D471" s="91"/>
      <c r="E471" s="92"/>
      <c r="F471" s="94"/>
    </row>
    <row r="472" spans="1:6" x14ac:dyDescent="0.25">
      <c r="A472" s="86"/>
      <c r="B472" s="86"/>
      <c r="C472" s="88"/>
      <c r="D472" s="91"/>
      <c r="E472" s="92"/>
      <c r="F472" s="94"/>
    </row>
    <row r="473" spans="1:6" x14ac:dyDescent="0.25">
      <c r="A473" s="86"/>
      <c r="B473" s="86"/>
      <c r="C473" s="88"/>
      <c r="D473" s="91"/>
      <c r="E473" s="92"/>
      <c r="F473" s="94"/>
    </row>
    <row r="474" spans="1:6" x14ac:dyDescent="0.25">
      <c r="A474" s="86"/>
      <c r="B474" s="86"/>
      <c r="C474" s="88"/>
      <c r="D474" s="91"/>
      <c r="E474" s="92"/>
      <c r="F474" s="94"/>
    </row>
    <row r="475" spans="1:6" x14ac:dyDescent="0.25">
      <c r="A475" s="86"/>
      <c r="B475" s="86"/>
      <c r="C475" s="88"/>
      <c r="D475" s="91"/>
      <c r="E475" s="92"/>
      <c r="F475" s="94"/>
    </row>
    <row r="476" spans="1:6" x14ac:dyDescent="0.25">
      <c r="A476" s="86"/>
      <c r="B476" s="86"/>
      <c r="C476" s="88"/>
      <c r="D476" s="91"/>
      <c r="E476" s="92"/>
      <c r="F476" s="94"/>
    </row>
    <row r="477" spans="1:6" x14ac:dyDescent="0.25">
      <c r="A477" s="86"/>
      <c r="B477" s="86"/>
      <c r="C477" s="88"/>
      <c r="D477" s="91"/>
      <c r="E477" s="92"/>
      <c r="F477" s="94"/>
    </row>
    <row r="478" spans="1:6" x14ac:dyDescent="0.25">
      <c r="A478" s="86"/>
      <c r="B478" s="86"/>
      <c r="C478" s="88"/>
      <c r="D478" s="91"/>
      <c r="E478" s="92"/>
      <c r="F478" s="94"/>
    </row>
    <row r="479" spans="1:6" x14ac:dyDescent="0.25">
      <c r="A479" s="86"/>
      <c r="B479" s="86"/>
      <c r="C479" s="88"/>
      <c r="D479" s="91"/>
      <c r="E479" s="92"/>
      <c r="F479" s="94"/>
    </row>
    <row r="480" spans="1:6" x14ac:dyDescent="0.25">
      <c r="A480" s="86"/>
      <c r="B480" s="86"/>
      <c r="C480" s="88"/>
      <c r="D480" s="91"/>
      <c r="E480" s="92"/>
      <c r="F480" s="94"/>
    </row>
    <row r="481" spans="1:6" x14ac:dyDescent="0.25">
      <c r="A481" s="86"/>
      <c r="B481" s="86"/>
      <c r="C481" s="88"/>
      <c r="D481" s="91"/>
      <c r="E481" s="92"/>
      <c r="F481" s="94"/>
    </row>
    <row r="482" spans="1:6" x14ac:dyDescent="0.25">
      <c r="A482" s="86"/>
      <c r="B482" s="86"/>
      <c r="C482" s="88"/>
      <c r="D482" s="91"/>
      <c r="E482" s="92"/>
      <c r="F482" s="94"/>
    </row>
    <row r="483" spans="1:6" x14ac:dyDescent="0.25">
      <c r="A483" s="86"/>
      <c r="B483" s="86"/>
      <c r="C483" s="88"/>
      <c r="D483" s="91"/>
      <c r="E483" s="92"/>
      <c r="F483" s="94"/>
    </row>
    <row r="484" spans="1:6" x14ac:dyDescent="0.25">
      <c r="A484" s="86"/>
      <c r="B484" s="86"/>
      <c r="C484" s="88"/>
      <c r="D484" s="91"/>
      <c r="E484" s="92"/>
      <c r="F484" s="94"/>
    </row>
    <row r="485" spans="1:6" x14ac:dyDescent="0.25">
      <c r="A485" s="86"/>
      <c r="B485" s="86"/>
      <c r="C485" s="88"/>
      <c r="D485" s="91"/>
      <c r="E485" s="92"/>
      <c r="F485" s="94"/>
    </row>
    <row r="486" spans="1:6" x14ac:dyDescent="0.25">
      <c r="A486" s="86"/>
      <c r="B486" s="86"/>
      <c r="C486" s="88"/>
      <c r="D486" s="91"/>
      <c r="E486" s="92"/>
      <c r="F486" s="94"/>
    </row>
    <row r="487" spans="1:6" x14ac:dyDescent="0.25">
      <c r="A487" s="86"/>
      <c r="B487" s="86"/>
      <c r="C487" s="88"/>
      <c r="D487" s="91"/>
      <c r="E487" s="92"/>
      <c r="F487" s="94"/>
    </row>
    <row r="488" spans="1:6" x14ac:dyDescent="0.25">
      <c r="A488" s="86"/>
      <c r="B488" s="86"/>
      <c r="C488" s="88"/>
      <c r="D488" s="91"/>
      <c r="E488" s="92"/>
      <c r="F488" s="94"/>
    </row>
    <row r="489" spans="1:6" x14ac:dyDescent="0.25">
      <c r="A489" s="86"/>
      <c r="B489" s="86"/>
      <c r="C489" s="88"/>
      <c r="D489" s="91"/>
      <c r="E489" s="92"/>
      <c r="F489" s="94"/>
    </row>
    <row r="490" spans="1:6" x14ac:dyDescent="0.25">
      <c r="A490" s="86"/>
      <c r="B490" s="86"/>
      <c r="C490" s="88"/>
      <c r="D490" s="91"/>
      <c r="E490" s="92"/>
      <c r="F490" s="94"/>
    </row>
    <row r="491" spans="1:6" x14ac:dyDescent="0.25">
      <c r="A491" s="86"/>
      <c r="B491" s="86"/>
      <c r="C491" s="88"/>
      <c r="D491" s="91"/>
      <c r="E491" s="92"/>
      <c r="F491" s="94"/>
    </row>
    <row r="492" spans="1:6" x14ac:dyDescent="0.25">
      <c r="A492" s="86"/>
      <c r="B492" s="86"/>
      <c r="C492" s="88"/>
      <c r="D492" s="91"/>
      <c r="E492" s="92"/>
      <c r="F492" s="94"/>
    </row>
    <row r="493" spans="1:6" x14ac:dyDescent="0.25">
      <c r="A493" s="86"/>
      <c r="B493" s="86"/>
      <c r="C493" s="88"/>
      <c r="D493" s="91"/>
      <c r="E493" s="92"/>
      <c r="F493" s="94"/>
    </row>
    <row r="494" spans="1:6" x14ac:dyDescent="0.25">
      <c r="A494" s="86"/>
      <c r="B494" s="86"/>
      <c r="C494" s="88"/>
      <c r="D494" s="91"/>
      <c r="E494" s="92"/>
      <c r="F494" s="94"/>
    </row>
    <row r="495" spans="1:6" x14ac:dyDescent="0.25">
      <c r="A495" s="86"/>
      <c r="B495" s="86"/>
      <c r="C495" s="88"/>
      <c r="D495" s="91"/>
      <c r="E495" s="92"/>
      <c r="F495" s="94"/>
    </row>
    <row r="496" spans="1:6" x14ac:dyDescent="0.25">
      <c r="A496" s="86"/>
      <c r="B496" s="86"/>
      <c r="C496" s="88"/>
      <c r="D496" s="91"/>
      <c r="E496" s="92"/>
      <c r="F496" s="94"/>
    </row>
    <row r="497" spans="1:6" x14ac:dyDescent="0.25">
      <c r="A497" s="86"/>
      <c r="B497" s="86"/>
      <c r="C497" s="88"/>
      <c r="D497" s="91"/>
      <c r="E497" s="92"/>
      <c r="F497" s="94"/>
    </row>
    <row r="498" spans="1:6" x14ac:dyDescent="0.25">
      <c r="A498" s="86"/>
      <c r="B498" s="86"/>
      <c r="C498" s="88"/>
      <c r="D498" s="91"/>
      <c r="E498" s="92"/>
      <c r="F498" s="94"/>
    </row>
    <row r="499" spans="1:6" x14ac:dyDescent="0.25">
      <c r="A499" s="86"/>
      <c r="B499" s="86"/>
      <c r="C499" s="88"/>
      <c r="D499" s="91"/>
      <c r="E499" s="92"/>
      <c r="F499" s="94"/>
    </row>
    <row r="500" spans="1:6" x14ac:dyDescent="0.25">
      <c r="A500" s="86"/>
      <c r="B500" s="86"/>
      <c r="C500" s="88"/>
      <c r="D500" s="91"/>
      <c r="E500" s="92"/>
      <c r="F500" s="94"/>
    </row>
    <row r="501" spans="1:6" x14ac:dyDescent="0.25">
      <c r="A501" s="86"/>
      <c r="B501" s="86"/>
      <c r="C501" s="88"/>
      <c r="D501" s="91"/>
      <c r="E501" s="92"/>
      <c r="F501" s="94"/>
    </row>
    <row r="502" spans="1:6" x14ac:dyDescent="0.25">
      <c r="A502" s="86"/>
      <c r="B502" s="86"/>
      <c r="C502" s="88"/>
      <c r="D502" s="91"/>
      <c r="E502" s="92"/>
      <c r="F502" s="94"/>
    </row>
    <row r="503" spans="1:6" x14ac:dyDescent="0.25">
      <c r="A503" s="86"/>
      <c r="B503" s="86"/>
      <c r="C503" s="88"/>
      <c r="D503" s="91"/>
      <c r="E503" s="92"/>
      <c r="F503" s="94"/>
    </row>
    <row r="504" spans="1:6" x14ac:dyDescent="0.25">
      <c r="A504" s="86"/>
      <c r="B504" s="86"/>
      <c r="C504" s="88"/>
      <c r="D504" s="91"/>
      <c r="E504" s="92"/>
      <c r="F504" s="94"/>
    </row>
    <row r="505" spans="1:6" x14ac:dyDescent="0.25">
      <c r="A505" s="86"/>
      <c r="B505" s="86"/>
      <c r="C505" s="88"/>
      <c r="D505" s="91"/>
      <c r="E505" s="92"/>
      <c r="F505" s="94"/>
    </row>
    <row r="506" spans="1:6" x14ac:dyDescent="0.25">
      <c r="A506" s="86"/>
      <c r="B506" s="86"/>
      <c r="C506" s="88"/>
      <c r="D506" s="91"/>
      <c r="E506" s="92"/>
      <c r="F506" s="94"/>
    </row>
    <row r="507" spans="1:6" x14ac:dyDescent="0.25">
      <c r="A507" s="86"/>
      <c r="B507" s="86"/>
      <c r="C507" s="88"/>
      <c r="D507" s="91"/>
      <c r="E507" s="92"/>
      <c r="F507" s="94"/>
    </row>
    <row r="508" spans="1:6" x14ac:dyDescent="0.25">
      <c r="A508" s="86"/>
      <c r="B508" s="86"/>
      <c r="C508" s="88"/>
      <c r="D508" s="91"/>
      <c r="E508" s="92"/>
      <c r="F508" s="94"/>
    </row>
    <row r="509" spans="1:6" x14ac:dyDescent="0.25">
      <c r="A509" s="86"/>
      <c r="B509" s="86"/>
      <c r="C509" s="88"/>
      <c r="D509" s="91"/>
      <c r="E509" s="92"/>
      <c r="F509" s="94"/>
    </row>
    <row r="510" spans="1:6" x14ac:dyDescent="0.25">
      <c r="A510" s="86"/>
      <c r="B510" s="86"/>
      <c r="C510" s="88"/>
      <c r="D510" s="91"/>
      <c r="E510" s="92"/>
      <c r="F510" s="94"/>
    </row>
    <row r="511" spans="1:6" x14ac:dyDescent="0.25">
      <c r="A511" s="86"/>
      <c r="B511" s="86"/>
      <c r="C511" s="88"/>
      <c r="D511" s="91"/>
      <c r="E511" s="92"/>
      <c r="F511" s="94"/>
    </row>
    <row r="512" spans="1:6" x14ac:dyDescent="0.25">
      <c r="A512" s="86"/>
      <c r="B512" s="86"/>
      <c r="C512" s="88"/>
      <c r="D512" s="91"/>
      <c r="E512" s="92"/>
      <c r="F512" s="94"/>
    </row>
    <row r="513" spans="1:6" x14ac:dyDescent="0.25">
      <c r="A513" s="86"/>
      <c r="B513" s="86"/>
      <c r="C513" s="88"/>
      <c r="D513" s="91"/>
      <c r="E513" s="92"/>
      <c r="F513" s="94"/>
    </row>
    <row r="514" spans="1:6" x14ac:dyDescent="0.25">
      <c r="A514" s="86"/>
      <c r="B514" s="86"/>
      <c r="C514" s="88"/>
      <c r="D514" s="91"/>
      <c r="E514" s="92"/>
      <c r="F514" s="94"/>
    </row>
    <row r="515" spans="1:6" x14ac:dyDescent="0.25">
      <c r="A515" s="86"/>
      <c r="B515" s="86"/>
      <c r="C515" s="88"/>
      <c r="D515" s="91"/>
      <c r="E515" s="92"/>
      <c r="F515" s="94"/>
    </row>
    <row r="516" spans="1:6" x14ac:dyDescent="0.25">
      <c r="A516" s="86"/>
      <c r="B516" s="86"/>
      <c r="C516" s="88"/>
      <c r="D516" s="91"/>
      <c r="E516" s="92"/>
      <c r="F516" s="94"/>
    </row>
    <row r="517" spans="1:6" x14ac:dyDescent="0.25">
      <c r="A517" s="86"/>
      <c r="B517" s="86"/>
      <c r="C517" s="88"/>
      <c r="D517" s="91"/>
      <c r="E517" s="92"/>
      <c r="F517" s="94"/>
    </row>
    <row r="518" spans="1:6" x14ac:dyDescent="0.25">
      <c r="A518" s="86"/>
      <c r="B518" s="86"/>
      <c r="C518" s="88"/>
      <c r="D518" s="91"/>
      <c r="E518" s="92"/>
      <c r="F518" s="94"/>
    </row>
    <row r="519" spans="1:6" x14ac:dyDescent="0.25">
      <c r="A519" s="86"/>
      <c r="B519" s="86"/>
      <c r="C519" s="88"/>
      <c r="D519" s="91"/>
      <c r="E519" s="92"/>
      <c r="F519" s="94"/>
    </row>
    <row r="520" spans="1:6" x14ac:dyDescent="0.25">
      <c r="A520" s="86"/>
      <c r="B520" s="86"/>
      <c r="C520" s="88"/>
      <c r="D520" s="91"/>
      <c r="E520" s="92"/>
      <c r="F520" s="94"/>
    </row>
    <row r="521" spans="1:6" x14ac:dyDescent="0.25">
      <c r="A521" s="86"/>
      <c r="B521" s="86"/>
      <c r="C521" s="88"/>
      <c r="D521" s="91"/>
      <c r="E521" s="92"/>
      <c r="F521" s="94"/>
    </row>
    <row r="522" spans="1:6" x14ac:dyDescent="0.25">
      <c r="A522" s="86"/>
      <c r="B522" s="86"/>
      <c r="C522" s="88"/>
      <c r="D522" s="91"/>
      <c r="E522" s="92"/>
      <c r="F522" s="94"/>
    </row>
    <row r="523" spans="1:6" x14ac:dyDescent="0.25">
      <c r="A523" s="86"/>
      <c r="B523" s="86"/>
      <c r="C523" s="88"/>
      <c r="D523" s="91"/>
      <c r="E523" s="92"/>
      <c r="F523" s="94"/>
    </row>
    <row r="524" spans="1:6" x14ac:dyDescent="0.25">
      <c r="A524" s="86"/>
      <c r="B524" s="86"/>
      <c r="C524" s="88"/>
      <c r="D524" s="91"/>
      <c r="E524" s="92"/>
      <c r="F524" s="94"/>
    </row>
    <row r="525" spans="1:6" x14ac:dyDescent="0.25">
      <c r="A525" s="86"/>
      <c r="B525" s="86"/>
      <c r="C525" s="88"/>
      <c r="D525" s="91"/>
      <c r="E525" s="92"/>
      <c r="F525" s="94"/>
    </row>
    <row r="526" spans="1:6" x14ac:dyDescent="0.25">
      <c r="A526" s="86"/>
      <c r="B526" s="86"/>
      <c r="C526" s="88"/>
      <c r="D526" s="91"/>
      <c r="E526" s="92"/>
      <c r="F526" s="94"/>
    </row>
    <row r="527" spans="1:6" x14ac:dyDescent="0.25">
      <c r="A527" s="86"/>
      <c r="B527" s="86"/>
      <c r="C527" s="88"/>
      <c r="D527" s="91"/>
      <c r="E527" s="92"/>
      <c r="F527" s="94"/>
    </row>
    <row r="528" spans="1:6" x14ac:dyDescent="0.25">
      <c r="A528" s="86"/>
      <c r="B528" s="86"/>
      <c r="C528" s="88"/>
      <c r="D528" s="91"/>
      <c r="E528" s="92"/>
      <c r="F528" s="94"/>
    </row>
    <row r="529" spans="1:6" x14ac:dyDescent="0.25">
      <c r="A529" s="86"/>
      <c r="B529" s="86"/>
      <c r="C529" s="88"/>
      <c r="D529" s="91"/>
      <c r="E529" s="92"/>
      <c r="F529" s="94"/>
    </row>
    <row r="530" spans="1:6" x14ac:dyDescent="0.25">
      <c r="A530" s="86"/>
      <c r="B530" s="86"/>
      <c r="C530" s="88"/>
      <c r="D530" s="91"/>
      <c r="E530" s="92"/>
      <c r="F530" s="94"/>
    </row>
    <row r="531" spans="1:6" x14ac:dyDescent="0.25">
      <c r="A531" s="86"/>
      <c r="B531" s="86"/>
      <c r="C531" s="88"/>
      <c r="D531" s="91"/>
      <c r="E531" s="92"/>
      <c r="F531" s="94"/>
    </row>
    <row r="532" spans="1:6" x14ac:dyDescent="0.25">
      <c r="A532" s="86"/>
      <c r="B532" s="86"/>
      <c r="C532" s="88"/>
      <c r="D532" s="91"/>
      <c r="E532" s="92"/>
      <c r="F532" s="94"/>
    </row>
    <row r="533" spans="1:6" x14ac:dyDescent="0.25">
      <c r="A533" s="86"/>
      <c r="B533" s="86"/>
      <c r="C533" s="88"/>
      <c r="D533" s="91"/>
      <c r="E533" s="92"/>
      <c r="F533" s="94"/>
    </row>
    <row r="534" spans="1:6" x14ac:dyDescent="0.25">
      <c r="A534" s="86"/>
      <c r="B534" s="86"/>
      <c r="C534" s="88"/>
      <c r="D534" s="91"/>
      <c r="E534" s="92"/>
      <c r="F534" s="94"/>
    </row>
    <row r="535" spans="1:6" x14ac:dyDescent="0.25">
      <c r="A535" s="86"/>
      <c r="B535" s="86"/>
      <c r="C535" s="88"/>
      <c r="D535" s="91"/>
      <c r="E535" s="92"/>
      <c r="F535" s="94"/>
    </row>
    <row r="536" spans="1:6" x14ac:dyDescent="0.25">
      <c r="A536" s="86"/>
      <c r="B536" s="86"/>
      <c r="C536" s="88"/>
      <c r="D536" s="91"/>
      <c r="E536" s="92"/>
      <c r="F536" s="94"/>
    </row>
    <row r="537" spans="1:6" x14ac:dyDescent="0.25">
      <c r="A537" s="86"/>
      <c r="B537" s="86"/>
      <c r="C537" s="88"/>
      <c r="D537" s="91"/>
      <c r="E537" s="92"/>
      <c r="F537" s="94"/>
    </row>
    <row r="538" spans="1:6" x14ac:dyDescent="0.25">
      <c r="A538" s="86"/>
      <c r="B538" s="86"/>
      <c r="C538" s="88"/>
      <c r="D538" s="91"/>
      <c r="E538" s="92"/>
      <c r="F538" s="94"/>
    </row>
    <row r="539" spans="1:6" x14ac:dyDescent="0.25">
      <c r="A539" s="86"/>
      <c r="B539" s="86"/>
      <c r="C539" s="88"/>
      <c r="D539" s="91"/>
      <c r="E539" s="92"/>
      <c r="F539" s="94"/>
    </row>
    <row r="540" spans="1:6" x14ac:dyDescent="0.25">
      <c r="A540" s="86"/>
      <c r="B540" s="86"/>
      <c r="C540" s="88"/>
      <c r="D540" s="91"/>
      <c r="E540" s="92"/>
      <c r="F540" s="94"/>
    </row>
    <row r="541" spans="1:6" x14ac:dyDescent="0.25">
      <c r="A541" s="86"/>
      <c r="B541" s="86"/>
      <c r="C541" s="88"/>
      <c r="D541" s="91"/>
      <c r="E541" s="92"/>
      <c r="F541" s="94"/>
    </row>
    <row r="542" spans="1:6" x14ac:dyDescent="0.25">
      <c r="A542" s="86"/>
      <c r="B542" s="86"/>
      <c r="C542" s="88"/>
      <c r="D542" s="91"/>
      <c r="E542" s="92"/>
      <c r="F542" s="94"/>
    </row>
    <row r="543" spans="1:6" x14ac:dyDescent="0.25">
      <c r="A543" s="86"/>
      <c r="B543" s="86"/>
      <c r="C543" s="88"/>
      <c r="D543" s="91"/>
      <c r="E543" s="92"/>
      <c r="F543" s="94"/>
    </row>
    <row r="544" spans="1:6" x14ac:dyDescent="0.25">
      <c r="A544" s="86"/>
      <c r="B544" s="86"/>
      <c r="C544" s="88"/>
      <c r="D544" s="91"/>
      <c r="E544" s="92"/>
      <c r="F544" s="94"/>
    </row>
    <row r="545" spans="1:6" x14ac:dyDescent="0.25">
      <c r="A545" s="86"/>
      <c r="B545" s="86"/>
      <c r="C545" s="88"/>
      <c r="D545" s="91"/>
      <c r="E545" s="92"/>
      <c r="F545" s="94"/>
    </row>
    <row r="546" spans="1:6" x14ac:dyDescent="0.25">
      <c r="A546" s="86"/>
      <c r="B546" s="86"/>
      <c r="C546" s="88"/>
      <c r="D546" s="91"/>
      <c r="E546" s="92"/>
      <c r="F546" s="94"/>
    </row>
    <row r="547" spans="1:6" x14ac:dyDescent="0.25">
      <c r="A547" s="86"/>
      <c r="B547" s="86"/>
      <c r="C547" s="88"/>
      <c r="D547" s="91"/>
      <c r="E547" s="92"/>
      <c r="F547" s="94"/>
    </row>
    <row r="548" spans="1:6" x14ac:dyDescent="0.25">
      <c r="A548" s="86"/>
      <c r="B548" s="86"/>
      <c r="C548" s="88"/>
      <c r="D548" s="91"/>
      <c r="E548" s="92"/>
      <c r="F548" s="94"/>
    </row>
    <row r="549" spans="1:6" x14ac:dyDescent="0.25">
      <c r="A549" s="86"/>
      <c r="B549" s="86"/>
      <c r="C549" s="88"/>
      <c r="D549" s="91"/>
      <c r="E549" s="92"/>
      <c r="F549" s="94"/>
    </row>
    <row r="550" spans="1:6" x14ac:dyDescent="0.25">
      <c r="A550" s="86"/>
      <c r="B550" s="86"/>
      <c r="C550" s="88"/>
      <c r="D550" s="91"/>
      <c r="E550" s="92"/>
      <c r="F550" s="94"/>
    </row>
    <row r="551" spans="1:6" x14ac:dyDescent="0.25">
      <c r="A551" s="86"/>
      <c r="B551" s="86"/>
      <c r="C551" s="88"/>
      <c r="D551" s="91"/>
      <c r="E551" s="92"/>
      <c r="F551" s="94"/>
    </row>
    <row r="552" spans="1:6" x14ac:dyDescent="0.25">
      <c r="A552" s="86"/>
      <c r="B552" s="86"/>
      <c r="C552" s="88"/>
      <c r="D552" s="91"/>
      <c r="E552" s="92"/>
      <c r="F552" s="94"/>
    </row>
    <row r="553" spans="1:6" x14ac:dyDescent="0.25">
      <c r="A553" s="86"/>
      <c r="B553" s="86"/>
      <c r="C553" s="88"/>
      <c r="D553" s="91"/>
      <c r="E553" s="92"/>
      <c r="F553" s="94"/>
    </row>
    <row r="554" spans="1:6" x14ac:dyDescent="0.25">
      <c r="A554" s="86"/>
      <c r="B554" s="86"/>
      <c r="C554" s="88"/>
      <c r="D554" s="91"/>
      <c r="E554" s="92"/>
      <c r="F554" s="94"/>
    </row>
    <row r="555" spans="1:6" x14ac:dyDescent="0.25">
      <c r="A555" s="86"/>
      <c r="B555" s="86"/>
      <c r="C555" s="88"/>
      <c r="D555" s="91"/>
      <c r="E555" s="92"/>
      <c r="F555" s="94"/>
    </row>
    <row r="556" spans="1:6" x14ac:dyDescent="0.25">
      <c r="A556" s="86"/>
      <c r="B556" s="86"/>
      <c r="C556" s="88"/>
      <c r="D556" s="91"/>
      <c r="E556" s="92"/>
      <c r="F556" s="94"/>
    </row>
    <row r="557" spans="1:6" x14ac:dyDescent="0.25">
      <c r="A557" s="86"/>
      <c r="B557" s="86"/>
      <c r="C557" s="88"/>
      <c r="D557" s="91"/>
      <c r="E557" s="92"/>
      <c r="F557" s="94"/>
    </row>
    <row r="558" spans="1:6" x14ac:dyDescent="0.25">
      <c r="A558" s="86"/>
      <c r="B558" s="86"/>
      <c r="C558" s="88"/>
      <c r="D558" s="91"/>
      <c r="E558" s="92"/>
      <c r="F558" s="94"/>
    </row>
    <row r="559" spans="1:6" x14ac:dyDescent="0.25">
      <c r="A559" s="86"/>
      <c r="B559" s="86"/>
      <c r="C559" s="88"/>
      <c r="D559" s="91"/>
      <c r="E559" s="92"/>
      <c r="F559" s="94"/>
    </row>
    <row r="560" spans="1:6" x14ac:dyDescent="0.25">
      <c r="A560" s="86"/>
      <c r="B560" s="86"/>
      <c r="C560" s="88"/>
      <c r="D560" s="91"/>
      <c r="E560" s="92"/>
      <c r="F560" s="94"/>
    </row>
    <row r="561" spans="1:6" x14ac:dyDescent="0.25">
      <c r="A561" s="86"/>
      <c r="B561" s="86"/>
      <c r="C561" s="88"/>
      <c r="D561" s="91"/>
      <c r="E561" s="92"/>
      <c r="F561" s="94"/>
    </row>
    <row r="562" spans="1:6" x14ac:dyDescent="0.25">
      <c r="A562" s="86"/>
      <c r="B562" s="86"/>
      <c r="C562" s="88"/>
      <c r="D562" s="91"/>
      <c r="E562" s="92"/>
      <c r="F562" s="94"/>
    </row>
    <row r="563" spans="1:6" x14ac:dyDescent="0.25">
      <c r="A563" s="86"/>
      <c r="B563" s="86"/>
      <c r="C563" s="88"/>
      <c r="D563" s="91"/>
      <c r="E563" s="92"/>
      <c r="F563" s="94"/>
    </row>
    <row r="564" spans="1:6" x14ac:dyDescent="0.25">
      <c r="A564" s="86"/>
      <c r="B564" s="86"/>
      <c r="C564" s="88"/>
      <c r="D564" s="91"/>
      <c r="E564" s="92"/>
      <c r="F564" s="94"/>
    </row>
    <row r="565" spans="1:6" x14ac:dyDescent="0.25">
      <c r="A565" s="86"/>
      <c r="B565" s="86"/>
      <c r="C565" s="88"/>
      <c r="D565" s="91"/>
      <c r="E565" s="92"/>
      <c r="F565" s="94"/>
    </row>
    <row r="566" spans="1:6" x14ac:dyDescent="0.25">
      <c r="A566" s="86"/>
      <c r="B566" s="86"/>
      <c r="C566" s="88"/>
      <c r="D566" s="91"/>
      <c r="E566" s="92"/>
      <c r="F566" s="94"/>
    </row>
    <row r="567" spans="1:6" x14ac:dyDescent="0.25">
      <c r="A567" s="86"/>
      <c r="B567" s="86"/>
      <c r="C567" s="88"/>
      <c r="D567" s="91"/>
      <c r="E567" s="92"/>
      <c r="F567" s="94"/>
    </row>
    <row r="568" spans="1:6" x14ac:dyDescent="0.25">
      <c r="A568" s="86"/>
      <c r="B568" s="86"/>
      <c r="C568" s="88"/>
      <c r="D568" s="91"/>
      <c r="E568" s="92"/>
      <c r="F568" s="94"/>
    </row>
    <row r="569" spans="1:6" x14ac:dyDescent="0.25">
      <c r="A569" s="86"/>
      <c r="B569" s="86"/>
      <c r="C569" s="88"/>
      <c r="D569" s="91"/>
      <c r="E569" s="92"/>
      <c r="F569" s="94"/>
    </row>
    <row r="570" spans="1:6" x14ac:dyDescent="0.25">
      <c r="A570" s="86"/>
      <c r="B570" s="86"/>
      <c r="C570" s="88"/>
      <c r="D570" s="91"/>
      <c r="E570" s="92"/>
      <c r="F570" s="94"/>
    </row>
    <row r="571" spans="1:6" x14ac:dyDescent="0.25">
      <c r="A571" s="86"/>
      <c r="B571" s="86"/>
      <c r="C571" s="88"/>
      <c r="D571" s="91"/>
      <c r="E571" s="92"/>
      <c r="F571" s="94"/>
    </row>
    <row r="572" spans="1:6" x14ac:dyDescent="0.25">
      <c r="A572" s="86"/>
      <c r="B572" s="86"/>
      <c r="C572" s="88"/>
      <c r="D572" s="91"/>
      <c r="E572" s="92"/>
      <c r="F572" s="94"/>
    </row>
    <row r="573" spans="1:6" x14ac:dyDescent="0.25">
      <c r="A573" s="86"/>
      <c r="B573" s="86"/>
      <c r="C573" s="88"/>
      <c r="D573" s="91"/>
      <c r="E573" s="92"/>
      <c r="F573" s="94"/>
    </row>
    <row r="574" spans="1:6" x14ac:dyDescent="0.25">
      <c r="A574" s="86"/>
      <c r="B574" s="86"/>
      <c r="C574" s="88"/>
      <c r="D574" s="91"/>
      <c r="E574" s="92"/>
      <c r="F574" s="94"/>
    </row>
    <row r="575" spans="1:6" x14ac:dyDescent="0.25">
      <c r="A575" s="86"/>
      <c r="B575" s="86"/>
      <c r="C575" s="88"/>
      <c r="D575" s="91"/>
      <c r="E575" s="92"/>
      <c r="F575" s="94"/>
    </row>
    <row r="576" spans="1:6" x14ac:dyDescent="0.25">
      <c r="A576" s="86"/>
      <c r="B576" s="86"/>
      <c r="C576" s="88"/>
      <c r="D576" s="91"/>
      <c r="E576" s="92"/>
      <c r="F576" s="94"/>
    </row>
    <row r="577" spans="1:6" x14ac:dyDescent="0.25">
      <c r="A577" s="86"/>
      <c r="B577" s="86"/>
      <c r="C577" s="88"/>
      <c r="D577" s="91"/>
      <c r="E577" s="92"/>
      <c r="F577" s="94"/>
    </row>
    <row r="578" spans="1:6" x14ac:dyDescent="0.25">
      <c r="A578" s="86"/>
      <c r="B578" s="86"/>
      <c r="C578" s="88"/>
      <c r="D578" s="91"/>
      <c r="E578" s="92"/>
      <c r="F578" s="94"/>
    </row>
    <row r="579" spans="1:6" x14ac:dyDescent="0.25">
      <c r="A579" s="86"/>
      <c r="B579" s="86"/>
      <c r="C579" s="88"/>
      <c r="D579" s="91"/>
      <c r="E579" s="92"/>
      <c r="F579" s="94"/>
    </row>
    <row r="580" spans="1:6" x14ac:dyDescent="0.25">
      <c r="A580" s="86"/>
      <c r="B580" s="86"/>
      <c r="C580" s="88"/>
      <c r="D580" s="91"/>
      <c r="E580" s="92"/>
      <c r="F580" s="94"/>
    </row>
    <row r="581" spans="1:6" x14ac:dyDescent="0.25">
      <c r="A581" s="86"/>
      <c r="B581" s="86"/>
      <c r="C581" s="88"/>
      <c r="D581" s="91"/>
      <c r="E581" s="92"/>
      <c r="F581" s="94"/>
    </row>
    <row r="582" spans="1:6" x14ac:dyDescent="0.25">
      <c r="A582" s="86"/>
      <c r="B582" s="86"/>
      <c r="C582" s="88"/>
      <c r="D582" s="91"/>
      <c r="E582" s="92"/>
      <c r="F582" s="94"/>
    </row>
    <row r="583" spans="1:6" x14ac:dyDescent="0.25">
      <c r="A583" s="86"/>
      <c r="B583" s="86"/>
      <c r="C583" s="88"/>
      <c r="D583" s="91"/>
      <c r="E583" s="92"/>
      <c r="F583" s="94"/>
    </row>
    <row r="584" spans="1:6" x14ac:dyDescent="0.25">
      <c r="A584" s="86"/>
      <c r="B584" s="86"/>
      <c r="C584" s="88"/>
      <c r="D584" s="91"/>
      <c r="E584" s="92"/>
      <c r="F584" s="94"/>
    </row>
    <row r="585" spans="1:6" x14ac:dyDescent="0.25">
      <c r="A585" s="86"/>
      <c r="B585" s="86"/>
      <c r="C585" s="88"/>
      <c r="D585" s="91"/>
      <c r="E585" s="92"/>
      <c r="F585" s="94"/>
    </row>
    <row r="586" spans="1:6" x14ac:dyDescent="0.25">
      <c r="A586" s="86"/>
      <c r="B586" s="86"/>
      <c r="C586" s="88"/>
      <c r="D586" s="91"/>
      <c r="E586" s="92"/>
      <c r="F586" s="94"/>
    </row>
    <row r="587" spans="1:6" x14ac:dyDescent="0.25">
      <c r="A587" s="86"/>
      <c r="B587" s="86"/>
      <c r="C587" s="88"/>
      <c r="D587" s="91"/>
      <c r="E587" s="92"/>
      <c r="F587" s="94"/>
    </row>
    <row r="588" spans="1:6" x14ac:dyDescent="0.25">
      <c r="A588" s="86"/>
      <c r="B588" s="86"/>
      <c r="C588" s="88"/>
      <c r="D588" s="91"/>
      <c r="E588" s="92"/>
      <c r="F588" s="94"/>
    </row>
    <row r="589" spans="1:6" x14ac:dyDescent="0.25">
      <c r="A589" s="86"/>
      <c r="B589" s="86"/>
      <c r="C589" s="88"/>
      <c r="D589" s="91"/>
      <c r="E589" s="92"/>
      <c r="F589" s="94"/>
    </row>
    <row r="590" spans="1:6" x14ac:dyDescent="0.25">
      <c r="A590" s="86"/>
      <c r="B590" s="86"/>
      <c r="C590" s="88"/>
      <c r="D590" s="91"/>
      <c r="E590" s="92"/>
      <c r="F590" s="94"/>
    </row>
    <row r="591" spans="1:6" x14ac:dyDescent="0.25">
      <c r="A591" s="86"/>
      <c r="B591" s="86"/>
      <c r="C591" s="88"/>
      <c r="D591" s="91"/>
      <c r="E591" s="92"/>
      <c r="F591" s="94"/>
    </row>
    <row r="592" spans="1:6" x14ac:dyDescent="0.25">
      <c r="A592" s="86"/>
      <c r="B592" s="86"/>
      <c r="C592" s="88"/>
      <c r="D592" s="91"/>
      <c r="E592" s="92"/>
      <c r="F592" s="94"/>
    </row>
    <row r="593" spans="1:6" x14ac:dyDescent="0.25">
      <c r="A593" s="86"/>
      <c r="B593" s="86"/>
      <c r="C593" s="88"/>
      <c r="D593" s="91"/>
      <c r="E593" s="92"/>
      <c r="F593" s="94"/>
    </row>
    <row r="594" spans="1:6" x14ac:dyDescent="0.25">
      <c r="A594" s="86"/>
      <c r="B594" s="86"/>
      <c r="C594" s="88"/>
      <c r="D594" s="91"/>
      <c r="E594" s="92"/>
      <c r="F594" s="94"/>
    </row>
    <row r="595" spans="1:6" x14ac:dyDescent="0.25">
      <c r="A595" s="86"/>
      <c r="B595" s="86"/>
      <c r="C595" s="88"/>
      <c r="D595" s="91"/>
      <c r="E595" s="92"/>
      <c r="F595" s="94"/>
    </row>
    <row r="596" spans="1:6" x14ac:dyDescent="0.25">
      <c r="A596" s="86"/>
      <c r="B596" s="86"/>
      <c r="C596" s="88"/>
      <c r="D596" s="91"/>
      <c r="E596" s="92"/>
      <c r="F596" s="94"/>
    </row>
    <row r="597" spans="1:6" x14ac:dyDescent="0.25">
      <c r="A597" s="86"/>
      <c r="B597" s="86"/>
      <c r="C597" s="88"/>
      <c r="D597" s="91"/>
      <c r="E597" s="92"/>
      <c r="F597" s="94"/>
    </row>
    <row r="598" spans="1:6" x14ac:dyDescent="0.25">
      <c r="A598" s="86"/>
      <c r="B598" s="86"/>
      <c r="C598" s="88"/>
      <c r="D598" s="91"/>
      <c r="E598" s="92"/>
      <c r="F598" s="94"/>
    </row>
    <row r="599" spans="1:6" x14ac:dyDescent="0.25">
      <c r="A599" s="86"/>
      <c r="B599" s="86"/>
      <c r="C599" s="88"/>
      <c r="D599" s="91"/>
      <c r="E599" s="92"/>
      <c r="F599" s="94"/>
    </row>
    <row r="600" spans="1:6" x14ac:dyDescent="0.25">
      <c r="A600" s="86"/>
      <c r="B600" s="86"/>
      <c r="C600" s="88"/>
      <c r="D600" s="91"/>
      <c r="E600" s="92"/>
      <c r="F600" s="94"/>
    </row>
    <row r="601" spans="1:6" x14ac:dyDescent="0.25">
      <c r="A601" s="86"/>
      <c r="B601" s="86"/>
      <c r="C601" s="88"/>
      <c r="D601" s="91"/>
      <c r="E601" s="92"/>
      <c r="F601" s="94"/>
    </row>
    <row r="602" spans="1:6" x14ac:dyDescent="0.25">
      <c r="A602" s="86"/>
      <c r="B602" s="86"/>
      <c r="C602" s="88"/>
      <c r="D602" s="91"/>
      <c r="E602" s="92"/>
      <c r="F602" s="94"/>
    </row>
    <row r="603" spans="1:6" x14ac:dyDescent="0.25">
      <c r="A603" s="86"/>
      <c r="B603" s="86"/>
      <c r="C603" s="88"/>
      <c r="D603" s="91"/>
      <c r="E603" s="92"/>
      <c r="F603" s="94"/>
    </row>
    <row r="604" spans="1:6" x14ac:dyDescent="0.25">
      <c r="A604" s="86"/>
      <c r="B604" s="86"/>
      <c r="C604" s="88"/>
      <c r="D604" s="91"/>
      <c r="E604" s="92"/>
      <c r="F604" s="94"/>
    </row>
    <row r="605" spans="1:6" x14ac:dyDescent="0.25">
      <c r="A605" s="86"/>
      <c r="B605" s="86"/>
      <c r="C605" s="88"/>
      <c r="D605" s="91"/>
      <c r="E605" s="92"/>
      <c r="F605" s="94"/>
    </row>
    <row r="606" spans="1:6" x14ac:dyDescent="0.25">
      <c r="A606" s="86"/>
      <c r="B606" s="86"/>
      <c r="C606" s="88"/>
      <c r="D606" s="91"/>
      <c r="E606" s="92"/>
      <c r="F606" s="94"/>
    </row>
    <row r="607" spans="1:6" x14ac:dyDescent="0.25">
      <c r="A607" s="86"/>
      <c r="B607" s="86"/>
      <c r="C607" s="88"/>
      <c r="D607" s="91"/>
      <c r="E607" s="92"/>
      <c r="F607" s="94"/>
    </row>
    <row r="608" spans="1:6" x14ac:dyDescent="0.25">
      <c r="A608" s="86"/>
      <c r="B608" s="86"/>
      <c r="C608" s="88"/>
      <c r="D608" s="91"/>
      <c r="E608" s="92"/>
      <c r="F608" s="94"/>
    </row>
    <row r="609" spans="1:6" x14ac:dyDescent="0.25">
      <c r="A609" s="86"/>
      <c r="B609" s="86"/>
      <c r="C609" s="88"/>
      <c r="D609" s="91"/>
      <c r="E609" s="92"/>
      <c r="F609" s="94"/>
    </row>
    <row r="610" spans="1:6" x14ac:dyDescent="0.25">
      <c r="A610" s="86"/>
      <c r="B610" s="86"/>
      <c r="C610" s="88"/>
      <c r="D610" s="91"/>
      <c r="E610" s="92"/>
      <c r="F610" s="94"/>
    </row>
    <row r="611" spans="1:6" x14ac:dyDescent="0.25">
      <c r="A611" s="86"/>
      <c r="B611" s="86"/>
      <c r="C611" s="88"/>
      <c r="D611" s="91"/>
      <c r="E611" s="92"/>
      <c r="F611" s="94"/>
    </row>
    <row r="612" spans="1:6" x14ac:dyDescent="0.25">
      <c r="A612" s="86"/>
      <c r="B612" s="86"/>
      <c r="C612" s="88"/>
      <c r="D612" s="91"/>
      <c r="E612" s="92"/>
      <c r="F612" s="94"/>
    </row>
    <row r="613" spans="1:6" x14ac:dyDescent="0.25">
      <c r="A613" s="86"/>
      <c r="B613" s="86"/>
      <c r="C613" s="88"/>
      <c r="D613" s="91"/>
      <c r="E613" s="92"/>
      <c r="F613" s="94"/>
    </row>
    <row r="614" spans="1:6" x14ac:dyDescent="0.25">
      <c r="A614" s="86"/>
      <c r="B614" s="86"/>
      <c r="C614" s="88"/>
      <c r="D614" s="91"/>
      <c r="E614" s="92"/>
      <c r="F614" s="94"/>
    </row>
    <row r="615" spans="1:6" x14ac:dyDescent="0.25">
      <c r="A615" s="86"/>
      <c r="B615" s="86"/>
      <c r="C615" s="88"/>
      <c r="D615" s="91"/>
      <c r="E615" s="92"/>
      <c r="F615" s="94"/>
    </row>
    <row r="616" spans="1:6" x14ac:dyDescent="0.25">
      <c r="A616" s="86"/>
      <c r="B616" s="86"/>
      <c r="C616" s="88"/>
      <c r="D616" s="91"/>
      <c r="E616" s="92"/>
      <c r="F616" s="94"/>
    </row>
    <row r="617" spans="1:6" x14ac:dyDescent="0.25">
      <c r="A617" s="86"/>
      <c r="B617" s="86"/>
      <c r="C617" s="88"/>
      <c r="D617" s="91"/>
      <c r="E617" s="92"/>
      <c r="F617" s="94"/>
    </row>
    <row r="618" spans="1:6" x14ac:dyDescent="0.25">
      <c r="A618" s="86"/>
      <c r="B618" s="86"/>
      <c r="C618" s="88"/>
      <c r="D618" s="91"/>
      <c r="E618" s="92"/>
      <c r="F618" s="94"/>
    </row>
    <row r="619" spans="1:6" x14ac:dyDescent="0.25">
      <c r="A619" s="86"/>
      <c r="B619" s="86"/>
      <c r="C619" s="88"/>
      <c r="D619" s="91"/>
      <c r="E619" s="92"/>
      <c r="F619" s="94"/>
    </row>
    <row r="620" spans="1:6" x14ac:dyDescent="0.25">
      <c r="A620" s="86"/>
      <c r="B620" s="86"/>
      <c r="C620" s="88"/>
      <c r="D620" s="91"/>
      <c r="E620" s="92"/>
      <c r="F620" s="94"/>
    </row>
    <row r="621" spans="1:6" x14ac:dyDescent="0.25">
      <c r="A621" s="86"/>
      <c r="B621" s="86"/>
      <c r="C621" s="88"/>
      <c r="D621" s="91"/>
      <c r="E621" s="92"/>
      <c r="F621" s="94"/>
    </row>
    <row r="622" spans="1:6" x14ac:dyDescent="0.25">
      <c r="A622" s="86"/>
      <c r="B622" s="86"/>
      <c r="C622" s="88"/>
      <c r="D622" s="91"/>
      <c r="E622" s="92"/>
      <c r="F622" s="94"/>
    </row>
    <row r="623" spans="1:6" x14ac:dyDescent="0.25">
      <c r="A623" s="86"/>
      <c r="B623" s="86"/>
      <c r="C623" s="88"/>
      <c r="D623" s="91"/>
      <c r="E623" s="92"/>
      <c r="F623" s="94"/>
    </row>
    <row r="624" spans="1:6" x14ac:dyDescent="0.25">
      <c r="A624" s="86"/>
      <c r="B624" s="86"/>
      <c r="C624" s="88"/>
      <c r="D624" s="91"/>
      <c r="E624" s="92"/>
      <c r="F624" s="94"/>
    </row>
    <row r="625" spans="1:6" x14ac:dyDescent="0.25">
      <c r="A625" s="86"/>
      <c r="B625" s="86"/>
      <c r="C625" s="88"/>
      <c r="D625" s="91"/>
      <c r="E625" s="92"/>
      <c r="F625" s="94"/>
    </row>
    <row r="626" spans="1:6" x14ac:dyDescent="0.25">
      <c r="A626" s="86"/>
      <c r="B626" s="86"/>
      <c r="C626" s="88"/>
      <c r="D626" s="91"/>
      <c r="E626" s="92"/>
      <c r="F626" s="94"/>
    </row>
    <row r="627" spans="1:6" x14ac:dyDescent="0.25">
      <c r="A627" s="86"/>
      <c r="B627" s="86"/>
      <c r="C627" s="88"/>
      <c r="D627" s="91"/>
      <c r="E627" s="92"/>
      <c r="F627" s="94"/>
    </row>
    <row r="628" spans="1:6" x14ac:dyDescent="0.25">
      <c r="A628" s="86"/>
      <c r="B628" s="86"/>
      <c r="C628" s="88"/>
      <c r="D628" s="91"/>
      <c r="E628" s="92"/>
      <c r="F628" s="94"/>
    </row>
    <row r="629" spans="1:6" x14ac:dyDescent="0.25">
      <c r="A629" s="86"/>
      <c r="B629" s="86"/>
      <c r="C629" s="88"/>
      <c r="D629" s="91"/>
      <c r="E629" s="92"/>
      <c r="F629" s="94"/>
    </row>
    <row r="630" spans="1:6" x14ac:dyDescent="0.25">
      <c r="A630" s="86"/>
      <c r="B630" s="86"/>
      <c r="C630" s="88"/>
      <c r="D630" s="91"/>
      <c r="E630" s="92"/>
      <c r="F630" s="94"/>
    </row>
    <row r="631" spans="1:6" x14ac:dyDescent="0.25">
      <c r="A631" s="86"/>
      <c r="B631" s="86"/>
      <c r="C631" s="88"/>
      <c r="D631" s="91"/>
      <c r="E631" s="92"/>
      <c r="F631" s="94"/>
    </row>
    <row r="632" spans="1:6" x14ac:dyDescent="0.25">
      <c r="A632" s="86"/>
      <c r="B632" s="86"/>
      <c r="C632" s="88"/>
      <c r="D632" s="91"/>
      <c r="E632" s="92"/>
      <c r="F632" s="94"/>
    </row>
    <row r="633" spans="1:6" x14ac:dyDescent="0.25">
      <c r="A633" s="86"/>
      <c r="B633" s="86"/>
      <c r="C633" s="88"/>
      <c r="D633" s="91"/>
      <c r="E633" s="92"/>
      <c r="F633" s="94"/>
    </row>
    <row r="634" spans="1:6" x14ac:dyDescent="0.25">
      <c r="A634" s="86"/>
      <c r="B634" s="86"/>
      <c r="C634" s="88"/>
      <c r="D634" s="91"/>
      <c r="E634" s="92"/>
      <c r="F634" s="94"/>
    </row>
    <row r="635" spans="1:6" x14ac:dyDescent="0.25">
      <c r="A635" s="86"/>
      <c r="B635" s="86"/>
      <c r="C635" s="88"/>
      <c r="D635" s="91"/>
      <c r="E635" s="92"/>
      <c r="F635" s="94"/>
    </row>
    <row r="636" spans="1:6" x14ac:dyDescent="0.25">
      <c r="A636" s="86"/>
      <c r="B636" s="86"/>
      <c r="C636" s="88"/>
      <c r="D636" s="91"/>
      <c r="E636" s="92"/>
      <c r="F636" s="94"/>
    </row>
    <row r="637" spans="1:6" x14ac:dyDescent="0.25">
      <c r="A637" s="86"/>
      <c r="B637" s="86"/>
      <c r="C637" s="88"/>
      <c r="D637" s="91"/>
      <c r="E637" s="92"/>
      <c r="F637" s="94"/>
    </row>
    <row r="638" spans="1:6" x14ac:dyDescent="0.25">
      <c r="A638" s="86"/>
      <c r="B638" s="86"/>
      <c r="C638" s="88"/>
      <c r="D638" s="91"/>
      <c r="E638" s="92"/>
      <c r="F638" s="94"/>
    </row>
    <row r="639" spans="1:6" x14ac:dyDescent="0.25">
      <c r="A639" s="86"/>
      <c r="B639" s="86"/>
      <c r="C639" s="88"/>
      <c r="D639" s="91"/>
      <c r="E639" s="92"/>
      <c r="F639" s="94"/>
    </row>
    <row r="640" spans="1:6" x14ac:dyDescent="0.25">
      <c r="A640" s="86"/>
      <c r="B640" s="86"/>
      <c r="C640" s="88"/>
      <c r="D640" s="91"/>
      <c r="E640" s="92"/>
      <c r="F640" s="94"/>
    </row>
    <row r="641" spans="1:6" x14ac:dyDescent="0.25">
      <c r="A641" s="86"/>
      <c r="B641" s="86"/>
      <c r="C641" s="88"/>
      <c r="D641" s="91"/>
      <c r="E641" s="92"/>
      <c r="F641" s="94"/>
    </row>
    <row r="642" spans="1:6" x14ac:dyDescent="0.25">
      <c r="A642" s="86"/>
      <c r="B642" s="86"/>
      <c r="C642" s="88"/>
      <c r="D642" s="91"/>
      <c r="E642" s="92"/>
      <c r="F642" s="94"/>
    </row>
    <row r="643" spans="1:6" x14ac:dyDescent="0.25">
      <c r="A643" s="86"/>
      <c r="B643" s="86"/>
      <c r="C643" s="88"/>
      <c r="D643" s="91"/>
      <c r="E643" s="92"/>
      <c r="F643" s="94"/>
    </row>
    <row r="644" spans="1:6" x14ac:dyDescent="0.25">
      <c r="A644" s="86"/>
      <c r="B644" s="86"/>
      <c r="C644" s="88"/>
      <c r="D644" s="91"/>
      <c r="E644" s="92"/>
      <c r="F644" s="94"/>
    </row>
    <row r="645" spans="1:6" x14ac:dyDescent="0.25">
      <c r="A645" s="86"/>
      <c r="B645" s="86"/>
      <c r="C645" s="88"/>
      <c r="D645" s="91"/>
      <c r="E645" s="92"/>
      <c r="F645" s="94"/>
    </row>
    <row r="646" spans="1:6" x14ac:dyDescent="0.25">
      <c r="A646" s="86"/>
      <c r="B646" s="86"/>
      <c r="C646" s="88"/>
      <c r="D646" s="91"/>
      <c r="E646" s="92"/>
      <c r="F646" s="94"/>
    </row>
    <row r="647" spans="1:6" x14ac:dyDescent="0.25">
      <c r="A647" s="86"/>
      <c r="B647" s="86"/>
      <c r="C647" s="88"/>
      <c r="D647" s="91"/>
      <c r="E647" s="92"/>
      <c r="F647" s="94"/>
    </row>
    <row r="648" spans="1:6" x14ac:dyDescent="0.25">
      <c r="A648" s="86"/>
      <c r="B648" s="86"/>
      <c r="C648" s="88"/>
      <c r="D648" s="91"/>
      <c r="E648" s="92"/>
      <c r="F648" s="94"/>
    </row>
    <row r="649" spans="1:6" x14ac:dyDescent="0.25">
      <c r="A649" s="86"/>
      <c r="B649" s="86"/>
      <c r="C649" s="88"/>
      <c r="D649" s="91"/>
      <c r="E649" s="92"/>
      <c r="F649" s="94"/>
    </row>
    <row r="650" spans="1:6" x14ac:dyDescent="0.25">
      <c r="A650" s="86"/>
      <c r="B650" s="86"/>
      <c r="C650" s="88"/>
      <c r="D650" s="91"/>
      <c r="E650" s="92"/>
      <c r="F650" s="94"/>
    </row>
    <row r="651" spans="1:6" x14ac:dyDescent="0.25">
      <c r="A651" s="86"/>
      <c r="B651" s="86"/>
      <c r="C651" s="88"/>
      <c r="D651" s="91"/>
      <c r="E651" s="92"/>
      <c r="F651" s="94"/>
    </row>
    <row r="652" spans="1:6" x14ac:dyDescent="0.25">
      <c r="A652" s="86"/>
      <c r="B652" s="86"/>
      <c r="C652" s="88"/>
      <c r="D652" s="91"/>
      <c r="E652" s="92"/>
      <c r="F652" s="94"/>
    </row>
    <row r="653" spans="1:6" x14ac:dyDescent="0.25">
      <c r="A653" s="86"/>
      <c r="B653" s="86"/>
      <c r="C653" s="88"/>
      <c r="D653" s="91"/>
      <c r="E653" s="92"/>
      <c r="F653" s="94"/>
    </row>
    <row r="654" spans="1:6" x14ac:dyDescent="0.25">
      <c r="A654" s="86"/>
      <c r="B654" s="86"/>
      <c r="C654" s="88"/>
      <c r="D654" s="91"/>
      <c r="E654" s="92"/>
      <c r="F654" s="94"/>
    </row>
    <row r="655" spans="1:6" x14ac:dyDescent="0.25">
      <c r="A655" s="86"/>
      <c r="B655" s="86"/>
      <c r="C655" s="88"/>
      <c r="D655" s="91"/>
      <c r="E655" s="92"/>
      <c r="F655" s="94"/>
    </row>
    <row r="656" spans="1:6" x14ac:dyDescent="0.25">
      <c r="A656" s="86"/>
      <c r="B656" s="86"/>
      <c r="C656" s="88"/>
      <c r="D656" s="91"/>
      <c r="E656" s="92"/>
      <c r="F656" s="94"/>
    </row>
    <row r="657" spans="1:6" x14ac:dyDescent="0.25">
      <c r="A657" s="86"/>
      <c r="B657" s="86"/>
      <c r="C657" s="88"/>
      <c r="D657" s="91"/>
      <c r="E657" s="92"/>
      <c r="F657" s="94"/>
    </row>
    <row r="658" spans="1:6" x14ac:dyDescent="0.25">
      <c r="A658" s="86"/>
      <c r="B658" s="86"/>
      <c r="C658" s="88"/>
      <c r="D658" s="91"/>
      <c r="E658" s="92"/>
      <c r="F658" s="94"/>
    </row>
    <row r="659" spans="1:6" x14ac:dyDescent="0.25">
      <c r="A659" s="86"/>
      <c r="B659" s="86"/>
      <c r="C659" s="88"/>
      <c r="D659" s="91"/>
      <c r="E659" s="92"/>
      <c r="F659" s="94"/>
    </row>
    <row r="660" spans="1:6" x14ac:dyDescent="0.25">
      <c r="A660" s="86"/>
      <c r="B660" s="86"/>
      <c r="C660" s="88"/>
      <c r="D660" s="91"/>
      <c r="E660" s="92"/>
      <c r="F660" s="94"/>
    </row>
    <row r="661" spans="1:6" x14ac:dyDescent="0.25">
      <c r="A661" s="86"/>
      <c r="B661" s="86"/>
      <c r="C661" s="88"/>
      <c r="D661" s="91"/>
      <c r="E661" s="92"/>
      <c r="F661" s="94"/>
    </row>
    <row r="662" spans="1:6" x14ac:dyDescent="0.25">
      <c r="A662" s="86"/>
      <c r="B662" s="86"/>
      <c r="C662" s="88"/>
      <c r="D662" s="91"/>
      <c r="E662" s="92"/>
      <c r="F662" s="94"/>
    </row>
    <row r="663" spans="1:6" x14ac:dyDescent="0.25">
      <c r="A663" s="86"/>
      <c r="B663" s="86"/>
      <c r="C663" s="88"/>
      <c r="D663" s="91"/>
      <c r="E663" s="92"/>
      <c r="F663" s="94"/>
    </row>
    <row r="664" spans="1:6" x14ac:dyDescent="0.25">
      <c r="A664" s="86"/>
      <c r="B664" s="86"/>
      <c r="C664" s="88"/>
      <c r="D664" s="91"/>
      <c r="E664" s="92"/>
      <c r="F664" s="94"/>
    </row>
    <row r="665" spans="1:6" x14ac:dyDescent="0.25">
      <c r="A665" s="86"/>
      <c r="B665" s="86"/>
      <c r="C665" s="88"/>
      <c r="D665" s="91"/>
      <c r="E665" s="92"/>
      <c r="F665" s="94"/>
    </row>
    <row r="666" spans="1:6" x14ac:dyDescent="0.25">
      <c r="A666" s="86"/>
      <c r="B666" s="86"/>
      <c r="C666" s="88"/>
      <c r="D666" s="91"/>
      <c r="E666" s="92"/>
      <c r="F666" s="94"/>
    </row>
    <row r="667" spans="1:6" x14ac:dyDescent="0.25">
      <c r="A667" s="86"/>
      <c r="B667" s="86"/>
      <c r="C667" s="88"/>
      <c r="D667" s="91"/>
      <c r="E667" s="92"/>
      <c r="F667" s="94"/>
    </row>
    <row r="668" spans="1:6" x14ac:dyDescent="0.25">
      <c r="A668" s="86"/>
      <c r="B668" s="86"/>
      <c r="C668" s="88"/>
      <c r="D668" s="91"/>
      <c r="E668" s="92"/>
      <c r="F668" s="94"/>
    </row>
    <row r="669" spans="1:6" x14ac:dyDescent="0.25">
      <c r="A669" s="86"/>
      <c r="B669" s="86"/>
      <c r="C669" s="88"/>
      <c r="D669" s="91"/>
      <c r="E669" s="92"/>
      <c r="F669" s="94"/>
    </row>
    <row r="670" spans="1:6" x14ac:dyDescent="0.25">
      <c r="A670" s="86"/>
      <c r="B670" s="86"/>
      <c r="C670" s="88"/>
      <c r="D670" s="91"/>
      <c r="E670" s="92"/>
      <c r="F670" s="94"/>
    </row>
    <row r="671" spans="1:6" x14ac:dyDescent="0.25">
      <c r="A671" s="86"/>
      <c r="B671" s="86"/>
      <c r="C671" s="88"/>
      <c r="D671" s="91"/>
      <c r="E671" s="92"/>
      <c r="F671" s="94"/>
    </row>
    <row r="672" spans="1:6" x14ac:dyDescent="0.25">
      <c r="A672" s="86"/>
      <c r="B672" s="86"/>
      <c r="C672" s="88"/>
      <c r="D672" s="91"/>
      <c r="E672" s="92"/>
      <c r="F672" s="94"/>
    </row>
    <row r="673" spans="1:6" x14ac:dyDescent="0.25">
      <c r="A673" s="86"/>
      <c r="B673" s="86"/>
      <c r="C673" s="88"/>
      <c r="D673" s="91"/>
      <c r="E673" s="92"/>
      <c r="F673" s="94"/>
    </row>
    <row r="674" spans="1:6" x14ac:dyDescent="0.25">
      <c r="A674" s="86"/>
      <c r="B674" s="86"/>
      <c r="C674" s="88"/>
      <c r="D674" s="91"/>
      <c r="E674" s="92"/>
      <c r="F674" s="94"/>
    </row>
    <row r="675" spans="1:6" x14ac:dyDescent="0.25">
      <c r="A675" s="86"/>
      <c r="B675" s="86"/>
      <c r="C675" s="88"/>
      <c r="D675" s="91"/>
      <c r="E675" s="92"/>
      <c r="F675" s="94"/>
    </row>
    <row r="676" spans="1:6" x14ac:dyDescent="0.25">
      <c r="A676" s="86"/>
      <c r="B676" s="86"/>
      <c r="C676" s="88"/>
      <c r="D676" s="91"/>
      <c r="E676" s="92"/>
      <c r="F676" s="94"/>
    </row>
    <row r="677" spans="1:6" x14ac:dyDescent="0.25">
      <c r="A677" s="86"/>
      <c r="B677" s="86"/>
      <c r="C677" s="88"/>
      <c r="D677" s="91"/>
      <c r="E677" s="92"/>
      <c r="F677" s="94"/>
    </row>
    <row r="678" spans="1:6" x14ac:dyDescent="0.25">
      <c r="A678" s="86"/>
      <c r="B678" s="86"/>
      <c r="C678" s="88"/>
      <c r="D678" s="91"/>
      <c r="E678" s="92"/>
      <c r="F678" s="94"/>
    </row>
    <row r="679" spans="1:6" x14ac:dyDescent="0.25">
      <c r="A679" s="86"/>
      <c r="B679" s="86"/>
      <c r="C679" s="88"/>
      <c r="D679" s="91"/>
      <c r="E679" s="92"/>
      <c r="F679" s="94"/>
    </row>
    <row r="680" spans="1:6" x14ac:dyDescent="0.25">
      <c r="A680" s="86"/>
      <c r="B680" s="86"/>
      <c r="C680" s="88"/>
      <c r="D680" s="91"/>
      <c r="E680" s="92"/>
      <c r="F680" s="94"/>
    </row>
    <row r="681" spans="1:6" x14ac:dyDescent="0.25">
      <c r="A681" s="86"/>
      <c r="B681" s="86"/>
      <c r="C681" s="88"/>
      <c r="D681" s="91"/>
      <c r="E681" s="92"/>
      <c r="F681" s="94"/>
    </row>
    <row r="682" spans="1:6" x14ac:dyDescent="0.25">
      <c r="A682" s="86"/>
      <c r="B682" s="86"/>
      <c r="C682" s="88"/>
      <c r="D682" s="91"/>
      <c r="E682" s="92"/>
      <c r="F682" s="94"/>
    </row>
    <row r="683" spans="1:6" x14ac:dyDescent="0.25">
      <c r="A683" s="86"/>
      <c r="B683" s="86"/>
      <c r="C683" s="88"/>
      <c r="D683" s="91"/>
      <c r="E683" s="92"/>
      <c r="F683" s="94"/>
    </row>
    <row r="684" spans="1:6" x14ac:dyDescent="0.25">
      <c r="A684" s="86"/>
      <c r="B684" s="86"/>
      <c r="C684" s="88"/>
      <c r="D684" s="91"/>
      <c r="E684" s="92"/>
      <c r="F684" s="94"/>
    </row>
    <row r="685" spans="1:6" x14ac:dyDescent="0.25">
      <c r="A685" s="86"/>
      <c r="B685" s="86"/>
      <c r="C685" s="88"/>
      <c r="D685" s="91"/>
      <c r="E685" s="92"/>
      <c r="F685" s="94"/>
    </row>
    <row r="686" spans="1:6" x14ac:dyDescent="0.25">
      <c r="A686" s="86"/>
      <c r="B686" s="86"/>
      <c r="C686" s="88"/>
      <c r="D686" s="91"/>
      <c r="E686" s="92"/>
      <c r="F686" s="94"/>
    </row>
    <row r="687" spans="1:6" x14ac:dyDescent="0.25">
      <c r="A687" s="86"/>
      <c r="B687" s="86"/>
      <c r="C687" s="88"/>
      <c r="D687" s="91"/>
      <c r="E687" s="92"/>
      <c r="F687" s="94"/>
    </row>
    <row r="688" spans="1:6" x14ac:dyDescent="0.25">
      <c r="A688" s="86"/>
      <c r="B688" s="86"/>
      <c r="C688" s="88"/>
      <c r="D688" s="91"/>
      <c r="E688" s="92"/>
      <c r="F688" s="94"/>
    </row>
    <row r="689" spans="1:6" x14ac:dyDescent="0.25">
      <c r="A689" s="86"/>
      <c r="B689" s="86"/>
      <c r="C689" s="88"/>
      <c r="D689" s="91"/>
      <c r="E689" s="92"/>
      <c r="F689" s="94"/>
    </row>
    <row r="690" spans="1:6" x14ac:dyDescent="0.25">
      <c r="A690" s="86"/>
      <c r="B690" s="86"/>
      <c r="C690" s="88"/>
      <c r="D690" s="91"/>
      <c r="E690" s="92"/>
      <c r="F690" s="94"/>
    </row>
    <row r="691" spans="1:6" x14ac:dyDescent="0.25">
      <c r="A691" s="86"/>
      <c r="B691" s="86"/>
      <c r="C691" s="88"/>
      <c r="D691" s="91"/>
      <c r="E691" s="92"/>
      <c r="F691" s="94"/>
    </row>
    <row r="692" spans="1:6" x14ac:dyDescent="0.25">
      <c r="A692" s="86"/>
      <c r="B692" s="86"/>
      <c r="C692" s="88"/>
      <c r="D692" s="91"/>
      <c r="E692" s="92"/>
      <c r="F692" s="94"/>
    </row>
    <row r="693" spans="1:6" x14ac:dyDescent="0.25">
      <c r="A693" s="86"/>
      <c r="B693" s="86"/>
      <c r="C693" s="88"/>
      <c r="D693" s="91"/>
      <c r="E693" s="92"/>
      <c r="F693" s="94"/>
    </row>
    <row r="694" spans="1:6" x14ac:dyDescent="0.25">
      <c r="A694" s="86"/>
      <c r="B694" s="86"/>
      <c r="C694" s="88"/>
      <c r="D694" s="91"/>
      <c r="E694" s="92"/>
      <c r="F694" s="94"/>
    </row>
    <row r="695" spans="1:6" x14ac:dyDescent="0.25">
      <c r="A695" s="86"/>
      <c r="B695" s="86"/>
      <c r="C695" s="88"/>
      <c r="D695" s="91"/>
      <c r="E695" s="92"/>
      <c r="F695" s="94"/>
    </row>
    <row r="696" spans="1:6" x14ac:dyDescent="0.25">
      <c r="A696" s="86"/>
      <c r="B696" s="86"/>
      <c r="C696" s="88"/>
      <c r="D696" s="91"/>
      <c r="E696" s="92"/>
      <c r="F696" s="94"/>
    </row>
    <row r="697" spans="1:6" x14ac:dyDescent="0.25">
      <c r="A697" s="86"/>
      <c r="B697" s="86"/>
      <c r="C697" s="88"/>
      <c r="D697" s="91"/>
      <c r="E697" s="92"/>
      <c r="F697" s="94"/>
    </row>
    <row r="698" spans="1:6" x14ac:dyDescent="0.25">
      <c r="A698" s="86"/>
      <c r="B698" s="86"/>
      <c r="C698" s="88"/>
      <c r="D698" s="91"/>
      <c r="E698" s="92"/>
      <c r="F698" s="94"/>
    </row>
    <row r="699" spans="1:6" x14ac:dyDescent="0.25">
      <c r="A699" s="86"/>
      <c r="B699" s="86"/>
      <c r="C699" s="88"/>
      <c r="D699" s="91"/>
      <c r="E699" s="92"/>
      <c r="F699" s="94"/>
    </row>
    <row r="700" spans="1:6" x14ac:dyDescent="0.25">
      <c r="A700" s="86"/>
      <c r="B700" s="86"/>
      <c r="C700" s="88"/>
      <c r="D700" s="91"/>
      <c r="E700" s="92"/>
      <c r="F700" s="94"/>
    </row>
    <row r="701" spans="1:6" x14ac:dyDescent="0.25">
      <c r="A701" s="86"/>
      <c r="B701" s="86"/>
      <c r="C701" s="88"/>
      <c r="D701" s="91"/>
      <c r="E701" s="92"/>
      <c r="F701" s="94"/>
    </row>
    <row r="702" spans="1:6" x14ac:dyDescent="0.25">
      <c r="A702" s="86"/>
      <c r="B702" s="86"/>
      <c r="C702" s="88"/>
      <c r="D702" s="91"/>
      <c r="E702" s="92"/>
      <c r="F702" s="94"/>
    </row>
    <row r="703" spans="1:6" x14ac:dyDescent="0.25">
      <c r="A703" s="86"/>
      <c r="B703" s="86"/>
      <c r="C703" s="88"/>
      <c r="D703" s="91"/>
      <c r="E703" s="92"/>
      <c r="F703" s="94"/>
    </row>
    <row r="704" spans="1:6" x14ac:dyDescent="0.25">
      <c r="A704" s="86"/>
      <c r="B704" s="86"/>
      <c r="C704" s="88"/>
      <c r="D704" s="91"/>
      <c r="E704" s="92"/>
      <c r="F704" s="94"/>
    </row>
    <row r="705" spans="1:6" x14ac:dyDescent="0.25">
      <c r="A705" s="86"/>
      <c r="B705" s="86"/>
      <c r="C705" s="88"/>
      <c r="D705" s="91"/>
      <c r="E705" s="92"/>
      <c r="F705" s="94"/>
    </row>
    <row r="706" spans="1:6" x14ac:dyDescent="0.25">
      <c r="A706" s="86"/>
      <c r="B706" s="86"/>
      <c r="C706" s="88"/>
      <c r="D706" s="91"/>
      <c r="E706" s="92"/>
      <c r="F706" s="94"/>
    </row>
    <row r="707" spans="1:6" x14ac:dyDescent="0.25">
      <c r="A707" s="86"/>
      <c r="B707" s="86"/>
      <c r="C707" s="88"/>
      <c r="D707" s="91"/>
      <c r="E707" s="92"/>
      <c r="F707" s="94"/>
    </row>
    <row r="708" spans="1:6" x14ac:dyDescent="0.25">
      <c r="A708" s="86"/>
      <c r="B708" s="86"/>
      <c r="C708" s="88"/>
      <c r="D708" s="91"/>
      <c r="E708" s="92"/>
      <c r="F708" s="94"/>
    </row>
    <row r="709" spans="1:6" x14ac:dyDescent="0.25">
      <c r="A709" s="86"/>
      <c r="B709" s="86"/>
      <c r="C709" s="88"/>
      <c r="D709" s="91"/>
      <c r="E709" s="92"/>
      <c r="F709" s="94"/>
    </row>
    <row r="710" spans="1:6" x14ac:dyDescent="0.25">
      <c r="A710" s="86"/>
      <c r="B710" s="86"/>
      <c r="C710" s="88"/>
      <c r="D710" s="91"/>
      <c r="E710" s="92"/>
      <c r="F710" s="94"/>
    </row>
    <row r="711" spans="1:6" x14ac:dyDescent="0.25">
      <c r="A711" s="86"/>
      <c r="B711" s="86"/>
      <c r="C711" s="88"/>
      <c r="D711" s="91"/>
      <c r="E711" s="92"/>
      <c r="F711" s="94"/>
    </row>
    <row r="712" spans="1:6" x14ac:dyDescent="0.25">
      <c r="A712" s="86"/>
      <c r="B712" s="86"/>
      <c r="C712" s="88"/>
      <c r="D712" s="91"/>
      <c r="E712" s="92"/>
      <c r="F712" s="94"/>
    </row>
    <row r="713" spans="1:6" x14ac:dyDescent="0.25">
      <c r="A713" s="86"/>
      <c r="B713" s="86"/>
      <c r="C713" s="88"/>
      <c r="D713" s="91"/>
      <c r="E713" s="92"/>
      <c r="F713" s="94"/>
    </row>
    <row r="714" spans="1:6" x14ac:dyDescent="0.25">
      <c r="A714" s="86"/>
      <c r="B714" s="86"/>
      <c r="C714" s="88"/>
      <c r="D714" s="91"/>
      <c r="E714" s="92"/>
      <c r="F714" s="94"/>
    </row>
    <row r="715" spans="1:6" x14ac:dyDescent="0.25">
      <c r="A715" s="86"/>
      <c r="B715" s="86"/>
      <c r="C715" s="88"/>
      <c r="D715" s="91"/>
      <c r="E715" s="92"/>
      <c r="F715" s="94"/>
    </row>
    <row r="716" spans="1:6" x14ac:dyDescent="0.25">
      <c r="A716" s="86"/>
      <c r="B716" s="86"/>
      <c r="C716" s="88"/>
      <c r="D716" s="91"/>
      <c r="E716" s="92"/>
      <c r="F716" s="94"/>
    </row>
    <row r="717" spans="1:6" x14ac:dyDescent="0.25">
      <c r="A717" s="86"/>
      <c r="B717" s="86"/>
      <c r="C717" s="88"/>
      <c r="D717" s="91"/>
      <c r="E717" s="92"/>
      <c r="F717" s="94"/>
    </row>
    <row r="718" spans="1:6" x14ac:dyDescent="0.25">
      <c r="A718" s="86"/>
      <c r="B718" s="86"/>
      <c r="C718" s="88"/>
      <c r="D718" s="91"/>
      <c r="E718" s="92"/>
      <c r="F718" s="94"/>
    </row>
    <row r="719" spans="1:6" x14ac:dyDescent="0.25">
      <c r="A719" s="86"/>
      <c r="B719" s="86"/>
      <c r="C719" s="88"/>
      <c r="D719" s="91"/>
      <c r="E719" s="92"/>
      <c r="F719" s="94"/>
    </row>
    <row r="720" spans="1:6" x14ac:dyDescent="0.25">
      <c r="A720" s="86"/>
      <c r="B720" s="86"/>
      <c r="C720" s="88"/>
      <c r="D720" s="91"/>
      <c r="E720" s="92"/>
      <c r="F720" s="94"/>
    </row>
    <row r="721" spans="1:6" x14ac:dyDescent="0.25">
      <c r="A721" s="86"/>
      <c r="B721" s="86"/>
      <c r="C721" s="88"/>
      <c r="D721" s="91"/>
      <c r="E721" s="92"/>
      <c r="F721" s="94"/>
    </row>
    <row r="722" spans="1:6" x14ac:dyDescent="0.25">
      <c r="A722" s="86"/>
      <c r="B722" s="86"/>
      <c r="C722" s="88"/>
      <c r="D722" s="91"/>
      <c r="E722" s="92"/>
      <c r="F722" s="94"/>
    </row>
    <row r="723" spans="1:6" x14ac:dyDescent="0.25">
      <c r="A723" s="86"/>
      <c r="B723" s="86"/>
      <c r="C723" s="88"/>
      <c r="D723" s="91"/>
      <c r="E723" s="92"/>
      <c r="F723" s="94"/>
    </row>
    <row r="724" spans="1:6" x14ac:dyDescent="0.25">
      <c r="A724" s="86"/>
      <c r="B724" s="86"/>
      <c r="C724" s="88"/>
      <c r="D724" s="91"/>
      <c r="E724" s="92"/>
      <c r="F724" s="94"/>
    </row>
    <row r="725" spans="1:6" x14ac:dyDescent="0.25">
      <c r="A725" s="86"/>
      <c r="B725" s="86"/>
      <c r="C725" s="88"/>
      <c r="D725" s="91"/>
      <c r="E725" s="92"/>
      <c r="F725" s="94"/>
    </row>
    <row r="726" spans="1:6" x14ac:dyDescent="0.25">
      <c r="A726" s="86"/>
      <c r="B726" s="86"/>
      <c r="C726" s="88"/>
      <c r="D726" s="91"/>
      <c r="E726" s="92"/>
      <c r="F726" s="94"/>
    </row>
    <row r="727" spans="1:6" x14ac:dyDescent="0.25">
      <c r="A727" s="86"/>
      <c r="B727" s="86"/>
      <c r="C727" s="88"/>
      <c r="D727" s="91"/>
      <c r="E727" s="92"/>
      <c r="F727" s="94"/>
    </row>
    <row r="728" spans="1:6" x14ac:dyDescent="0.25">
      <c r="A728" s="86"/>
      <c r="B728" s="86"/>
      <c r="C728" s="88"/>
      <c r="D728" s="91"/>
      <c r="E728" s="92"/>
      <c r="F728" s="94"/>
    </row>
    <row r="729" spans="1:6" x14ac:dyDescent="0.25">
      <c r="A729" s="86"/>
      <c r="B729" s="86"/>
      <c r="C729" s="88"/>
      <c r="D729" s="91"/>
      <c r="E729" s="92"/>
      <c r="F729" s="94"/>
    </row>
    <row r="730" spans="1:6" x14ac:dyDescent="0.25">
      <c r="A730" s="86"/>
      <c r="B730" s="86"/>
      <c r="C730" s="88"/>
      <c r="D730" s="91"/>
      <c r="E730" s="92"/>
      <c r="F730" s="94"/>
    </row>
    <row r="731" spans="1:6" x14ac:dyDescent="0.25">
      <c r="A731" s="86"/>
      <c r="B731" s="86"/>
      <c r="C731" s="88"/>
      <c r="D731" s="91"/>
      <c r="E731" s="92"/>
      <c r="F731" s="94"/>
    </row>
    <row r="732" spans="1:6" x14ac:dyDescent="0.25">
      <c r="A732" s="86"/>
      <c r="B732" s="86"/>
      <c r="C732" s="88"/>
      <c r="D732" s="91"/>
      <c r="E732" s="92"/>
      <c r="F732" s="94"/>
    </row>
    <row r="733" spans="1:6" x14ac:dyDescent="0.25">
      <c r="A733" s="86"/>
      <c r="B733" s="86"/>
      <c r="C733" s="88"/>
      <c r="D733" s="91"/>
      <c r="E733" s="92"/>
      <c r="F733" s="94"/>
    </row>
    <row r="734" spans="1:6" x14ac:dyDescent="0.25">
      <c r="A734" s="86"/>
      <c r="B734" s="86"/>
      <c r="C734" s="88"/>
      <c r="D734" s="91"/>
      <c r="E734" s="92"/>
      <c r="F734" s="94"/>
    </row>
    <row r="735" spans="1:6" x14ac:dyDescent="0.25">
      <c r="A735" s="86"/>
      <c r="B735" s="86"/>
      <c r="C735" s="88"/>
      <c r="D735" s="91"/>
      <c r="E735" s="92"/>
      <c r="F735" s="94"/>
    </row>
    <row r="736" spans="1:6" x14ac:dyDescent="0.25">
      <c r="A736" s="86"/>
      <c r="B736" s="86"/>
      <c r="C736" s="88"/>
      <c r="D736" s="91"/>
      <c r="E736" s="92"/>
      <c r="F736" s="94"/>
    </row>
    <row r="737" spans="1:6" x14ac:dyDescent="0.25">
      <c r="A737" s="86"/>
      <c r="B737" s="86"/>
      <c r="C737" s="88"/>
      <c r="D737" s="91"/>
      <c r="E737" s="92"/>
      <c r="F737" s="94"/>
    </row>
    <row r="738" spans="1:6" x14ac:dyDescent="0.25">
      <c r="A738" s="86"/>
      <c r="B738" s="86"/>
      <c r="C738" s="88"/>
      <c r="D738" s="91"/>
      <c r="E738" s="92"/>
      <c r="F738" s="94"/>
    </row>
    <row r="739" spans="1:6" x14ac:dyDescent="0.25">
      <c r="A739" s="86"/>
      <c r="B739" s="86"/>
      <c r="C739" s="88"/>
      <c r="D739" s="91"/>
      <c r="E739" s="92"/>
      <c r="F739" s="94"/>
    </row>
    <row r="740" spans="1:6" x14ac:dyDescent="0.25">
      <c r="A740" s="86"/>
      <c r="B740" s="86"/>
      <c r="C740" s="88"/>
      <c r="D740" s="91"/>
      <c r="E740" s="92"/>
      <c r="F740" s="94"/>
    </row>
    <row r="741" spans="1:6" x14ac:dyDescent="0.25">
      <c r="A741" s="86"/>
      <c r="B741" s="86"/>
      <c r="C741" s="88"/>
      <c r="D741" s="91"/>
      <c r="E741" s="92"/>
      <c r="F741" s="94"/>
    </row>
    <row r="742" spans="1:6" x14ac:dyDescent="0.25">
      <c r="A742" s="86"/>
      <c r="B742" s="86"/>
      <c r="C742" s="88"/>
      <c r="D742" s="91"/>
      <c r="E742" s="92"/>
      <c r="F742" s="94"/>
    </row>
    <row r="743" spans="1:6" x14ac:dyDescent="0.25">
      <c r="A743" s="86"/>
      <c r="B743" s="86"/>
      <c r="C743" s="88"/>
      <c r="D743" s="91"/>
      <c r="E743" s="92"/>
      <c r="F743" s="94"/>
    </row>
    <row r="744" spans="1:6" x14ac:dyDescent="0.25">
      <c r="A744" s="86"/>
      <c r="B744" s="86"/>
      <c r="C744" s="88"/>
      <c r="D744" s="91"/>
      <c r="E744" s="92"/>
      <c r="F744" s="94"/>
    </row>
    <row r="745" spans="1:6" x14ac:dyDescent="0.25">
      <c r="A745" s="86"/>
      <c r="B745" s="86"/>
      <c r="C745" s="88"/>
      <c r="D745" s="91"/>
      <c r="E745" s="92"/>
      <c r="F745" s="94"/>
    </row>
    <row r="746" spans="1:6" x14ac:dyDescent="0.25">
      <c r="A746" s="86"/>
      <c r="B746" s="86"/>
      <c r="C746" s="88"/>
      <c r="D746" s="91"/>
      <c r="E746" s="92"/>
      <c r="F746" s="94"/>
    </row>
    <row r="747" spans="1:6" x14ac:dyDescent="0.25">
      <c r="A747" s="86"/>
      <c r="B747" s="86"/>
      <c r="C747" s="88"/>
      <c r="D747" s="91"/>
      <c r="E747" s="92"/>
      <c r="F747" s="94"/>
    </row>
    <row r="748" spans="1:6" x14ac:dyDescent="0.25">
      <c r="A748" s="86"/>
      <c r="B748" s="86"/>
      <c r="C748" s="88"/>
      <c r="D748" s="91"/>
      <c r="E748" s="92"/>
      <c r="F748" s="94"/>
    </row>
    <row r="749" spans="1:6" x14ac:dyDescent="0.25">
      <c r="A749" s="86"/>
      <c r="B749" s="86"/>
      <c r="C749" s="88"/>
      <c r="D749" s="91"/>
      <c r="E749" s="92"/>
      <c r="F749" s="94"/>
    </row>
    <row r="750" spans="1:6" x14ac:dyDescent="0.25">
      <c r="A750" s="86"/>
      <c r="B750" s="86"/>
      <c r="C750" s="88"/>
      <c r="D750" s="91"/>
      <c r="E750" s="92"/>
      <c r="F750" s="94"/>
    </row>
    <row r="751" spans="1:6" x14ac:dyDescent="0.25">
      <c r="A751" s="86"/>
      <c r="B751" s="86"/>
      <c r="C751" s="88"/>
      <c r="D751" s="91"/>
      <c r="E751" s="92"/>
      <c r="F751" s="94"/>
    </row>
    <row r="752" spans="1:6" x14ac:dyDescent="0.25">
      <c r="A752" s="86"/>
      <c r="B752" s="86"/>
      <c r="C752" s="88"/>
      <c r="D752" s="91"/>
      <c r="E752" s="92"/>
      <c r="F752" s="94"/>
    </row>
    <row r="753" spans="1:6" x14ac:dyDescent="0.25">
      <c r="A753" s="86"/>
      <c r="B753" s="86"/>
      <c r="C753" s="88"/>
      <c r="D753" s="91"/>
      <c r="E753" s="92"/>
      <c r="F753" s="94"/>
    </row>
    <row r="754" spans="1:6" x14ac:dyDescent="0.25">
      <c r="A754" s="86"/>
      <c r="B754" s="86"/>
      <c r="C754" s="88"/>
      <c r="D754" s="91"/>
      <c r="E754" s="92"/>
      <c r="F754" s="94"/>
    </row>
    <row r="755" spans="1:6" x14ac:dyDescent="0.25">
      <c r="A755" s="86"/>
      <c r="B755" s="86"/>
      <c r="C755" s="88"/>
      <c r="D755" s="91"/>
      <c r="E755" s="92"/>
      <c r="F755" s="94"/>
    </row>
    <row r="756" spans="1:6" x14ac:dyDescent="0.25">
      <c r="A756" s="86"/>
      <c r="B756" s="86"/>
      <c r="C756" s="88"/>
      <c r="D756" s="91"/>
      <c r="E756" s="92"/>
      <c r="F756" s="94"/>
    </row>
    <row r="757" spans="1:6" x14ac:dyDescent="0.25">
      <c r="A757" s="86"/>
      <c r="B757" s="86"/>
      <c r="C757" s="88"/>
      <c r="D757" s="91"/>
      <c r="E757" s="92"/>
      <c r="F757" s="94"/>
    </row>
    <row r="758" spans="1:6" x14ac:dyDescent="0.25">
      <c r="A758" s="86"/>
      <c r="B758" s="86"/>
      <c r="C758" s="88"/>
      <c r="D758" s="91"/>
      <c r="E758" s="92"/>
      <c r="F758" s="94"/>
    </row>
    <row r="759" spans="1:6" x14ac:dyDescent="0.25">
      <c r="A759" s="86"/>
      <c r="B759" s="86"/>
      <c r="C759" s="88"/>
      <c r="D759" s="91"/>
      <c r="E759" s="92"/>
      <c r="F759" s="94"/>
    </row>
    <row r="760" spans="1:6" x14ac:dyDescent="0.25">
      <c r="A760" s="86"/>
      <c r="B760" s="86"/>
      <c r="C760" s="88"/>
      <c r="D760" s="91"/>
      <c r="E760" s="92"/>
      <c r="F760" s="94"/>
    </row>
    <row r="761" spans="1:6" x14ac:dyDescent="0.25">
      <c r="A761" s="86"/>
      <c r="B761" s="86"/>
      <c r="C761" s="88"/>
      <c r="D761" s="91"/>
      <c r="E761" s="92"/>
      <c r="F761" s="94"/>
    </row>
    <row r="762" spans="1:6" x14ac:dyDescent="0.25">
      <c r="A762" s="86"/>
      <c r="B762" s="86"/>
      <c r="C762" s="88"/>
      <c r="D762" s="91"/>
      <c r="E762" s="92"/>
      <c r="F762" s="94"/>
    </row>
    <row r="763" spans="1:6" x14ac:dyDescent="0.25">
      <c r="A763" s="86"/>
      <c r="B763" s="86"/>
      <c r="C763" s="88"/>
      <c r="D763" s="91"/>
      <c r="E763" s="92"/>
      <c r="F763" s="94"/>
    </row>
    <row r="764" spans="1:6" x14ac:dyDescent="0.25">
      <c r="A764" s="86"/>
      <c r="B764" s="86"/>
      <c r="C764" s="88"/>
      <c r="D764" s="91"/>
      <c r="E764" s="92"/>
      <c r="F764" s="94"/>
    </row>
    <row r="765" spans="1:6" x14ac:dyDescent="0.25">
      <c r="A765" s="86"/>
      <c r="B765" s="86"/>
      <c r="C765" s="88"/>
      <c r="D765" s="91"/>
      <c r="E765" s="92"/>
      <c r="F765" s="94"/>
    </row>
    <row r="766" spans="1:6" x14ac:dyDescent="0.25">
      <c r="A766" s="86"/>
      <c r="B766" s="86"/>
      <c r="C766" s="88"/>
      <c r="D766" s="91"/>
      <c r="E766" s="92"/>
      <c r="F766" s="94"/>
    </row>
    <row r="767" spans="1:6" x14ac:dyDescent="0.25">
      <c r="A767" s="86"/>
      <c r="B767" s="86"/>
      <c r="C767" s="88"/>
      <c r="D767" s="91"/>
      <c r="E767" s="92"/>
      <c r="F767" s="94"/>
    </row>
    <row r="768" spans="1:6" x14ac:dyDescent="0.25">
      <c r="A768" s="86"/>
      <c r="B768" s="86"/>
      <c r="C768" s="88"/>
      <c r="D768" s="91"/>
      <c r="E768" s="92"/>
      <c r="F768" s="94"/>
    </row>
    <row r="769" spans="1:6" x14ac:dyDescent="0.25">
      <c r="A769" s="86"/>
      <c r="B769" s="86"/>
      <c r="C769" s="88"/>
      <c r="D769" s="91"/>
      <c r="E769" s="92"/>
      <c r="F769" s="94"/>
    </row>
    <row r="770" spans="1:6" x14ac:dyDescent="0.25">
      <c r="A770" s="86"/>
      <c r="B770" s="86"/>
      <c r="C770" s="88"/>
      <c r="D770" s="91"/>
      <c r="E770" s="92"/>
      <c r="F770" s="94"/>
    </row>
    <row r="771" spans="1:6" x14ac:dyDescent="0.25">
      <c r="A771" s="86"/>
      <c r="B771" s="86"/>
      <c r="C771" s="88"/>
      <c r="D771" s="91"/>
      <c r="E771" s="92"/>
      <c r="F771" s="94"/>
    </row>
    <row r="772" spans="1:6" x14ac:dyDescent="0.25">
      <c r="A772" s="86"/>
      <c r="B772" s="86"/>
      <c r="C772" s="88"/>
      <c r="D772" s="91"/>
      <c r="E772" s="92"/>
      <c r="F772" s="94"/>
    </row>
    <row r="773" spans="1:6" x14ac:dyDescent="0.25">
      <c r="A773" s="86"/>
      <c r="B773" s="86"/>
      <c r="C773" s="88"/>
      <c r="D773" s="91"/>
      <c r="E773" s="92"/>
      <c r="F773" s="94"/>
    </row>
    <row r="774" spans="1:6" x14ac:dyDescent="0.25">
      <c r="A774" s="86"/>
      <c r="B774" s="86"/>
      <c r="C774" s="88"/>
      <c r="D774" s="91"/>
      <c r="E774" s="92"/>
      <c r="F774" s="94"/>
    </row>
    <row r="775" spans="1:6" x14ac:dyDescent="0.25">
      <c r="A775" s="86"/>
      <c r="B775" s="86"/>
      <c r="C775" s="88"/>
      <c r="D775" s="91"/>
      <c r="E775" s="92"/>
      <c r="F775" s="94"/>
    </row>
    <row r="776" spans="1:6" x14ac:dyDescent="0.25">
      <c r="A776" s="86"/>
      <c r="B776" s="86"/>
      <c r="C776" s="88"/>
      <c r="D776" s="91"/>
      <c r="E776" s="92"/>
      <c r="F776" s="94"/>
    </row>
    <row r="777" spans="1:6" x14ac:dyDescent="0.25">
      <c r="A777" s="86"/>
      <c r="B777" s="86"/>
      <c r="C777" s="88"/>
      <c r="D777" s="91"/>
      <c r="E777" s="92"/>
      <c r="F777" s="94"/>
    </row>
    <row r="778" spans="1:6" x14ac:dyDescent="0.25">
      <c r="A778" s="86"/>
      <c r="B778" s="86"/>
      <c r="C778" s="88"/>
      <c r="D778" s="91"/>
      <c r="E778" s="92"/>
      <c r="F778" s="94"/>
    </row>
    <row r="779" spans="1:6" x14ac:dyDescent="0.25">
      <c r="A779" s="86"/>
      <c r="B779" s="86"/>
      <c r="C779" s="88"/>
      <c r="D779" s="91"/>
      <c r="E779" s="92"/>
      <c r="F779" s="94"/>
    </row>
    <row r="780" spans="1:6" x14ac:dyDescent="0.25">
      <c r="A780" s="86"/>
      <c r="B780" s="86"/>
      <c r="C780" s="88"/>
      <c r="D780" s="91"/>
      <c r="E780" s="92"/>
      <c r="F780" s="94"/>
    </row>
    <row r="781" spans="1:6" x14ac:dyDescent="0.25">
      <c r="A781" s="86"/>
      <c r="B781" s="86"/>
      <c r="C781" s="88"/>
      <c r="D781" s="91"/>
      <c r="E781" s="92"/>
      <c r="F781" s="94"/>
    </row>
    <row r="782" spans="1:6" x14ac:dyDescent="0.25">
      <c r="A782" s="86"/>
      <c r="B782" s="86"/>
      <c r="C782" s="88"/>
      <c r="D782" s="91"/>
      <c r="E782" s="92"/>
      <c r="F782" s="94"/>
    </row>
    <row r="783" spans="1:6" x14ac:dyDescent="0.25">
      <c r="A783" s="86"/>
      <c r="B783" s="86"/>
      <c r="C783" s="88"/>
      <c r="D783" s="91"/>
      <c r="E783" s="92"/>
      <c r="F783" s="94"/>
    </row>
    <row r="784" spans="1:6" x14ac:dyDescent="0.25">
      <c r="A784" s="86"/>
      <c r="B784" s="86"/>
      <c r="C784" s="88"/>
      <c r="D784" s="91"/>
      <c r="E784" s="92"/>
      <c r="F784" s="94"/>
    </row>
    <row r="785" spans="1:6" x14ac:dyDescent="0.25">
      <c r="A785" s="86"/>
      <c r="B785" s="86"/>
      <c r="C785" s="88"/>
      <c r="D785" s="91"/>
      <c r="E785" s="92"/>
      <c r="F785" s="94"/>
    </row>
    <row r="786" spans="1:6" x14ac:dyDescent="0.25">
      <c r="A786" s="86"/>
      <c r="B786" s="86"/>
      <c r="C786" s="88"/>
      <c r="D786" s="91"/>
      <c r="E786" s="92"/>
      <c r="F786" s="94"/>
    </row>
    <row r="787" spans="1:6" x14ac:dyDescent="0.25">
      <c r="A787" s="86"/>
      <c r="B787" s="86"/>
      <c r="C787" s="88"/>
      <c r="D787" s="91"/>
      <c r="E787" s="92"/>
      <c r="F787" s="94"/>
    </row>
    <row r="788" spans="1:6" x14ac:dyDescent="0.25">
      <c r="A788" s="86"/>
      <c r="B788" s="86"/>
      <c r="C788" s="88"/>
      <c r="D788" s="91"/>
      <c r="E788" s="92"/>
      <c r="F788" s="94"/>
    </row>
    <row r="789" spans="1:6" x14ac:dyDescent="0.25">
      <c r="A789" s="86"/>
      <c r="B789" s="86"/>
      <c r="C789" s="88"/>
      <c r="D789" s="91"/>
      <c r="E789" s="92"/>
      <c r="F789" s="94"/>
    </row>
    <row r="790" spans="1:6" x14ac:dyDescent="0.25">
      <c r="A790" s="86"/>
      <c r="B790" s="86"/>
      <c r="C790" s="88"/>
      <c r="D790" s="91"/>
      <c r="E790" s="92"/>
      <c r="F790" s="94"/>
    </row>
    <row r="791" spans="1:6" x14ac:dyDescent="0.25">
      <c r="A791" s="86"/>
      <c r="B791" s="86"/>
      <c r="C791" s="88"/>
      <c r="D791" s="91"/>
      <c r="E791" s="92"/>
      <c r="F791" s="94"/>
    </row>
    <row r="792" spans="1:6" x14ac:dyDescent="0.25">
      <c r="A792" s="86"/>
      <c r="B792" s="86"/>
      <c r="C792" s="88"/>
      <c r="D792" s="91"/>
      <c r="E792" s="92"/>
      <c r="F792" s="94"/>
    </row>
    <row r="793" spans="1:6" x14ac:dyDescent="0.25">
      <c r="A793" s="86"/>
      <c r="B793" s="86"/>
      <c r="C793" s="88"/>
      <c r="D793" s="91"/>
      <c r="E793" s="92"/>
      <c r="F793" s="94"/>
    </row>
    <row r="794" spans="1:6" x14ac:dyDescent="0.25">
      <c r="A794" s="86"/>
      <c r="B794" s="86"/>
      <c r="C794" s="88"/>
      <c r="D794" s="91"/>
      <c r="E794" s="92"/>
      <c r="F794" s="94"/>
    </row>
    <row r="795" spans="1:6" x14ac:dyDescent="0.25">
      <c r="A795" s="86"/>
      <c r="B795" s="86"/>
      <c r="C795" s="88"/>
      <c r="D795" s="91"/>
      <c r="E795" s="92"/>
      <c r="F795" s="94"/>
    </row>
    <row r="796" spans="1:6" x14ac:dyDescent="0.25">
      <c r="A796" s="86"/>
      <c r="B796" s="86"/>
      <c r="C796" s="88"/>
      <c r="D796" s="91"/>
      <c r="E796" s="92"/>
      <c r="F796" s="94"/>
    </row>
    <row r="797" spans="1:6" x14ac:dyDescent="0.25">
      <c r="A797" s="86"/>
      <c r="B797" s="86"/>
      <c r="C797" s="88"/>
      <c r="D797" s="91"/>
      <c r="E797" s="92"/>
      <c r="F797" s="94"/>
    </row>
    <row r="798" spans="1:6" x14ac:dyDescent="0.25">
      <c r="A798" s="86"/>
      <c r="B798" s="86"/>
      <c r="C798" s="88"/>
      <c r="D798" s="91"/>
      <c r="E798" s="92"/>
      <c r="F798" s="94"/>
    </row>
    <row r="799" spans="1:6" x14ac:dyDescent="0.25">
      <c r="A799" s="86"/>
      <c r="B799" s="86"/>
      <c r="C799" s="88"/>
      <c r="D799" s="91"/>
      <c r="E799" s="92"/>
      <c r="F799" s="94"/>
    </row>
    <row r="800" spans="1:6" x14ac:dyDescent="0.25">
      <c r="A800" s="86"/>
      <c r="B800" s="86"/>
      <c r="C800" s="88"/>
      <c r="D800" s="91"/>
      <c r="E800" s="92"/>
      <c r="F800" s="94"/>
    </row>
    <row r="801" spans="1:6" x14ac:dyDescent="0.25">
      <c r="A801" s="86"/>
      <c r="B801" s="86"/>
      <c r="C801" s="88"/>
      <c r="D801" s="91"/>
      <c r="E801" s="92"/>
      <c r="F801" s="94"/>
    </row>
    <row r="802" spans="1:6" x14ac:dyDescent="0.25">
      <c r="A802" s="86"/>
      <c r="B802" s="86"/>
      <c r="C802" s="88"/>
      <c r="D802" s="91"/>
      <c r="E802" s="92"/>
      <c r="F802" s="94"/>
    </row>
    <row r="803" spans="1:6" x14ac:dyDescent="0.25">
      <c r="A803" s="86"/>
      <c r="B803" s="86"/>
      <c r="C803" s="88"/>
      <c r="D803" s="91"/>
      <c r="E803" s="92"/>
      <c r="F803" s="94"/>
    </row>
    <row r="804" spans="1:6" x14ac:dyDescent="0.25">
      <c r="A804" s="86"/>
      <c r="B804" s="86"/>
      <c r="C804" s="88"/>
      <c r="D804" s="91"/>
      <c r="E804" s="92"/>
      <c r="F804" s="94"/>
    </row>
    <row r="805" spans="1:6" x14ac:dyDescent="0.25">
      <c r="A805" s="86"/>
      <c r="B805" s="86"/>
      <c r="C805" s="88"/>
      <c r="D805" s="91"/>
      <c r="E805" s="92"/>
      <c r="F805" s="94"/>
    </row>
    <row r="806" spans="1:6" x14ac:dyDescent="0.25">
      <c r="A806" s="86"/>
      <c r="B806" s="86"/>
      <c r="C806" s="88"/>
      <c r="D806" s="91"/>
      <c r="E806" s="92"/>
      <c r="F806" s="94"/>
    </row>
    <row r="807" spans="1:6" x14ac:dyDescent="0.25">
      <c r="A807" s="86"/>
      <c r="B807" s="86"/>
      <c r="C807" s="88"/>
      <c r="D807" s="91"/>
      <c r="E807" s="92"/>
      <c r="F807" s="94"/>
    </row>
    <row r="808" spans="1:6" x14ac:dyDescent="0.25">
      <c r="A808" s="86"/>
      <c r="B808" s="86"/>
      <c r="C808" s="88"/>
      <c r="D808" s="91"/>
      <c r="E808" s="92"/>
      <c r="F808" s="94"/>
    </row>
    <row r="809" spans="1:6" x14ac:dyDescent="0.25">
      <c r="A809" s="86"/>
      <c r="B809" s="86"/>
      <c r="C809" s="88"/>
      <c r="D809" s="91"/>
      <c r="E809" s="92"/>
      <c r="F809" s="94"/>
    </row>
    <row r="810" spans="1:6" x14ac:dyDescent="0.25">
      <c r="A810" s="86"/>
      <c r="B810" s="86"/>
      <c r="C810" s="88"/>
      <c r="D810" s="91"/>
      <c r="E810" s="92"/>
      <c r="F810" s="94"/>
    </row>
    <row r="811" spans="1:6" x14ac:dyDescent="0.25">
      <c r="A811" s="86"/>
      <c r="B811" s="86"/>
      <c r="C811" s="88"/>
      <c r="D811" s="91"/>
      <c r="E811" s="92"/>
      <c r="F811" s="94"/>
    </row>
    <row r="812" spans="1:6" x14ac:dyDescent="0.25">
      <c r="A812" s="86"/>
      <c r="B812" s="86"/>
      <c r="C812" s="88"/>
      <c r="D812" s="91"/>
      <c r="E812" s="92"/>
      <c r="F812" s="94"/>
    </row>
    <row r="813" spans="1:6" x14ac:dyDescent="0.25">
      <c r="A813" s="86"/>
      <c r="B813" s="86"/>
      <c r="C813" s="88"/>
      <c r="D813" s="91"/>
      <c r="E813" s="92"/>
      <c r="F813" s="94"/>
    </row>
    <row r="814" spans="1:6" x14ac:dyDescent="0.25">
      <c r="A814" s="86"/>
      <c r="B814" s="86"/>
      <c r="C814" s="88"/>
      <c r="D814" s="91"/>
      <c r="E814" s="92"/>
      <c r="F814" s="94"/>
    </row>
    <row r="815" spans="1:6" x14ac:dyDescent="0.25">
      <c r="A815" s="86"/>
      <c r="B815" s="86"/>
      <c r="C815" s="88"/>
      <c r="D815" s="91"/>
      <c r="E815" s="92"/>
      <c r="F815" s="94"/>
    </row>
    <row r="816" spans="1:6" x14ac:dyDescent="0.25">
      <c r="A816" s="86"/>
      <c r="B816" s="86"/>
      <c r="C816" s="88"/>
      <c r="D816" s="91"/>
      <c r="E816" s="92"/>
      <c r="F816" s="94"/>
    </row>
    <row r="817" spans="1:6" x14ac:dyDescent="0.25">
      <c r="A817" s="86"/>
      <c r="B817" s="86"/>
      <c r="C817" s="88"/>
      <c r="D817" s="91"/>
      <c r="E817" s="92"/>
      <c r="F817" s="94"/>
    </row>
    <row r="818" spans="1:6" x14ac:dyDescent="0.25">
      <c r="A818" s="86"/>
      <c r="B818" s="86"/>
      <c r="C818" s="88"/>
      <c r="D818" s="91"/>
      <c r="E818" s="92"/>
      <c r="F818" s="94"/>
    </row>
    <row r="819" spans="1:6" x14ac:dyDescent="0.25">
      <c r="A819" s="86"/>
      <c r="B819" s="86"/>
      <c r="C819" s="88"/>
      <c r="D819" s="91"/>
      <c r="E819" s="92"/>
      <c r="F819" s="94"/>
    </row>
    <row r="820" spans="1:6" x14ac:dyDescent="0.25">
      <c r="A820" s="86"/>
      <c r="B820" s="86"/>
      <c r="C820" s="88"/>
      <c r="D820" s="91"/>
      <c r="E820" s="92"/>
      <c r="F820" s="94"/>
    </row>
    <row r="821" spans="1:6" x14ac:dyDescent="0.25">
      <c r="A821" s="86"/>
      <c r="B821" s="86"/>
      <c r="C821" s="88"/>
      <c r="D821" s="91"/>
      <c r="E821" s="92"/>
      <c r="F821" s="94"/>
    </row>
    <row r="822" spans="1:6" x14ac:dyDescent="0.25">
      <c r="A822" s="86"/>
      <c r="B822" s="86"/>
      <c r="C822" s="88"/>
      <c r="D822" s="91"/>
      <c r="E822" s="92"/>
      <c r="F822" s="94"/>
    </row>
    <row r="823" spans="1:6" x14ac:dyDescent="0.25">
      <c r="A823" s="86"/>
      <c r="B823" s="86"/>
      <c r="C823" s="88"/>
      <c r="D823" s="91"/>
      <c r="E823" s="92"/>
      <c r="F823" s="94"/>
    </row>
    <row r="824" spans="1:6" x14ac:dyDescent="0.25">
      <c r="A824" s="86"/>
      <c r="B824" s="86"/>
      <c r="C824" s="88"/>
      <c r="D824" s="91"/>
      <c r="E824" s="92"/>
      <c r="F824" s="94"/>
    </row>
    <row r="825" spans="1:6" x14ac:dyDescent="0.25">
      <c r="A825" s="86"/>
      <c r="B825" s="86"/>
      <c r="C825" s="88"/>
      <c r="D825" s="91"/>
      <c r="E825" s="92"/>
      <c r="F825" s="94"/>
    </row>
    <row r="826" spans="1:6" x14ac:dyDescent="0.25">
      <c r="A826" s="86"/>
      <c r="B826" s="86"/>
      <c r="C826" s="88"/>
      <c r="D826" s="91"/>
      <c r="E826" s="92"/>
      <c r="F826" s="94"/>
    </row>
    <row r="827" spans="1:6" x14ac:dyDescent="0.25">
      <c r="A827" s="86"/>
      <c r="B827" s="86"/>
      <c r="C827" s="88"/>
      <c r="D827" s="91"/>
      <c r="E827" s="92"/>
      <c r="F827" s="94"/>
    </row>
    <row r="828" spans="1:6" x14ac:dyDescent="0.25">
      <c r="A828" s="86"/>
      <c r="B828" s="86"/>
      <c r="C828" s="88"/>
      <c r="D828" s="91"/>
      <c r="E828" s="92"/>
      <c r="F828" s="94"/>
    </row>
    <row r="829" spans="1:6" x14ac:dyDescent="0.25">
      <c r="A829" s="86"/>
      <c r="B829" s="86"/>
      <c r="C829" s="88"/>
      <c r="D829" s="91"/>
      <c r="E829" s="92"/>
      <c r="F829" s="94"/>
    </row>
    <row r="830" spans="1:6" x14ac:dyDescent="0.25">
      <c r="A830" s="86"/>
      <c r="B830" s="86"/>
      <c r="C830" s="88"/>
      <c r="D830" s="91"/>
      <c r="E830" s="92"/>
      <c r="F830" s="94"/>
    </row>
    <row r="831" spans="1:6" x14ac:dyDescent="0.25">
      <c r="A831" s="86"/>
      <c r="B831" s="86"/>
      <c r="C831" s="88"/>
      <c r="D831" s="91"/>
      <c r="E831" s="92"/>
      <c r="F831" s="94"/>
    </row>
    <row r="832" spans="1:6" x14ac:dyDescent="0.25">
      <c r="A832" s="86"/>
      <c r="B832" s="86"/>
      <c r="C832" s="88"/>
      <c r="D832" s="91"/>
      <c r="E832" s="92"/>
      <c r="F832" s="94"/>
    </row>
    <row r="833" spans="1:6" x14ac:dyDescent="0.25">
      <c r="A833" s="86"/>
      <c r="B833" s="86"/>
      <c r="C833" s="88"/>
      <c r="D833" s="91"/>
      <c r="E833" s="92"/>
      <c r="F833" s="94"/>
    </row>
    <row r="834" spans="1:6" x14ac:dyDescent="0.25">
      <c r="A834" s="86"/>
      <c r="B834" s="86"/>
      <c r="C834" s="88"/>
      <c r="D834" s="91"/>
      <c r="E834" s="92"/>
      <c r="F834" s="94"/>
    </row>
    <row r="835" spans="1:6" x14ac:dyDescent="0.25">
      <c r="A835" s="86"/>
      <c r="B835" s="86"/>
      <c r="C835" s="88"/>
      <c r="D835" s="91"/>
      <c r="E835" s="92"/>
      <c r="F835" s="94"/>
    </row>
    <row r="836" spans="1:6" x14ac:dyDescent="0.25">
      <c r="A836" s="86"/>
      <c r="B836" s="86"/>
      <c r="C836" s="88"/>
      <c r="D836" s="91"/>
      <c r="E836" s="92"/>
      <c r="F836" s="94"/>
    </row>
    <row r="837" spans="1:6" x14ac:dyDescent="0.25">
      <c r="A837" s="86"/>
      <c r="B837" s="86"/>
      <c r="C837" s="88"/>
      <c r="D837" s="91"/>
      <c r="E837" s="92"/>
      <c r="F837" s="94"/>
    </row>
    <row r="838" spans="1:6" x14ac:dyDescent="0.25">
      <c r="A838" s="86"/>
      <c r="B838" s="86"/>
      <c r="C838" s="88"/>
      <c r="D838" s="91"/>
      <c r="E838" s="92"/>
      <c r="F838" s="94"/>
    </row>
    <row r="839" spans="1:6" x14ac:dyDescent="0.25">
      <c r="A839" s="86"/>
      <c r="B839" s="86"/>
      <c r="C839" s="88"/>
      <c r="D839" s="91"/>
      <c r="E839" s="92"/>
      <c r="F839" s="94"/>
    </row>
    <row r="840" spans="1:6" x14ac:dyDescent="0.25">
      <c r="A840" s="86"/>
      <c r="B840" s="86"/>
      <c r="C840" s="88"/>
      <c r="D840" s="91"/>
      <c r="E840" s="92"/>
      <c r="F840" s="94"/>
    </row>
    <row r="841" spans="1:6" x14ac:dyDescent="0.25">
      <c r="A841" s="86"/>
      <c r="B841" s="86"/>
      <c r="C841" s="88"/>
      <c r="D841" s="91"/>
      <c r="E841" s="92"/>
      <c r="F841" s="94"/>
    </row>
    <row r="842" spans="1:6" x14ac:dyDescent="0.25">
      <c r="A842" s="86"/>
      <c r="B842" s="86"/>
      <c r="C842" s="88"/>
      <c r="D842" s="91"/>
      <c r="E842" s="92"/>
      <c r="F842" s="94"/>
    </row>
    <row r="843" spans="1:6" x14ac:dyDescent="0.25">
      <c r="A843" s="86"/>
      <c r="B843" s="86"/>
      <c r="C843" s="88"/>
      <c r="D843" s="91"/>
      <c r="E843" s="92"/>
      <c r="F843" s="94"/>
    </row>
    <row r="844" spans="1:6" x14ac:dyDescent="0.25">
      <c r="A844" s="86"/>
      <c r="B844" s="86"/>
      <c r="C844" s="88"/>
      <c r="D844" s="91"/>
      <c r="E844" s="92"/>
      <c r="F844" s="94"/>
    </row>
    <row r="845" spans="1:6" x14ac:dyDescent="0.25">
      <c r="A845" s="86"/>
      <c r="B845" s="86"/>
      <c r="C845" s="88"/>
      <c r="D845" s="91"/>
      <c r="E845" s="92"/>
      <c r="F845" s="94"/>
    </row>
    <row r="846" spans="1:6" x14ac:dyDescent="0.25">
      <c r="A846" s="86"/>
      <c r="B846" s="86"/>
      <c r="C846" s="88"/>
      <c r="D846" s="91"/>
      <c r="E846" s="92"/>
      <c r="F846" s="94"/>
    </row>
    <row r="847" spans="1:6" x14ac:dyDescent="0.25">
      <c r="A847" s="86"/>
      <c r="B847" s="86"/>
      <c r="C847" s="88"/>
      <c r="D847" s="91"/>
      <c r="E847" s="92"/>
      <c r="F847" s="94"/>
    </row>
    <row r="848" spans="1:6" x14ac:dyDescent="0.25">
      <c r="A848" s="86"/>
      <c r="B848" s="86"/>
      <c r="C848" s="88"/>
      <c r="D848" s="91"/>
      <c r="E848" s="92"/>
      <c r="F848" s="94"/>
    </row>
    <row r="849" spans="1:6" x14ac:dyDescent="0.25">
      <c r="A849" s="86"/>
      <c r="B849" s="86"/>
      <c r="C849" s="88"/>
      <c r="D849" s="91"/>
      <c r="E849" s="92"/>
      <c r="F849" s="94"/>
    </row>
    <row r="850" spans="1:6" x14ac:dyDescent="0.25">
      <c r="A850" s="86"/>
      <c r="B850" s="86"/>
      <c r="C850" s="88"/>
      <c r="D850" s="91"/>
      <c r="E850" s="92"/>
      <c r="F850" s="94"/>
    </row>
    <row r="851" spans="1:6" x14ac:dyDescent="0.25">
      <c r="A851" s="86"/>
      <c r="B851" s="86"/>
      <c r="C851" s="88"/>
      <c r="D851" s="91"/>
      <c r="E851" s="92"/>
      <c r="F851" s="94"/>
    </row>
    <row r="852" spans="1:6" x14ac:dyDescent="0.25">
      <c r="A852" s="86"/>
      <c r="B852" s="86"/>
      <c r="C852" s="88"/>
      <c r="D852" s="91"/>
      <c r="E852" s="92"/>
      <c r="F852" s="94"/>
    </row>
    <row r="853" spans="1:6" x14ac:dyDescent="0.25">
      <c r="A853" s="86"/>
      <c r="B853" s="86"/>
      <c r="C853" s="88"/>
      <c r="D853" s="91"/>
      <c r="E853" s="92"/>
      <c r="F853" s="94"/>
    </row>
    <row r="854" spans="1:6" x14ac:dyDescent="0.25">
      <c r="A854" s="86"/>
      <c r="B854" s="86"/>
      <c r="C854" s="88"/>
      <c r="D854" s="91"/>
      <c r="E854" s="92"/>
      <c r="F854" s="94"/>
    </row>
    <row r="855" spans="1:6" x14ac:dyDescent="0.25">
      <c r="A855" s="86"/>
      <c r="B855" s="86"/>
      <c r="C855" s="88"/>
      <c r="D855" s="91"/>
      <c r="E855" s="92"/>
      <c r="F855" s="94"/>
    </row>
    <row r="856" spans="1:6" x14ac:dyDescent="0.25">
      <c r="A856" s="86"/>
      <c r="B856" s="86"/>
      <c r="C856" s="88"/>
      <c r="D856" s="91"/>
      <c r="E856" s="92"/>
      <c r="F856" s="94"/>
    </row>
    <row r="857" spans="1:6" x14ac:dyDescent="0.25">
      <c r="A857" s="86"/>
      <c r="B857" s="86"/>
      <c r="C857" s="88"/>
      <c r="D857" s="91"/>
      <c r="E857" s="92"/>
      <c r="F857" s="94"/>
    </row>
    <row r="858" spans="1:6" x14ac:dyDescent="0.25">
      <c r="A858" s="86"/>
      <c r="B858" s="86"/>
      <c r="C858" s="88"/>
      <c r="D858" s="91"/>
      <c r="E858" s="92"/>
      <c r="F858" s="94"/>
    </row>
    <row r="859" spans="1:6" x14ac:dyDescent="0.25">
      <c r="A859" s="86"/>
      <c r="B859" s="86"/>
      <c r="C859" s="88"/>
      <c r="D859" s="91"/>
      <c r="E859" s="92"/>
      <c r="F859" s="94"/>
    </row>
    <row r="860" spans="1:6" x14ac:dyDescent="0.25">
      <c r="A860" s="86"/>
      <c r="B860" s="86"/>
      <c r="C860" s="88"/>
      <c r="D860" s="91"/>
      <c r="E860" s="92"/>
      <c r="F860" s="94"/>
    </row>
    <row r="861" spans="1:6" x14ac:dyDescent="0.25">
      <c r="A861" s="86"/>
      <c r="B861" s="86"/>
      <c r="C861" s="88"/>
      <c r="D861" s="91"/>
      <c r="E861" s="92"/>
      <c r="F861" s="94"/>
    </row>
    <row r="862" spans="1:6" x14ac:dyDescent="0.25">
      <c r="A862" s="86"/>
      <c r="B862" s="86"/>
      <c r="C862" s="88"/>
      <c r="D862" s="91"/>
      <c r="E862" s="92"/>
      <c r="F862" s="94"/>
    </row>
    <row r="863" spans="1:6" x14ac:dyDescent="0.25">
      <c r="A863" s="86"/>
      <c r="B863" s="86"/>
      <c r="C863" s="88"/>
      <c r="D863" s="91"/>
      <c r="E863" s="92"/>
      <c r="F863" s="94"/>
    </row>
    <row r="864" spans="1:6" x14ac:dyDescent="0.25">
      <c r="A864" s="86"/>
      <c r="B864" s="86"/>
      <c r="C864" s="88"/>
      <c r="D864" s="91"/>
      <c r="E864" s="92"/>
      <c r="F864" s="94"/>
    </row>
    <row r="865" spans="1:6" x14ac:dyDescent="0.25">
      <c r="A865" s="86"/>
      <c r="B865" s="86"/>
      <c r="C865" s="88"/>
      <c r="D865" s="91"/>
      <c r="E865" s="92"/>
      <c r="F865" s="94"/>
    </row>
    <row r="866" spans="1:6" x14ac:dyDescent="0.25">
      <c r="A866" s="86"/>
      <c r="B866" s="86"/>
      <c r="C866" s="88"/>
      <c r="D866" s="91"/>
      <c r="E866" s="92"/>
      <c r="F866" s="94"/>
    </row>
    <row r="867" spans="1:6" x14ac:dyDescent="0.25">
      <c r="A867" s="86"/>
      <c r="B867" s="86"/>
      <c r="C867" s="88"/>
      <c r="D867" s="91"/>
      <c r="E867" s="92"/>
      <c r="F867" s="94"/>
    </row>
    <row r="868" spans="1:6" x14ac:dyDescent="0.25">
      <c r="A868" s="86"/>
      <c r="B868" s="86"/>
      <c r="C868" s="88"/>
      <c r="D868" s="91"/>
      <c r="E868" s="92"/>
      <c r="F868" s="94"/>
    </row>
    <row r="869" spans="1:6" x14ac:dyDescent="0.25">
      <c r="A869" s="86"/>
      <c r="B869" s="86"/>
      <c r="C869" s="88"/>
      <c r="D869" s="91"/>
      <c r="E869" s="92"/>
      <c r="F869" s="94"/>
    </row>
    <row r="870" spans="1:6" x14ac:dyDescent="0.25">
      <c r="A870" s="86"/>
      <c r="B870" s="86"/>
      <c r="C870" s="88"/>
      <c r="D870" s="91"/>
      <c r="E870" s="92"/>
      <c r="F870" s="94"/>
    </row>
    <row r="871" spans="1:6" x14ac:dyDescent="0.25">
      <c r="A871" s="86"/>
      <c r="B871" s="86"/>
      <c r="C871" s="88"/>
      <c r="D871" s="91"/>
      <c r="E871" s="92"/>
      <c r="F871" s="94"/>
    </row>
    <row r="872" spans="1:6" x14ac:dyDescent="0.25">
      <c r="A872" s="86"/>
      <c r="B872" s="86"/>
      <c r="C872" s="88"/>
      <c r="D872" s="91"/>
      <c r="E872" s="92"/>
      <c r="F872" s="94"/>
    </row>
    <row r="873" spans="1:6" x14ac:dyDescent="0.25">
      <c r="A873" s="86"/>
      <c r="B873" s="86"/>
      <c r="C873" s="88"/>
      <c r="D873" s="91"/>
      <c r="E873" s="92"/>
      <c r="F873" s="94"/>
    </row>
    <row r="874" spans="1:6" x14ac:dyDescent="0.25">
      <c r="A874" s="86"/>
      <c r="B874" s="86"/>
      <c r="C874" s="88"/>
      <c r="D874" s="91"/>
      <c r="E874" s="92"/>
      <c r="F874" s="94"/>
    </row>
    <row r="875" spans="1:6" x14ac:dyDescent="0.25">
      <c r="A875" s="86"/>
      <c r="B875" s="86"/>
      <c r="C875" s="88"/>
      <c r="D875" s="91"/>
      <c r="E875" s="92"/>
      <c r="F875" s="94"/>
    </row>
    <row r="876" spans="1:6" x14ac:dyDescent="0.25">
      <c r="A876" s="86"/>
      <c r="B876" s="86"/>
      <c r="C876" s="88"/>
      <c r="D876" s="91"/>
      <c r="E876" s="92"/>
      <c r="F876" s="94"/>
    </row>
    <row r="877" spans="1:6" x14ac:dyDescent="0.25">
      <c r="A877" s="86"/>
      <c r="B877" s="86"/>
      <c r="C877" s="88"/>
      <c r="D877" s="91"/>
      <c r="E877" s="92"/>
      <c r="F877" s="94"/>
    </row>
    <row r="878" spans="1:6" x14ac:dyDescent="0.25">
      <c r="A878" s="86"/>
      <c r="B878" s="86"/>
      <c r="C878" s="88"/>
      <c r="D878" s="91"/>
      <c r="E878" s="92"/>
      <c r="F878" s="94"/>
    </row>
    <row r="879" spans="1:6" x14ac:dyDescent="0.25">
      <c r="A879" s="86"/>
      <c r="B879" s="86"/>
      <c r="C879" s="88"/>
      <c r="D879" s="91"/>
      <c r="E879" s="92"/>
      <c r="F879" s="94"/>
    </row>
    <row r="880" spans="1:6" x14ac:dyDescent="0.25">
      <c r="A880" s="86"/>
      <c r="B880" s="86"/>
      <c r="C880" s="88"/>
      <c r="D880" s="91"/>
      <c r="E880" s="92"/>
      <c r="F880" s="94"/>
    </row>
    <row r="881" spans="1:6" x14ac:dyDescent="0.25">
      <c r="A881" s="86"/>
      <c r="B881" s="86"/>
      <c r="C881" s="88"/>
      <c r="D881" s="91"/>
      <c r="E881" s="92"/>
      <c r="F881" s="94"/>
    </row>
    <row r="882" spans="1:6" x14ac:dyDescent="0.25">
      <c r="A882" s="86"/>
      <c r="B882" s="86"/>
      <c r="C882" s="88"/>
      <c r="D882" s="91"/>
      <c r="E882" s="92"/>
      <c r="F882" s="94"/>
    </row>
    <row r="883" spans="1:6" x14ac:dyDescent="0.25">
      <c r="A883" s="86"/>
      <c r="B883" s="86"/>
      <c r="C883" s="88"/>
      <c r="D883" s="91"/>
      <c r="E883" s="92"/>
      <c r="F883" s="94"/>
    </row>
    <row r="884" spans="1:6" x14ac:dyDescent="0.25">
      <c r="A884" s="86"/>
      <c r="B884" s="86"/>
      <c r="C884" s="88"/>
      <c r="D884" s="91"/>
      <c r="E884" s="92"/>
      <c r="F884" s="94"/>
    </row>
    <row r="885" spans="1:6" x14ac:dyDescent="0.25">
      <c r="A885" s="86"/>
      <c r="B885" s="86"/>
      <c r="C885" s="88"/>
      <c r="D885" s="91"/>
      <c r="E885" s="92"/>
      <c r="F885" s="94"/>
    </row>
    <row r="886" spans="1:6" x14ac:dyDescent="0.25">
      <c r="A886" s="86"/>
      <c r="B886" s="86"/>
      <c r="C886" s="88"/>
      <c r="D886" s="91"/>
      <c r="E886" s="92"/>
      <c r="F886" s="94"/>
    </row>
    <row r="887" spans="1:6" x14ac:dyDescent="0.25">
      <c r="A887" s="86"/>
      <c r="B887" s="86"/>
      <c r="C887" s="88"/>
      <c r="D887" s="91"/>
      <c r="E887" s="92"/>
      <c r="F887" s="94"/>
    </row>
    <row r="888" spans="1:6" x14ac:dyDescent="0.25">
      <c r="A888" s="86"/>
      <c r="B888" s="86"/>
      <c r="C888" s="88"/>
      <c r="D888" s="91"/>
      <c r="E888" s="92"/>
      <c r="F888" s="94"/>
    </row>
    <row r="889" spans="1:6" x14ac:dyDescent="0.25">
      <c r="A889" s="86"/>
      <c r="B889" s="86"/>
      <c r="C889" s="88"/>
      <c r="D889" s="91"/>
      <c r="E889" s="92"/>
      <c r="F889" s="94"/>
    </row>
    <row r="890" spans="1:6" x14ac:dyDescent="0.25">
      <c r="A890" s="86"/>
      <c r="B890" s="86"/>
      <c r="C890" s="88"/>
      <c r="D890" s="91"/>
      <c r="E890" s="92"/>
      <c r="F890" s="94"/>
    </row>
    <row r="891" spans="1:6" x14ac:dyDescent="0.25">
      <c r="A891" s="86"/>
      <c r="B891" s="86"/>
      <c r="C891" s="88"/>
      <c r="D891" s="91"/>
      <c r="E891" s="92"/>
      <c r="F891" s="94"/>
    </row>
    <row r="892" spans="1:6" x14ac:dyDescent="0.25">
      <c r="A892" s="86"/>
      <c r="B892" s="86"/>
      <c r="C892" s="88"/>
      <c r="D892" s="91"/>
      <c r="E892" s="92"/>
      <c r="F892" s="94"/>
    </row>
    <row r="893" spans="1:6" x14ac:dyDescent="0.25">
      <c r="A893" s="86"/>
      <c r="B893" s="86"/>
      <c r="C893" s="88"/>
      <c r="D893" s="91"/>
      <c r="E893" s="92"/>
      <c r="F893" s="94"/>
    </row>
    <row r="894" spans="1:6" x14ac:dyDescent="0.25">
      <c r="A894" s="86"/>
      <c r="B894" s="86"/>
      <c r="C894" s="88"/>
      <c r="D894" s="91"/>
      <c r="E894" s="92"/>
      <c r="F894" s="94"/>
    </row>
    <row r="895" spans="1:6" x14ac:dyDescent="0.25">
      <c r="A895" s="86"/>
      <c r="B895" s="86"/>
      <c r="C895" s="88"/>
      <c r="D895" s="91"/>
      <c r="E895" s="92"/>
      <c r="F895" s="94"/>
    </row>
    <row r="896" spans="1:6" x14ac:dyDescent="0.25">
      <c r="A896" s="86"/>
      <c r="B896" s="86"/>
      <c r="C896" s="88"/>
      <c r="D896" s="91"/>
      <c r="E896" s="92"/>
      <c r="F896" s="94"/>
    </row>
    <row r="897" spans="1:6" x14ac:dyDescent="0.25">
      <c r="A897" s="86"/>
      <c r="B897" s="86"/>
      <c r="C897" s="88"/>
      <c r="D897" s="91"/>
      <c r="E897" s="92"/>
      <c r="F897" s="94"/>
    </row>
    <row r="898" spans="1:6" x14ac:dyDescent="0.25">
      <c r="A898" s="86"/>
      <c r="B898" s="86"/>
      <c r="C898" s="88"/>
      <c r="D898" s="91"/>
      <c r="E898" s="92"/>
      <c r="F898" s="94"/>
    </row>
    <row r="899" spans="1:6" x14ac:dyDescent="0.25">
      <c r="A899" s="86"/>
      <c r="B899" s="86"/>
      <c r="C899" s="88"/>
      <c r="D899" s="91"/>
      <c r="E899" s="92"/>
      <c r="F899" s="94"/>
    </row>
    <row r="900" spans="1:6" x14ac:dyDescent="0.25">
      <c r="A900" s="86"/>
      <c r="B900" s="86"/>
      <c r="C900" s="88"/>
      <c r="D900" s="91"/>
      <c r="E900" s="92"/>
      <c r="F900" s="94"/>
    </row>
    <row r="901" spans="1:6" x14ac:dyDescent="0.25">
      <c r="A901" s="86"/>
      <c r="B901" s="86"/>
      <c r="C901" s="88"/>
      <c r="D901" s="91"/>
      <c r="E901" s="92"/>
      <c r="F901" s="94"/>
    </row>
    <row r="902" spans="1:6" x14ac:dyDescent="0.25">
      <c r="A902" s="86"/>
      <c r="B902" s="86"/>
      <c r="C902" s="88"/>
      <c r="D902" s="91"/>
      <c r="E902" s="92"/>
      <c r="F902" s="94"/>
    </row>
    <row r="903" spans="1:6" x14ac:dyDescent="0.25">
      <c r="A903" s="86"/>
      <c r="B903" s="86"/>
      <c r="C903" s="88"/>
      <c r="D903" s="91"/>
      <c r="E903" s="92"/>
      <c r="F903" s="94"/>
    </row>
    <row r="904" spans="1:6" x14ac:dyDescent="0.25">
      <c r="A904" s="86"/>
      <c r="B904" s="86"/>
      <c r="C904" s="88"/>
      <c r="D904" s="91"/>
      <c r="E904" s="92"/>
      <c r="F904" s="94"/>
    </row>
    <row r="905" spans="1:6" x14ac:dyDescent="0.25">
      <c r="A905" s="86"/>
      <c r="B905" s="86"/>
      <c r="C905" s="88"/>
      <c r="D905" s="91"/>
      <c r="E905" s="92"/>
      <c r="F905" s="94"/>
    </row>
    <row r="906" spans="1:6" x14ac:dyDescent="0.25">
      <c r="A906" s="86"/>
      <c r="B906" s="86"/>
      <c r="C906" s="88"/>
      <c r="D906" s="91"/>
      <c r="E906" s="92"/>
      <c r="F906" s="94"/>
    </row>
    <row r="907" spans="1:6" x14ac:dyDescent="0.25">
      <c r="A907" s="86"/>
      <c r="B907" s="86"/>
      <c r="C907" s="88"/>
      <c r="D907" s="91"/>
      <c r="E907" s="92"/>
      <c r="F907" s="94"/>
    </row>
    <row r="908" spans="1:6" x14ac:dyDescent="0.25">
      <c r="A908" s="86"/>
      <c r="B908" s="86"/>
      <c r="C908" s="88"/>
      <c r="D908" s="91"/>
      <c r="E908" s="92"/>
      <c r="F908" s="94"/>
    </row>
    <row r="909" spans="1:6" x14ac:dyDescent="0.25">
      <c r="A909" s="86"/>
      <c r="B909" s="86"/>
      <c r="C909" s="88"/>
      <c r="D909" s="91"/>
      <c r="E909" s="92"/>
      <c r="F909" s="94"/>
    </row>
    <row r="910" spans="1:6" x14ac:dyDescent="0.25">
      <c r="A910" s="86"/>
      <c r="B910" s="86"/>
      <c r="C910" s="88"/>
      <c r="D910" s="91"/>
      <c r="E910" s="92"/>
      <c r="F910" s="94"/>
    </row>
    <row r="911" spans="1:6" x14ac:dyDescent="0.25">
      <c r="A911" s="86"/>
      <c r="B911" s="86"/>
      <c r="C911" s="88"/>
      <c r="D911" s="91"/>
      <c r="E911" s="92"/>
      <c r="F911" s="94"/>
    </row>
    <row r="912" spans="1:6" x14ac:dyDescent="0.25">
      <c r="A912" s="86"/>
      <c r="B912" s="86"/>
      <c r="C912" s="88"/>
      <c r="D912" s="91"/>
      <c r="E912" s="92"/>
      <c r="F912" s="94"/>
    </row>
    <row r="913" spans="1:6" x14ac:dyDescent="0.25">
      <c r="A913" s="86"/>
      <c r="B913" s="86"/>
      <c r="C913" s="88"/>
      <c r="D913" s="91"/>
      <c r="E913" s="92"/>
      <c r="F913" s="94"/>
    </row>
    <row r="914" spans="1:6" x14ac:dyDescent="0.25">
      <c r="A914" s="86"/>
      <c r="B914" s="86"/>
      <c r="C914" s="88"/>
      <c r="D914" s="91"/>
      <c r="E914" s="92"/>
      <c r="F914" s="94"/>
    </row>
    <row r="915" spans="1:6" x14ac:dyDescent="0.25">
      <c r="A915" s="86"/>
      <c r="B915" s="86"/>
      <c r="C915" s="88"/>
      <c r="D915" s="91"/>
      <c r="E915" s="92"/>
      <c r="F915" s="94"/>
    </row>
    <row r="916" spans="1:6" x14ac:dyDescent="0.25">
      <c r="A916" s="86"/>
      <c r="B916" s="86"/>
      <c r="C916" s="88"/>
      <c r="D916" s="91"/>
      <c r="E916" s="92"/>
      <c r="F916" s="94"/>
    </row>
    <row r="917" spans="1:6" x14ac:dyDescent="0.25">
      <c r="A917" s="86"/>
      <c r="B917" s="86"/>
      <c r="C917" s="88"/>
      <c r="D917" s="91"/>
      <c r="E917" s="92"/>
      <c r="F917" s="94"/>
    </row>
    <row r="918" spans="1:6" x14ac:dyDescent="0.25">
      <c r="A918" s="86"/>
      <c r="B918" s="86"/>
      <c r="C918" s="88"/>
      <c r="D918" s="91"/>
      <c r="E918" s="92"/>
      <c r="F918" s="94"/>
    </row>
    <row r="919" spans="1:6" x14ac:dyDescent="0.25">
      <c r="A919" s="86"/>
      <c r="B919" s="86"/>
      <c r="C919" s="88"/>
      <c r="D919" s="91"/>
      <c r="E919" s="92"/>
      <c r="F919" s="94"/>
    </row>
    <row r="920" spans="1:6" x14ac:dyDescent="0.25">
      <c r="A920" s="86"/>
      <c r="B920" s="86"/>
      <c r="C920" s="88"/>
      <c r="D920" s="91"/>
      <c r="E920" s="92"/>
      <c r="F920" s="94"/>
    </row>
    <row r="921" spans="1:6" x14ac:dyDescent="0.25">
      <c r="A921" s="86"/>
      <c r="B921" s="86"/>
      <c r="C921" s="88"/>
      <c r="D921" s="91"/>
      <c r="E921" s="92"/>
      <c r="F921" s="94"/>
    </row>
    <row r="922" spans="1:6" x14ac:dyDescent="0.25">
      <c r="A922" s="86"/>
      <c r="B922" s="86"/>
      <c r="C922" s="88"/>
      <c r="D922" s="91"/>
      <c r="E922" s="92"/>
      <c r="F922" s="94"/>
    </row>
    <row r="923" spans="1:6" x14ac:dyDescent="0.25">
      <c r="A923" s="86"/>
      <c r="B923" s="86"/>
      <c r="C923" s="88"/>
      <c r="D923" s="91"/>
      <c r="E923" s="92"/>
      <c r="F923" s="94"/>
    </row>
    <row r="924" spans="1:6" x14ac:dyDescent="0.25">
      <c r="A924" s="86"/>
      <c r="B924" s="86"/>
      <c r="C924" s="88"/>
      <c r="D924" s="91"/>
      <c r="E924" s="92"/>
      <c r="F924" s="94"/>
    </row>
    <row r="925" spans="1:6" x14ac:dyDescent="0.25">
      <c r="A925" s="86"/>
      <c r="B925" s="86"/>
      <c r="C925" s="88"/>
      <c r="D925" s="91"/>
      <c r="E925" s="92"/>
      <c r="F925" s="94"/>
    </row>
    <row r="926" spans="1:6" x14ac:dyDescent="0.25">
      <c r="A926" s="86"/>
      <c r="B926" s="86"/>
      <c r="C926" s="88"/>
      <c r="D926" s="91"/>
      <c r="E926" s="92"/>
      <c r="F926" s="94"/>
    </row>
    <row r="927" spans="1:6" x14ac:dyDescent="0.25">
      <c r="A927" s="86"/>
      <c r="B927" s="86"/>
      <c r="C927" s="88"/>
      <c r="D927" s="91"/>
      <c r="E927" s="92"/>
      <c r="F927" s="94"/>
    </row>
    <row r="928" spans="1:6" x14ac:dyDescent="0.25">
      <c r="A928" s="86"/>
      <c r="B928" s="86"/>
      <c r="C928" s="88"/>
      <c r="D928" s="91"/>
      <c r="E928" s="92"/>
      <c r="F928" s="94"/>
    </row>
    <row r="929" spans="1:6" x14ac:dyDescent="0.25">
      <c r="A929" s="86"/>
      <c r="B929" s="86"/>
      <c r="C929" s="88"/>
      <c r="D929" s="91"/>
      <c r="E929" s="92"/>
      <c r="F929" s="94"/>
    </row>
    <row r="930" spans="1:6" x14ac:dyDescent="0.25">
      <c r="A930" s="86"/>
      <c r="B930" s="86"/>
      <c r="C930" s="88"/>
      <c r="D930" s="91"/>
      <c r="E930" s="92"/>
      <c r="F930" s="94"/>
    </row>
    <row r="931" spans="1:6" x14ac:dyDescent="0.25">
      <c r="A931" s="86"/>
      <c r="B931" s="86"/>
      <c r="C931" s="88"/>
      <c r="D931" s="91"/>
      <c r="E931" s="92"/>
      <c r="F931" s="94"/>
    </row>
    <row r="932" spans="1:6" x14ac:dyDescent="0.25">
      <c r="A932" s="86"/>
      <c r="B932" s="86"/>
      <c r="C932" s="88"/>
      <c r="D932" s="91"/>
      <c r="E932" s="92"/>
      <c r="F932" s="94"/>
    </row>
    <row r="933" spans="1:6" x14ac:dyDescent="0.25">
      <c r="A933" s="86"/>
      <c r="B933" s="86"/>
      <c r="C933" s="88"/>
      <c r="D933" s="91"/>
      <c r="E933" s="92"/>
      <c r="F933" s="94"/>
    </row>
    <row r="934" spans="1:6" x14ac:dyDescent="0.25">
      <c r="A934" s="86"/>
      <c r="B934" s="86"/>
      <c r="C934" s="88"/>
      <c r="D934" s="91"/>
      <c r="E934" s="92"/>
      <c r="F934" s="94"/>
    </row>
    <row r="935" spans="1:6" x14ac:dyDescent="0.25">
      <c r="A935" s="86"/>
      <c r="B935" s="86"/>
      <c r="C935" s="88"/>
      <c r="D935" s="91"/>
      <c r="E935" s="92"/>
      <c r="F935" s="94"/>
    </row>
    <row r="936" spans="1:6" x14ac:dyDescent="0.25">
      <c r="A936" s="86"/>
      <c r="B936" s="86"/>
      <c r="C936" s="88"/>
      <c r="D936" s="91"/>
      <c r="E936" s="92"/>
      <c r="F936" s="94"/>
    </row>
    <row r="937" spans="1:6" x14ac:dyDescent="0.25">
      <c r="A937" s="86"/>
      <c r="B937" s="86"/>
      <c r="C937" s="88"/>
      <c r="D937" s="91"/>
      <c r="E937" s="92"/>
      <c r="F937" s="94"/>
    </row>
    <row r="938" spans="1:6" x14ac:dyDescent="0.25">
      <c r="A938" s="86"/>
      <c r="B938" s="86"/>
      <c r="C938" s="88"/>
      <c r="D938" s="91"/>
      <c r="E938" s="92"/>
      <c r="F938" s="94"/>
    </row>
    <row r="939" spans="1:6" x14ac:dyDescent="0.25">
      <c r="A939" s="86"/>
      <c r="B939" s="86"/>
      <c r="C939" s="88"/>
      <c r="D939" s="91"/>
      <c r="E939" s="92"/>
      <c r="F939" s="94"/>
    </row>
    <row r="940" spans="1:6" x14ac:dyDescent="0.25">
      <c r="A940" s="86"/>
      <c r="B940" s="86"/>
      <c r="C940" s="88"/>
      <c r="D940" s="91"/>
      <c r="E940" s="92"/>
      <c r="F940" s="94"/>
    </row>
    <row r="941" spans="1:6" x14ac:dyDescent="0.25">
      <c r="A941" s="86"/>
      <c r="B941" s="86"/>
      <c r="C941" s="88"/>
      <c r="D941" s="91"/>
      <c r="E941" s="92"/>
      <c r="F941" s="94"/>
    </row>
    <row r="942" spans="1:6" x14ac:dyDescent="0.25">
      <c r="A942" s="86"/>
      <c r="B942" s="86"/>
      <c r="C942" s="88"/>
      <c r="D942" s="91"/>
      <c r="E942" s="92"/>
      <c r="F942" s="94"/>
    </row>
    <row r="943" spans="1:6" x14ac:dyDescent="0.25">
      <c r="A943" s="86"/>
      <c r="B943" s="86"/>
      <c r="C943" s="88"/>
      <c r="D943" s="91"/>
      <c r="E943" s="92"/>
      <c r="F943" s="94"/>
    </row>
    <row r="944" spans="1:6" x14ac:dyDescent="0.25">
      <c r="A944" s="86"/>
      <c r="B944" s="86"/>
      <c r="C944" s="88"/>
      <c r="D944" s="91"/>
      <c r="E944" s="92"/>
      <c r="F944" s="94"/>
    </row>
    <row r="945" spans="1:6" x14ac:dyDescent="0.25">
      <c r="A945" s="86"/>
      <c r="B945" s="86"/>
      <c r="C945" s="88"/>
      <c r="D945" s="91"/>
      <c r="E945" s="92"/>
      <c r="F945" s="94"/>
    </row>
    <row r="946" spans="1:6" x14ac:dyDescent="0.25">
      <c r="A946" s="86"/>
      <c r="B946" s="86"/>
      <c r="C946" s="88"/>
      <c r="D946" s="91"/>
      <c r="E946" s="92"/>
      <c r="F946" s="94"/>
    </row>
    <row r="947" spans="1:6" x14ac:dyDescent="0.25">
      <c r="A947" s="86"/>
      <c r="B947" s="86"/>
      <c r="C947" s="88"/>
      <c r="D947" s="91"/>
      <c r="E947" s="92"/>
      <c r="F947" s="94"/>
    </row>
    <row r="948" spans="1:6" x14ac:dyDescent="0.25">
      <c r="A948" s="86"/>
      <c r="B948" s="86"/>
      <c r="C948" s="88"/>
      <c r="D948" s="91"/>
      <c r="E948" s="92"/>
      <c r="F948" s="94"/>
    </row>
    <row r="949" spans="1:6" x14ac:dyDescent="0.25">
      <c r="A949" s="86"/>
      <c r="B949" s="86"/>
      <c r="C949" s="88"/>
      <c r="D949" s="91"/>
      <c r="E949" s="92"/>
      <c r="F949" s="94"/>
    </row>
    <row r="950" spans="1:6" x14ac:dyDescent="0.25">
      <c r="A950" s="86"/>
      <c r="B950" s="86"/>
      <c r="C950" s="88"/>
      <c r="D950" s="91"/>
      <c r="E950" s="92"/>
      <c r="F950" s="94"/>
    </row>
    <row r="951" spans="1:6" x14ac:dyDescent="0.25">
      <c r="A951" s="86"/>
      <c r="B951" s="86"/>
      <c r="C951" s="88"/>
      <c r="D951" s="91"/>
      <c r="E951" s="92"/>
      <c r="F951" s="94"/>
    </row>
    <row r="952" spans="1:6" x14ac:dyDescent="0.25">
      <c r="A952" s="86"/>
      <c r="B952" s="86"/>
      <c r="C952" s="88"/>
      <c r="D952" s="91"/>
      <c r="E952" s="92"/>
      <c r="F952" s="94"/>
    </row>
    <row r="953" spans="1:6" x14ac:dyDescent="0.25">
      <c r="A953" s="86"/>
      <c r="B953" s="86"/>
      <c r="C953" s="88"/>
      <c r="D953" s="91"/>
      <c r="E953" s="92"/>
      <c r="F953" s="94"/>
    </row>
    <row r="954" spans="1:6" x14ac:dyDescent="0.25">
      <c r="A954" s="86"/>
      <c r="B954" s="86"/>
      <c r="C954" s="88"/>
      <c r="D954" s="91"/>
      <c r="E954" s="92"/>
      <c r="F954" s="94"/>
    </row>
    <row r="955" spans="1:6" x14ac:dyDescent="0.25">
      <c r="A955" s="86"/>
      <c r="B955" s="86"/>
      <c r="C955" s="88"/>
      <c r="D955" s="91"/>
      <c r="E955" s="92"/>
      <c r="F955" s="94"/>
    </row>
    <row r="956" spans="1:6" x14ac:dyDescent="0.25">
      <c r="A956" s="86"/>
      <c r="B956" s="86"/>
      <c r="C956" s="88"/>
      <c r="D956" s="91"/>
      <c r="E956" s="92"/>
      <c r="F956" s="94"/>
    </row>
    <row r="957" spans="1:6" x14ac:dyDescent="0.25">
      <c r="A957" s="86"/>
      <c r="B957" s="86"/>
      <c r="C957" s="88"/>
      <c r="D957" s="91"/>
      <c r="E957" s="92"/>
      <c r="F957" s="94"/>
    </row>
    <row r="958" spans="1:6" x14ac:dyDescent="0.25">
      <c r="A958" s="86"/>
      <c r="B958" s="86"/>
      <c r="C958" s="88"/>
      <c r="D958" s="91"/>
      <c r="E958" s="92"/>
      <c r="F958" s="94"/>
    </row>
    <row r="959" spans="1:6" x14ac:dyDescent="0.25">
      <c r="A959" s="86"/>
      <c r="B959" s="86"/>
      <c r="C959" s="88"/>
      <c r="D959" s="91"/>
      <c r="E959" s="92"/>
      <c r="F959" s="94"/>
    </row>
    <row r="960" spans="1:6" x14ac:dyDescent="0.25">
      <c r="A960" s="86"/>
      <c r="B960" s="86"/>
      <c r="C960" s="88"/>
      <c r="D960" s="91"/>
      <c r="E960" s="92"/>
      <c r="F960" s="94"/>
    </row>
    <row r="961" spans="1:6" x14ac:dyDescent="0.25">
      <c r="A961" s="86"/>
      <c r="B961" s="86"/>
      <c r="C961" s="88"/>
      <c r="D961" s="91"/>
      <c r="E961" s="92"/>
      <c r="F961" s="94"/>
    </row>
    <row r="962" spans="1:6" x14ac:dyDescent="0.25">
      <c r="A962" s="86"/>
      <c r="B962" s="86"/>
      <c r="C962" s="88"/>
      <c r="D962" s="91"/>
      <c r="E962" s="92"/>
      <c r="F962" s="94"/>
    </row>
    <row r="963" spans="1:6" x14ac:dyDescent="0.25">
      <c r="A963" s="86"/>
      <c r="B963" s="86"/>
      <c r="C963" s="88"/>
      <c r="D963" s="91"/>
      <c r="E963" s="92"/>
      <c r="F963" s="94"/>
    </row>
    <row r="964" spans="1:6" x14ac:dyDescent="0.25">
      <c r="A964" s="86"/>
      <c r="B964" s="86"/>
      <c r="C964" s="88"/>
      <c r="D964" s="91"/>
      <c r="E964" s="92"/>
      <c r="F964" s="94"/>
    </row>
    <row r="965" spans="1:6" x14ac:dyDescent="0.25">
      <c r="A965" s="86"/>
      <c r="B965" s="86"/>
      <c r="C965" s="88"/>
      <c r="D965" s="91"/>
      <c r="E965" s="92"/>
      <c r="F965" s="94"/>
    </row>
    <row r="966" spans="1:6" x14ac:dyDescent="0.25">
      <c r="A966" s="86"/>
      <c r="B966" s="86"/>
      <c r="C966" s="88"/>
      <c r="D966" s="91"/>
      <c r="E966" s="92"/>
      <c r="F966" s="94"/>
    </row>
    <row r="967" spans="1:6" x14ac:dyDescent="0.25">
      <c r="A967" s="86"/>
      <c r="B967" s="86"/>
      <c r="C967" s="88"/>
      <c r="D967" s="91"/>
      <c r="E967" s="92"/>
      <c r="F967" s="94"/>
    </row>
    <row r="968" spans="1:6" x14ac:dyDescent="0.25">
      <c r="A968" s="86"/>
      <c r="B968" s="86"/>
      <c r="C968" s="88"/>
      <c r="D968" s="91"/>
      <c r="E968" s="92"/>
      <c r="F968" s="94"/>
    </row>
    <row r="969" spans="1:6" x14ac:dyDescent="0.25">
      <c r="A969" s="86"/>
      <c r="B969" s="86"/>
      <c r="C969" s="88"/>
      <c r="D969" s="91"/>
      <c r="E969" s="92"/>
      <c r="F969" s="94"/>
    </row>
    <row r="970" spans="1:6" x14ac:dyDescent="0.25">
      <c r="A970" s="86"/>
      <c r="B970" s="86"/>
      <c r="C970" s="88"/>
      <c r="D970" s="91"/>
      <c r="E970" s="92"/>
      <c r="F970" s="94"/>
    </row>
    <row r="971" spans="1:6" x14ac:dyDescent="0.25">
      <c r="A971" s="86"/>
      <c r="B971" s="86"/>
      <c r="C971" s="88"/>
      <c r="D971" s="91"/>
      <c r="E971" s="92"/>
      <c r="F971" s="94"/>
    </row>
    <row r="972" spans="1:6" x14ac:dyDescent="0.25">
      <c r="A972" s="86"/>
      <c r="B972" s="86"/>
      <c r="C972" s="88"/>
      <c r="D972" s="91"/>
      <c r="E972" s="92"/>
      <c r="F972" s="94"/>
    </row>
    <row r="973" spans="1:6" x14ac:dyDescent="0.25">
      <c r="A973" s="86"/>
      <c r="B973" s="86"/>
      <c r="C973" s="88"/>
      <c r="D973" s="91"/>
      <c r="E973" s="92"/>
      <c r="F973" s="94"/>
    </row>
    <row r="974" spans="1:6" x14ac:dyDescent="0.25">
      <c r="A974" s="86"/>
      <c r="B974" s="86"/>
      <c r="C974" s="88"/>
      <c r="D974" s="91"/>
      <c r="E974" s="92"/>
      <c r="F974" s="94"/>
    </row>
    <row r="975" spans="1:6" x14ac:dyDescent="0.25">
      <c r="A975" s="86"/>
      <c r="B975" s="86"/>
      <c r="C975" s="88"/>
      <c r="D975" s="91"/>
      <c r="E975" s="92"/>
      <c r="F975" s="94"/>
    </row>
    <row r="976" spans="1:6" x14ac:dyDescent="0.25">
      <c r="A976" s="86"/>
      <c r="B976" s="86"/>
      <c r="C976" s="88"/>
      <c r="D976" s="91"/>
      <c r="E976" s="92"/>
      <c r="F976" s="94"/>
    </row>
    <row r="977" spans="1:6" x14ac:dyDescent="0.25">
      <c r="A977" s="86"/>
      <c r="B977" s="86"/>
      <c r="C977" s="88"/>
      <c r="D977" s="91"/>
      <c r="E977" s="92"/>
      <c r="F977" s="94"/>
    </row>
    <row r="978" spans="1:6" x14ac:dyDescent="0.25">
      <c r="A978" s="86"/>
      <c r="B978" s="86"/>
      <c r="C978" s="88"/>
      <c r="D978" s="91"/>
      <c r="E978" s="92"/>
      <c r="F978" s="94"/>
    </row>
    <row r="979" spans="1:6" x14ac:dyDescent="0.25">
      <c r="A979" s="86"/>
      <c r="B979" s="86"/>
      <c r="C979" s="88"/>
      <c r="D979" s="91"/>
      <c r="E979" s="92"/>
      <c r="F979" s="94"/>
    </row>
    <row r="980" spans="1:6" x14ac:dyDescent="0.25">
      <c r="A980" s="86"/>
      <c r="B980" s="86"/>
      <c r="C980" s="88"/>
      <c r="D980" s="91"/>
      <c r="E980" s="92"/>
      <c r="F980" s="94"/>
    </row>
    <row r="981" spans="1:6" x14ac:dyDescent="0.25">
      <c r="A981" s="86"/>
      <c r="B981" s="86"/>
      <c r="C981" s="88"/>
      <c r="D981" s="91"/>
      <c r="E981" s="92"/>
      <c r="F981" s="94"/>
    </row>
    <row r="982" spans="1:6" x14ac:dyDescent="0.25">
      <c r="A982" s="86"/>
      <c r="B982" s="86"/>
      <c r="C982" s="88"/>
      <c r="D982" s="91"/>
      <c r="E982" s="92"/>
      <c r="F982" s="94"/>
    </row>
    <row r="983" spans="1:6" x14ac:dyDescent="0.25">
      <c r="A983" s="86"/>
      <c r="B983" s="86"/>
      <c r="C983" s="88"/>
      <c r="D983" s="91"/>
      <c r="E983" s="92"/>
      <c r="F983" s="94"/>
    </row>
    <row r="984" spans="1:6" x14ac:dyDescent="0.25">
      <c r="A984" s="86"/>
      <c r="B984" s="86"/>
      <c r="C984" s="88"/>
      <c r="D984" s="91"/>
      <c r="E984" s="92"/>
      <c r="F984" s="94"/>
    </row>
    <row r="985" spans="1:6" x14ac:dyDescent="0.25">
      <c r="A985" s="86"/>
      <c r="B985" s="86"/>
      <c r="C985" s="88"/>
      <c r="D985" s="91"/>
      <c r="E985" s="92"/>
      <c r="F985" s="94"/>
    </row>
    <row r="986" spans="1:6" x14ac:dyDescent="0.25">
      <c r="A986" s="86"/>
      <c r="B986" s="86"/>
      <c r="C986" s="88"/>
      <c r="D986" s="91"/>
      <c r="E986" s="92"/>
      <c r="F986" s="94"/>
    </row>
    <row r="987" spans="1:6" x14ac:dyDescent="0.25">
      <c r="A987" s="86"/>
      <c r="B987" s="86"/>
      <c r="C987" s="88"/>
      <c r="D987" s="91"/>
      <c r="E987" s="92"/>
      <c r="F987" s="94"/>
    </row>
    <row r="988" spans="1:6" x14ac:dyDescent="0.25">
      <c r="A988" s="86"/>
      <c r="B988" s="86"/>
      <c r="C988" s="88"/>
      <c r="D988" s="91"/>
      <c r="E988" s="92"/>
      <c r="F988" s="94"/>
    </row>
    <row r="989" spans="1:6" x14ac:dyDescent="0.25">
      <c r="A989" s="86"/>
      <c r="B989" s="86"/>
      <c r="C989" s="88"/>
      <c r="D989" s="91"/>
      <c r="E989" s="92"/>
      <c r="F989" s="94"/>
    </row>
    <row r="990" spans="1:6" x14ac:dyDescent="0.25">
      <c r="A990" s="86"/>
      <c r="B990" s="86"/>
      <c r="C990" s="88"/>
      <c r="D990" s="91"/>
      <c r="E990" s="92"/>
      <c r="F990" s="94"/>
    </row>
    <row r="991" spans="1:6" x14ac:dyDescent="0.25">
      <c r="A991" s="86"/>
      <c r="B991" s="86"/>
      <c r="C991" s="88"/>
      <c r="D991" s="91"/>
      <c r="E991" s="92"/>
      <c r="F991" s="94"/>
    </row>
    <row r="992" spans="1:6" x14ac:dyDescent="0.25">
      <c r="A992" s="86"/>
      <c r="B992" s="86"/>
      <c r="C992" s="88"/>
      <c r="D992" s="91"/>
      <c r="E992" s="92"/>
      <c r="F992" s="94"/>
    </row>
    <row r="993" spans="1:6" x14ac:dyDescent="0.25">
      <c r="A993" s="86"/>
      <c r="B993" s="86"/>
      <c r="C993" s="88"/>
      <c r="D993" s="91"/>
      <c r="E993" s="92"/>
      <c r="F993" s="94"/>
    </row>
    <row r="994" spans="1:6" x14ac:dyDescent="0.25">
      <c r="A994" s="86"/>
      <c r="B994" s="86"/>
      <c r="C994" s="88"/>
      <c r="D994" s="91"/>
      <c r="E994" s="92"/>
      <c r="F994" s="94"/>
    </row>
    <row r="995" spans="1:6" x14ac:dyDescent="0.25">
      <c r="A995" s="86"/>
      <c r="B995" s="86"/>
      <c r="C995" s="88"/>
      <c r="D995" s="91"/>
      <c r="E995" s="92"/>
      <c r="F995" s="94"/>
    </row>
    <row r="996" spans="1:6" x14ac:dyDescent="0.25">
      <c r="A996" s="86"/>
      <c r="B996" s="86"/>
      <c r="C996" s="88"/>
      <c r="D996" s="91"/>
      <c r="E996" s="92"/>
      <c r="F996" s="94"/>
    </row>
    <row r="997" spans="1:6" x14ac:dyDescent="0.25">
      <c r="A997" s="86"/>
      <c r="B997" s="86"/>
      <c r="C997" s="88"/>
      <c r="D997" s="91"/>
      <c r="E997" s="92"/>
      <c r="F997" s="94"/>
    </row>
    <row r="998" spans="1:6" x14ac:dyDescent="0.25">
      <c r="A998" s="86"/>
      <c r="B998" s="86"/>
      <c r="C998" s="88"/>
      <c r="D998" s="91"/>
      <c r="E998" s="92"/>
      <c r="F998" s="94"/>
    </row>
    <row r="999" spans="1:6" x14ac:dyDescent="0.25">
      <c r="A999" s="86"/>
      <c r="B999" s="86"/>
      <c r="C999" s="88"/>
      <c r="D999" s="91"/>
      <c r="E999" s="92"/>
      <c r="F999" s="94"/>
    </row>
    <row r="1000" spans="1:6" x14ac:dyDescent="0.25">
      <c r="A1000" s="86"/>
      <c r="B1000" s="86"/>
      <c r="C1000" s="88"/>
      <c r="D1000" s="91"/>
      <c r="E1000" s="92"/>
      <c r="F1000" s="94"/>
    </row>
    <row r="1001" spans="1:6" x14ac:dyDescent="0.25">
      <c r="A1001" s="86"/>
      <c r="B1001" s="86"/>
      <c r="C1001" s="88"/>
      <c r="D1001" s="91"/>
      <c r="E1001" s="92"/>
      <c r="F1001" s="94"/>
    </row>
    <row r="1002" spans="1:6" x14ac:dyDescent="0.25">
      <c r="A1002" s="86"/>
      <c r="B1002" s="86"/>
      <c r="C1002" s="88"/>
      <c r="D1002" s="91"/>
      <c r="E1002" s="92"/>
      <c r="F1002" s="94"/>
    </row>
    <row r="1003" spans="1:6" x14ac:dyDescent="0.25">
      <c r="A1003" s="86"/>
      <c r="B1003" s="86"/>
      <c r="C1003" s="88"/>
      <c r="D1003" s="91"/>
      <c r="E1003" s="92"/>
      <c r="F1003" s="94"/>
    </row>
    <row r="1004" spans="1:6" x14ac:dyDescent="0.25">
      <c r="A1004" s="86"/>
      <c r="B1004" s="86"/>
      <c r="C1004" s="88"/>
      <c r="D1004" s="91"/>
      <c r="E1004" s="92"/>
      <c r="F1004" s="94"/>
    </row>
    <row r="1005" spans="1:6" x14ac:dyDescent="0.25">
      <c r="A1005" s="86"/>
      <c r="B1005" s="86"/>
      <c r="C1005" s="88"/>
      <c r="D1005" s="91"/>
      <c r="E1005" s="92"/>
      <c r="F1005" s="94"/>
    </row>
    <row r="1006" spans="1:6" x14ac:dyDescent="0.25">
      <c r="A1006" s="86"/>
      <c r="B1006" s="86"/>
      <c r="C1006" s="88"/>
      <c r="D1006" s="91"/>
      <c r="E1006" s="92"/>
      <c r="F1006" s="94"/>
    </row>
    <row r="1007" spans="1:6" x14ac:dyDescent="0.25">
      <c r="A1007" s="86"/>
      <c r="B1007" s="86"/>
      <c r="C1007" s="88"/>
      <c r="D1007" s="91"/>
      <c r="E1007" s="92"/>
      <c r="F1007" s="94"/>
    </row>
    <row r="1008" spans="1:6" x14ac:dyDescent="0.25">
      <c r="A1008" s="86"/>
      <c r="B1008" s="86"/>
      <c r="C1008" s="88"/>
      <c r="D1008" s="91"/>
      <c r="E1008" s="92"/>
      <c r="F1008" s="94"/>
    </row>
    <row r="1009" spans="1:6" x14ac:dyDescent="0.25">
      <c r="A1009" s="86"/>
      <c r="B1009" s="86"/>
      <c r="C1009" s="88"/>
      <c r="D1009" s="91"/>
      <c r="E1009" s="92"/>
      <c r="F1009" s="94"/>
    </row>
    <row r="1010" spans="1:6" x14ac:dyDescent="0.25">
      <c r="A1010" s="86"/>
      <c r="B1010" s="86"/>
      <c r="C1010" s="88"/>
      <c r="D1010" s="91"/>
      <c r="E1010" s="92"/>
      <c r="F1010" s="94"/>
    </row>
    <row r="1011" spans="1:6" x14ac:dyDescent="0.25">
      <c r="A1011" s="86"/>
      <c r="B1011" s="86"/>
      <c r="C1011" s="88"/>
      <c r="D1011" s="91"/>
      <c r="E1011" s="92"/>
      <c r="F1011" s="94"/>
    </row>
    <row r="1012" spans="1:6" x14ac:dyDescent="0.25">
      <c r="A1012" s="86"/>
      <c r="B1012" s="86"/>
      <c r="C1012" s="88"/>
      <c r="D1012" s="91"/>
      <c r="E1012" s="92"/>
      <c r="F1012" s="94"/>
    </row>
    <row r="1013" spans="1:6" x14ac:dyDescent="0.25">
      <c r="A1013" s="86"/>
      <c r="B1013" s="86"/>
      <c r="C1013" s="88"/>
      <c r="D1013" s="91"/>
      <c r="E1013" s="92"/>
      <c r="F1013" s="94"/>
    </row>
    <row r="1014" spans="1:6" x14ac:dyDescent="0.25">
      <c r="A1014" s="86"/>
      <c r="B1014" s="86"/>
      <c r="C1014" s="88"/>
      <c r="D1014" s="91"/>
      <c r="E1014" s="92"/>
      <c r="F1014" s="94"/>
    </row>
    <row r="1015" spans="1:6" x14ac:dyDescent="0.25">
      <c r="A1015" s="86"/>
      <c r="B1015" s="86"/>
      <c r="C1015" s="88"/>
      <c r="D1015" s="91"/>
      <c r="E1015" s="92"/>
      <c r="F1015" s="94"/>
    </row>
    <row r="1016" spans="1:6" x14ac:dyDescent="0.25">
      <c r="A1016" s="86"/>
      <c r="B1016" s="86"/>
      <c r="C1016" s="88"/>
      <c r="D1016" s="91"/>
      <c r="E1016" s="92"/>
      <c r="F1016" s="94"/>
    </row>
    <row r="1017" spans="1:6" x14ac:dyDescent="0.25">
      <c r="A1017" s="86"/>
      <c r="B1017" s="86"/>
      <c r="C1017" s="88"/>
      <c r="D1017" s="91"/>
      <c r="E1017" s="92"/>
      <c r="F1017" s="9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_SCom_CustClrTrim() R'!A1" display="'DigColPs_SCom_CustClrTrim() R'!A1"/>
  </hyperlink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4.85546875" bestFit="1" customWidth="1"/>
    <col min="3" max="8" width="3.28515625" bestFit="1" customWidth="1"/>
    <col min="9" max="11" width="3.28515625" customWidth="1"/>
    <col min="12" max="16" width="7.28515625" bestFit="1" customWidth="1"/>
    <col min="17" max="18" width="11" bestFit="1" customWidth="1"/>
    <col min="19" max="19" width="7.28515625" bestFit="1" customWidth="1"/>
    <col min="20" max="22" width="7.28515625" customWidth="1"/>
    <col min="23" max="24" width="7.2851562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79" t="s">
        <v>401</v>
      </c>
      <c r="B1" s="280"/>
      <c r="C1" s="45" t="s">
        <v>160</v>
      </c>
      <c r="D1" s="58" t="s">
        <v>159</v>
      </c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43"/>
      <c r="Z1" s="43"/>
      <c r="AA1" s="44"/>
    </row>
    <row r="2" spans="1:27" ht="60" customHeight="1" x14ac:dyDescent="0.25">
      <c r="A2" s="281" t="s">
        <v>718</v>
      </c>
      <c r="B2" s="282"/>
      <c r="C2" s="49" t="s">
        <v>151</v>
      </c>
      <c r="D2" s="26" t="s">
        <v>151</v>
      </c>
      <c r="E2" s="26" t="s">
        <v>151</v>
      </c>
      <c r="F2" s="26" t="s">
        <v>151</v>
      </c>
      <c r="G2" s="26" t="s">
        <v>151</v>
      </c>
      <c r="H2" s="26" t="s">
        <v>151</v>
      </c>
      <c r="I2" s="26" t="s">
        <v>151</v>
      </c>
      <c r="J2" s="26" t="s">
        <v>151</v>
      </c>
      <c r="K2" s="26" t="s">
        <v>151</v>
      </c>
      <c r="L2" s="27" t="s">
        <v>152</v>
      </c>
      <c r="M2" s="27" t="s">
        <v>152</v>
      </c>
      <c r="N2" s="28" t="s">
        <v>153</v>
      </c>
      <c r="O2" s="28" t="s">
        <v>153</v>
      </c>
      <c r="P2" s="28" t="s">
        <v>153</v>
      </c>
      <c r="Q2" s="28" t="s">
        <v>153</v>
      </c>
      <c r="R2" s="28" t="s">
        <v>153</v>
      </c>
      <c r="S2" s="28" t="s">
        <v>153</v>
      </c>
      <c r="T2" s="28" t="s">
        <v>153</v>
      </c>
      <c r="U2" s="28" t="s">
        <v>153</v>
      </c>
      <c r="V2" s="28" t="s">
        <v>153</v>
      </c>
      <c r="W2" s="28" t="s">
        <v>154</v>
      </c>
      <c r="X2" s="28" t="s">
        <v>154</v>
      </c>
      <c r="Y2" s="29" t="s">
        <v>21</v>
      </c>
      <c r="Z2" s="29" t="s">
        <v>156</v>
      </c>
      <c r="AA2" s="30" t="s">
        <v>158</v>
      </c>
    </row>
    <row r="3" spans="1:27" ht="165" x14ac:dyDescent="0.25">
      <c r="A3" s="31" t="s">
        <v>148</v>
      </c>
      <c r="B3" s="32" t="s">
        <v>149</v>
      </c>
      <c r="C3" s="34" t="s">
        <v>258</v>
      </c>
      <c r="D3" s="34" t="s">
        <v>274</v>
      </c>
      <c r="E3" s="34" t="s">
        <v>259</v>
      </c>
      <c r="F3" s="34" t="s">
        <v>287</v>
      </c>
      <c r="G3" s="34" t="s">
        <v>288</v>
      </c>
      <c r="H3" s="34" t="s">
        <v>289</v>
      </c>
      <c r="I3" s="34" t="s">
        <v>123</v>
      </c>
      <c r="J3" s="34" t="s">
        <v>124</v>
      </c>
      <c r="K3" s="34" t="s">
        <v>125</v>
      </c>
      <c r="L3" s="34" t="s">
        <v>56</v>
      </c>
      <c r="M3" s="34" t="s">
        <v>55</v>
      </c>
      <c r="N3" s="35" t="s">
        <v>258</v>
      </c>
      <c r="O3" s="35" t="s">
        <v>274</v>
      </c>
      <c r="P3" s="35" t="s">
        <v>259</v>
      </c>
      <c r="Q3" s="35" t="s">
        <v>287</v>
      </c>
      <c r="R3" s="35" t="s">
        <v>288</v>
      </c>
      <c r="S3" s="35" t="s">
        <v>289</v>
      </c>
      <c r="T3" s="35" t="s">
        <v>123</v>
      </c>
      <c r="U3" s="35" t="s">
        <v>124</v>
      </c>
      <c r="V3" s="35" t="s">
        <v>125</v>
      </c>
      <c r="W3" s="35" t="s">
        <v>56</v>
      </c>
      <c r="X3" s="35" t="s">
        <v>55</v>
      </c>
      <c r="Y3" s="29" t="s">
        <v>155</v>
      </c>
      <c r="Z3" s="29" t="s">
        <v>157</v>
      </c>
      <c r="AA3" s="30"/>
    </row>
    <row r="4" spans="1:27" ht="15.75" thickBot="1" x14ac:dyDescent="0.3">
      <c r="A4" s="39">
        <v>1</v>
      </c>
      <c r="B4" s="47" t="s">
        <v>338</v>
      </c>
      <c r="C4" s="40" t="s">
        <v>159</v>
      </c>
      <c r="D4" s="40" t="s">
        <v>159</v>
      </c>
      <c r="E4" s="40" t="s">
        <v>159</v>
      </c>
      <c r="F4" s="40" t="s">
        <v>159</v>
      </c>
      <c r="G4" s="40" t="s">
        <v>159</v>
      </c>
      <c r="H4" s="40" t="s">
        <v>159</v>
      </c>
      <c r="I4" s="40" t="s">
        <v>159</v>
      </c>
      <c r="J4" s="40" t="s">
        <v>159</v>
      </c>
      <c r="K4" s="40" t="s">
        <v>159</v>
      </c>
      <c r="L4" s="40" t="s">
        <v>159</v>
      </c>
      <c r="M4" s="40" t="s">
        <v>159</v>
      </c>
      <c r="N4" s="47">
        <v>0</v>
      </c>
      <c r="O4" s="47">
        <v>4488</v>
      </c>
      <c r="P4" s="47">
        <v>0</v>
      </c>
      <c r="Q4" s="47">
        <v>4294967295</v>
      </c>
      <c r="R4" s="47">
        <v>4294967295</v>
      </c>
      <c r="S4" s="47">
        <v>61047</v>
      </c>
      <c r="T4" s="47">
        <v>504</v>
      </c>
      <c r="U4" s="47">
        <v>1</v>
      </c>
      <c r="V4" s="47">
        <v>1</v>
      </c>
      <c r="W4" s="47">
        <v>1</v>
      </c>
      <c r="X4" s="47">
        <v>1</v>
      </c>
      <c r="Y4" s="51" t="s">
        <v>159</v>
      </c>
      <c r="Z4" s="40"/>
      <c r="AA4" s="41"/>
    </row>
    <row r="5" spans="1:27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</sheetData>
  <sheetProtection sheet="1" objects="1" scenarios="1"/>
  <mergeCells count="2">
    <mergeCell ref="A1:B1"/>
    <mergeCell ref="A2:B2"/>
  </mergeCells>
  <hyperlinks>
    <hyperlink ref="A1" location="'DigColPs_SCom_CustClrTrim'!A1" display="'DigColPs_SCom_CustClrTrim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202" t="s">
        <v>43</v>
      </c>
    </row>
    <row r="16" spans="1:6" x14ac:dyDescent="0.25">
      <c r="A16" s="211" t="s">
        <v>44</v>
      </c>
      <c r="B16" s="212" t="s">
        <v>45</v>
      </c>
      <c r="C16" s="213" t="s">
        <v>46</v>
      </c>
      <c r="D16" s="215" t="s">
        <v>47</v>
      </c>
      <c r="E16" s="214" t="s">
        <v>48</v>
      </c>
      <c r="F16" s="14" t="s">
        <v>44</v>
      </c>
    </row>
    <row r="17" spans="1:6" x14ac:dyDescent="0.25">
      <c r="A17" s="52" t="s">
        <v>403</v>
      </c>
      <c r="B17" s="15" t="s">
        <v>718</v>
      </c>
      <c r="C17" s="16">
        <v>21</v>
      </c>
      <c r="D17" s="17" t="s">
        <v>566</v>
      </c>
      <c r="E17" s="18" t="s">
        <v>380</v>
      </c>
      <c r="F17" s="19" t="s">
        <v>272</v>
      </c>
    </row>
    <row r="18" spans="1:6" x14ac:dyDescent="0.25">
      <c r="A18" s="52" t="s">
        <v>403</v>
      </c>
      <c r="B18" s="15" t="s">
        <v>193</v>
      </c>
      <c r="C18" s="16">
        <v>8</v>
      </c>
      <c r="D18" s="17" t="s">
        <v>567</v>
      </c>
      <c r="E18" s="18" t="s">
        <v>381</v>
      </c>
      <c r="F18" s="19" t="s">
        <v>273</v>
      </c>
    </row>
    <row r="19" spans="1:6" x14ac:dyDescent="0.25">
      <c r="A19" s="52" t="s">
        <v>403</v>
      </c>
      <c r="B19" s="15" t="s">
        <v>99</v>
      </c>
      <c r="C19" s="16">
        <v>2</v>
      </c>
      <c r="D19" s="17" t="s">
        <v>285</v>
      </c>
      <c r="E19" s="18" t="s">
        <v>382</v>
      </c>
      <c r="F19" s="19" t="s">
        <v>425</v>
      </c>
    </row>
    <row r="20" spans="1:6" x14ac:dyDescent="0.25">
      <c r="A20" s="76"/>
      <c r="B20" s="15"/>
      <c r="C20" s="16"/>
      <c r="D20" s="17" t="s">
        <v>286</v>
      </c>
      <c r="E20" s="18" t="s">
        <v>424</v>
      </c>
      <c r="F20" s="19"/>
    </row>
    <row r="21" spans="1:6" x14ac:dyDescent="0.25">
      <c r="A21" s="15"/>
      <c r="B21" s="15"/>
      <c r="C21" s="16"/>
      <c r="D21" s="17" t="s">
        <v>380</v>
      </c>
      <c r="E21" s="18"/>
      <c r="F21" s="19"/>
    </row>
    <row r="22" spans="1:6" x14ac:dyDescent="0.25">
      <c r="A22" s="15"/>
      <c r="B22" s="15"/>
      <c r="C22" s="16"/>
      <c r="D22" s="17" t="s">
        <v>381</v>
      </c>
      <c r="E22" s="18"/>
      <c r="F22" s="19"/>
    </row>
    <row r="23" spans="1:6" x14ac:dyDescent="0.25">
      <c r="A23" s="15"/>
      <c r="B23" s="15"/>
      <c r="C23" s="16"/>
      <c r="D23" s="17" t="s">
        <v>382</v>
      </c>
      <c r="E23" s="18"/>
      <c r="F23" s="19"/>
    </row>
    <row r="24" spans="1:6" x14ac:dyDescent="0.25">
      <c r="A24" s="15"/>
      <c r="B24" s="15"/>
      <c r="C24" s="16"/>
      <c r="D24" s="17" t="s">
        <v>422</v>
      </c>
      <c r="E24" s="18"/>
      <c r="F24" s="19"/>
    </row>
    <row r="25" spans="1:6" x14ac:dyDescent="0.25">
      <c r="A25" s="15"/>
      <c r="B25" s="15"/>
      <c r="C25" s="16"/>
      <c r="D25" s="17" t="s">
        <v>274</v>
      </c>
      <c r="E25" s="18"/>
      <c r="F25" s="19"/>
    </row>
    <row r="26" spans="1:6" x14ac:dyDescent="0.25">
      <c r="A26" s="15"/>
      <c r="B26" s="15"/>
      <c r="C26" s="16"/>
      <c r="D26" s="17" t="s">
        <v>424</v>
      </c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85"/>
      <c r="B318" s="85"/>
      <c r="C318" s="87"/>
      <c r="D318" s="89"/>
      <c r="E318" s="90"/>
      <c r="F318" s="93"/>
    </row>
    <row r="319" spans="1:6" x14ac:dyDescent="0.25">
      <c r="A319" s="85"/>
      <c r="B319" s="85"/>
      <c r="C319" s="87"/>
      <c r="D319" s="89"/>
      <c r="E319" s="90"/>
      <c r="F319" s="93"/>
    </row>
    <row r="320" spans="1:6" x14ac:dyDescent="0.25">
      <c r="A320" s="85"/>
      <c r="B320" s="85"/>
      <c r="C320" s="87"/>
      <c r="D320" s="89"/>
      <c r="E320" s="90"/>
      <c r="F320" s="93"/>
    </row>
    <row r="321" spans="1:6" x14ac:dyDescent="0.25">
      <c r="A321" s="85"/>
      <c r="B321" s="85"/>
      <c r="C321" s="87"/>
      <c r="D321" s="89"/>
      <c r="E321" s="90"/>
      <c r="F321" s="93"/>
    </row>
    <row r="322" spans="1:6" x14ac:dyDescent="0.25">
      <c r="A322" s="85"/>
      <c r="B322" s="85"/>
      <c r="C322" s="87"/>
      <c r="D322" s="89"/>
      <c r="E322" s="90"/>
      <c r="F322" s="93"/>
    </row>
    <row r="323" spans="1:6" x14ac:dyDescent="0.25">
      <c r="A323" s="85"/>
      <c r="B323" s="85"/>
      <c r="C323" s="87"/>
      <c r="D323" s="89"/>
      <c r="E323" s="90"/>
      <c r="F323" s="93"/>
    </row>
    <row r="324" spans="1:6" x14ac:dyDescent="0.25">
      <c r="A324" s="85"/>
      <c r="B324" s="85"/>
      <c r="C324" s="87"/>
      <c r="D324" s="89"/>
      <c r="E324" s="90"/>
      <c r="F324" s="93"/>
    </row>
    <row r="325" spans="1:6" x14ac:dyDescent="0.25">
      <c r="A325" s="85"/>
      <c r="B325" s="85"/>
      <c r="C325" s="87"/>
      <c r="D325" s="89"/>
      <c r="E325" s="90"/>
      <c r="F325" s="93"/>
    </row>
    <row r="326" spans="1:6" x14ac:dyDescent="0.25">
      <c r="A326" s="85"/>
      <c r="B326" s="85"/>
      <c r="C326" s="87"/>
      <c r="D326" s="89"/>
      <c r="E326" s="90"/>
      <c r="F326" s="93"/>
    </row>
    <row r="327" spans="1:6" x14ac:dyDescent="0.25">
      <c r="A327" s="85"/>
      <c r="B327" s="85"/>
      <c r="C327" s="87"/>
      <c r="D327" s="89"/>
      <c r="E327" s="90"/>
      <c r="F327" s="93"/>
    </row>
    <row r="328" spans="1:6" x14ac:dyDescent="0.25">
      <c r="A328" s="86"/>
      <c r="B328" s="86"/>
      <c r="C328" s="88"/>
      <c r="D328" s="91"/>
      <c r="E328" s="92"/>
      <c r="F328" s="94"/>
    </row>
    <row r="329" spans="1:6" x14ac:dyDescent="0.25">
      <c r="A329" s="86"/>
      <c r="B329" s="86"/>
      <c r="C329" s="88"/>
      <c r="D329" s="91"/>
      <c r="E329" s="92"/>
      <c r="F329" s="94"/>
    </row>
    <row r="330" spans="1:6" x14ac:dyDescent="0.25">
      <c r="A330" s="86"/>
      <c r="B330" s="86"/>
      <c r="C330" s="88"/>
      <c r="D330" s="91"/>
      <c r="E330" s="92"/>
      <c r="F330" s="94"/>
    </row>
    <row r="331" spans="1:6" x14ac:dyDescent="0.25">
      <c r="A331" s="86"/>
      <c r="B331" s="86"/>
      <c r="C331" s="88"/>
      <c r="D331" s="91"/>
      <c r="E331" s="92"/>
      <c r="F331" s="94"/>
    </row>
    <row r="332" spans="1:6" x14ac:dyDescent="0.25">
      <c r="A332" s="86"/>
      <c r="B332" s="86"/>
      <c r="C332" s="88"/>
      <c r="D332" s="91"/>
      <c r="E332" s="92"/>
      <c r="F332" s="94"/>
    </row>
    <row r="333" spans="1:6" x14ac:dyDescent="0.25">
      <c r="A333" s="86"/>
      <c r="B333" s="86"/>
      <c r="C333" s="88"/>
      <c r="D333" s="91"/>
      <c r="E333" s="92"/>
      <c r="F333" s="94"/>
    </row>
    <row r="334" spans="1:6" x14ac:dyDescent="0.25">
      <c r="A334" s="86"/>
      <c r="B334" s="86"/>
      <c r="C334" s="88"/>
      <c r="D334" s="91"/>
      <c r="E334" s="92"/>
      <c r="F334" s="94"/>
    </row>
    <row r="335" spans="1:6" x14ac:dyDescent="0.25">
      <c r="A335" s="86"/>
      <c r="B335" s="86"/>
      <c r="C335" s="88"/>
      <c r="D335" s="91"/>
      <c r="E335" s="92"/>
      <c r="F335" s="94"/>
    </row>
    <row r="336" spans="1:6" x14ac:dyDescent="0.25">
      <c r="A336" s="86"/>
      <c r="B336" s="86"/>
      <c r="C336" s="88"/>
      <c r="D336" s="91"/>
      <c r="E336" s="92"/>
      <c r="F336" s="94"/>
    </row>
    <row r="337" spans="1:6" x14ac:dyDescent="0.25">
      <c r="A337" s="86"/>
      <c r="B337" s="86"/>
      <c r="C337" s="88"/>
      <c r="D337" s="91"/>
      <c r="E337" s="92"/>
      <c r="F337" s="94"/>
    </row>
    <row r="338" spans="1:6" x14ac:dyDescent="0.25">
      <c r="A338" s="86"/>
      <c r="B338" s="86"/>
      <c r="C338" s="88"/>
      <c r="D338" s="91"/>
      <c r="E338" s="92"/>
      <c r="F338" s="94"/>
    </row>
    <row r="339" spans="1:6" x14ac:dyDescent="0.25">
      <c r="A339" s="86"/>
      <c r="B339" s="86"/>
      <c r="C339" s="88"/>
      <c r="D339" s="91"/>
      <c r="E339" s="92"/>
      <c r="F339" s="94"/>
    </row>
    <row r="340" spans="1:6" x14ac:dyDescent="0.25">
      <c r="A340" s="86"/>
      <c r="B340" s="86"/>
      <c r="C340" s="88"/>
      <c r="D340" s="91"/>
      <c r="E340" s="92"/>
      <c r="F340" s="94"/>
    </row>
    <row r="341" spans="1:6" x14ac:dyDescent="0.25">
      <c r="A341" s="86"/>
      <c r="B341" s="86"/>
      <c r="C341" s="88"/>
      <c r="D341" s="91"/>
      <c r="E341" s="92"/>
      <c r="F341" s="94"/>
    </row>
    <row r="342" spans="1:6" x14ac:dyDescent="0.25">
      <c r="A342" s="86"/>
      <c r="B342" s="86"/>
      <c r="C342" s="88"/>
      <c r="D342" s="91"/>
      <c r="E342" s="92"/>
      <c r="F342" s="94"/>
    </row>
    <row r="343" spans="1:6" x14ac:dyDescent="0.25">
      <c r="A343" s="86"/>
      <c r="B343" s="86"/>
      <c r="C343" s="88"/>
      <c r="D343" s="91"/>
      <c r="E343" s="92"/>
      <c r="F343" s="94"/>
    </row>
    <row r="344" spans="1:6" x14ac:dyDescent="0.25">
      <c r="A344" s="86"/>
      <c r="B344" s="86"/>
      <c r="C344" s="88"/>
      <c r="D344" s="91"/>
      <c r="E344" s="92"/>
      <c r="F344" s="94"/>
    </row>
    <row r="345" spans="1:6" x14ac:dyDescent="0.25">
      <c r="A345" s="86"/>
      <c r="B345" s="86"/>
      <c r="C345" s="88"/>
      <c r="D345" s="91"/>
      <c r="E345" s="92"/>
      <c r="F345" s="94"/>
    </row>
    <row r="346" spans="1:6" x14ac:dyDescent="0.25">
      <c r="A346" s="86"/>
      <c r="B346" s="86"/>
      <c r="C346" s="88"/>
      <c r="D346" s="91"/>
      <c r="E346" s="92"/>
      <c r="F346" s="94"/>
    </row>
    <row r="347" spans="1:6" x14ac:dyDescent="0.25">
      <c r="A347" s="86"/>
      <c r="B347" s="86"/>
      <c r="C347" s="88"/>
      <c r="D347" s="91"/>
      <c r="E347" s="92"/>
      <c r="F347" s="94"/>
    </row>
    <row r="348" spans="1:6" x14ac:dyDescent="0.25">
      <c r="A348" s="86"/>
      <c r="B348" s="86"/>
      <c r="C348" s="88"/>
      <c r="D348" s="91"/>
      <c r="E348" s="92"/>
      <c r="F348" s="94"/>
    </row>
    <row r="349" spans="1:6" x14ac:dyDescent="0.25">
      <c r="A349" s="86"/>
      <c r="B349" s="86"/>
      <c r="C349" s="88"/>
      <c r="D349" s="91"/>
      <c r="E349" s="92"/>
      <c r="F349" s="94"/>
    </row>
    <row r="350" spans="1:6" x14ac:dyDescent="0.25">
      <c r="A350" s="86"/>
      <c r="B350" s="86"/>
      <c r="C350" s="88"/>
      <c r="D350" s="91"/>
      <c r="E350" s="92"/>
      <c r="F350" s="94"/>
    </row>
    <row r="351" spans="1:6" x14ac:dyDescent="0.25">
      <c r="A351" s="86"/>
      <c r="B351" s="86"/>
      <c r="C351" s="88"/>
      <c r="D351" s="91"/>
      <c r="E351" s="92"/>
      <c r="F351" s="94"/>
    </row>
    <row r="352" spans="1:6" x14ac:dyDescent="0.25">
      <c r="A352" s="86"/>
      <c r="B352" s="86"/>
      <c r="C352" s="88"/>
      <c r="D352" s="91"/>
      <c r="E352" s="92"/>
      <c r="F352" s="94"/>
    </row>
    <row r="353" spans="1:6" x14ac:dyDescent="0.25">
      <c r="A353" s="86"/>
      <c r="B353" s="86"/>
      <c r="C353" s="88"/>
      <c r="D353" s="91"/>
      <c r="E353" s="92"/>
      <c r="F353" s="94"/>
    </row>
    <row r="354" spans="1:6" x14ac:dyDescent="0.25">
      <c r="A354" s="86"/>
      <c r="B354" s="86"/>
      <c r="C354" s="88"/>
      <c r="D354" s="91"/>
      <c r="E354" s="92"/>
      <c r="F354" s="94"/>
    </row>
    <row r="355" spans="1:6" x14ac:dyDescent="0.25">
      <c r="A355" s="86"/>
      <c r="B355" s="86"/>
      <c r="C355" s="88"/>
      <c r="D355" s="91"/>
      <c r="E355" s="92"/>
      <c r="F355" s="94"/>
    </row>
    <row r="356" spans="1:6" x14ac:dyDescent="0.25">
      <c r="A356" s="86"/>
      <c r="B356" s="86"/>
      <c r="C356" s="88"/>
      <c r="D356" s="91"/>
      <c r="E356" s="92"/>
      <c r="F356" s="94"/>
    </row>
    <row r="357" spans="1:6" x14ac:dyDescent="0.25">
      <c r="A357" s="86"/>
      <c r="B357" s="86"/>
      <c r="C357" s="88"/>
      <c r="D357" s="91"/>
      <c r="E357" s="92"/>
      <c r="F357" s="94"/>
    </row>
    <row r="358" spans="1:6" x14ac:dyDescent="0.25">
      <c r="A358" s="86"/>
      <c r="B358" s="86"/>
      <c r="C358" s="88"/>
      <c r="D358" s="91"/>
      <c r="E358" s="92"/>
      <c r="F358" s="94"/>
    </row>
    <row r="359" spans="1:6" x14ac:dyDescent="0.25">
      <c r="A359" s="86"/>
      <c r="B359" s="86"/>
      <c r="C359" s="88"/>
      <c r="D359" s="91"/>
      <c r="E359" s="92"/>
      <c r="F359" s="94"/>
    </row>
    <row r="360" spans="1:6" x14ac:dyDescent="0.25">
      <c r="A360" s="86"/>
      <c r="B360" s="86"/>
      <c r="C360" s="88"/>
      <c r="D360" s="91"/>
      <c r="E360" s="92"/>
      <c r="F360" s="94"/>
    </row>
    <row r="361" spans="1:6" x14ac:dyDescent="0.25">
      <c r="A361" s="86"/>
      <c r="B361" s="86"/>
      <c r="C361" s="88"/>
      <c r="D361" s="91"/>
      <c r="E361" s="92"/>
      <c r="F361" s="94"/>
    </row>
    <row r="362" spans="1:6" x14ac:dyDescent="0.25">
      <c r="A362" s="86"/>
      <c r="B362" s="86"/>
      <c r="C362" s="88"/>
      <c r="D362" s="91"/>
      <c r="E362" s="92"/>
      <c r="F362" s="94"/>
    </row>
    <row r="363" spans="1:6" x14ac:dyDescent="0.25">
      <c r="A363" s="86"/>
      <c r="B363" s="86"/>
      <c r="C363" s="88"/>
      <c r="D363" s="91"/>
      <c r="E363" s="92"/>
      <c r="F363" s="94"/>
    </row>
    <row r="364" spans="1:6" x14ac:dyDescent="0.25">
      <c r="A364" s="86"/>
      <c r="B364" s="86"/>
      <c r="C364" s="88"/>
      <c r="D364" s="91"/>
      <c r="E364" s="92"/>
      <c r="F364" s="94"/>
    </row>
    <row r="365" spans="1:6" x14ac:dyDescent="0.25">
      <c r="A365" s="86"/>
      <c r="B365" s="86"/>
      <c r="C365" s="88"/>
      <c r="D365" s="91"/>
      <c r="E365" s="92"/>
      <c r="F365" s="94"/>
    </row>
    <row r="366" spans="1:6" x14ac:dyDescent="0.25">
      <c r="A366" s="86"/>
      <c r="B366" s="86"/>
      <c r="C366" s="88"/>
      <c r="D366" s="91"/>
      <c r="E366" s="92"/>
      <c r="F366" s="94"/>
    </row>
    <row r="367" spans="1:6" x14ac:dyDescent="0.25">
      <c r="A367" s="86"/>
      <c r="B367" s="86"/>
      <c r="C367" s="88"/>
      <c r="D367" s="91"/>
      <c r="E367" s="92"/>
      <c r="F367" s="94"/>
    </row>
    <row r="368" spans="1:6" x14ac:dyDescent="0.25">
      <c r="A368" s="86"/>
      <c r="B368" s="86"/>
      <c r="C368" s="88"/>
      <c r="D368" s="91"/>
      <c r="E368" s="92"/>
      <c r="F368" s="94"/>
    </row>
    <row r="369" spans="1:6" x14ac:dyDescent="0.25">
      <c r="A369" s="86"/>
      <c r="B369" s="86"/>
      <c r="C369" s="88"/>
      <c r="D369" s="91"/>
      <c r="E369" s="92"/>
      <c r="F369" s="94"/>
    </row>
    <row r="370" spans="1:6" x14ac:dyDescent="0.25">
      <c r="A370" s="86"/>
      <c r="B370" s="86"/>
      <c r="C370" s="88"/>
      <c r="D370" s="91"/>
      <c r="E370" s="92"/>
      <c r="F370" s="94"/>
    </row>
    <row r="371" spans="1:6" x14ac:dyDescent="0.25">
      <c r="A371" s="86"/>
      <c r="B371" s="86"/>
      <c r="C371" s="88"/>
      <c r="D371" s="91"/>
      <c r="E371" s="92"/>
      <c r="F371" s="94"/>
    </row>
    <row r="372" spans="1:6" x14ac:dyDescent="0.25">
      <c r="A372" s="86"/>
      <c r="B372" s="86"/>
      <c r="C372" s="88"/>
      <c r="D372" s="91"/>
      <c r="E372" s="92"/>
      <c r="F372" s="94"/>
    </row>
    <row r="373" spans="1:6" x14ac:dyDescent="0.25">
      <c r="A373" s="86"/>
      <c r="B373" s="86"/>
      <c r="C373" s="88"/>
      <c r="D373" s="91"/>
      <c r="E373" s="92"/>
      <c r="F373" s="94"/>
    </row>
    <row r="374" spans="1:6" x14ac:dyDescent="0.25">
      <c r="A374" s="86"/>
      <c r="B374" s="86"/>
      <c r="C374" s="88"/>
      <c r="D374" s="91"/>
      <c r="E374" s="92"/>
      <c r="F374" s="94"/>
    </row>
    <row r="375" spans="1:6" x14ac:dyDescent="0.25">
      <c r="A375" s="86"/>
      <c r="B375" s="86"/>
      <c r="C375" s="88"/>
      <c r="D375" s="91"/>
      <c r="E375" s="92"/>
      <c r="F375" s="94"/>
    </row>
    <row r="376" spans="1:6" x14ac:dyDescent="0.25">
      <c r="A376" s="86"/>
      <c r="B376" s="86"/>
      <c r="C376" s="88"/>
      <c r="D376" s="91"/>
      <c r="E376" s="92"/>
      <c r="F376" s="94"/>
    </row>
    <row r="377" spans="1:6" x14ac:dyDescent="0.25">
      <c r="A377" s="86"/>
      <c r="B377" s="86"/>
      <c r="C377" s="88"/>
      <c r="D377" s="91"/>
      <c r="E377" s="92"/>
      <c r="F377" s="94"/>
    </row>
    <row r="378" spans="1:6" x14ac:dyDescent="0.25">
      <c r="A378" s="86"/>
      <c r="B378" s="86"/>
      <c r="C378" s="88"/>
      <c r="D378" s="91"/>
      <c r="E378" s="92"/>
      <c r="F378" s="94"/>
    </row>
    <row r="379" spans="1:6" x14ac:dyDescent="0.25">
      <c r="A379" s="86"/>
      <c r="B379" s="86"/>
      <c r="C379" s="88"/>
      <c r="D379" s="91"/>
      <c r="E379" s="92"/>
      <c r="F379" s="94"/>
    </row>
    <row r="380" spans="1:6" x14ac:dyDescent="0.25">
      <c r="A380" s="86"/>
      <c r="B380" s="86"/>
      <c r="C380" s="88"/>
      <c r="D380" s="91"/>
      <c r="E380" s="92"/>
      <c r="F380" s="94"/>
    </row>
    <row r="381" spans="1:6" x14ac:dyDescent="0.25">
      <c r="A381" s="86"/>
      <c r="B381" s="86"/>
      <c r="C381" s="88"/>
      <c r="D381" s="91"/>
      <c r="E381" s="92"/>
      <c r="F381" s="94"/>
    </row>
    <row r="382" spans="1:6" x14ac:dyDescent="0.25">
      <c r="A382" s="86"/>
      <c r="B382" s="86"/>
      <c r="C382" s="88"/>
      <c r="D382" s="91"/>
      <c r="E382" s="92"/>
      <c r="F382" s="94"/>
    </row>
    <row r="383" spans="1:6" x14ac:dyDescent="0.25">
      <c r="A383" s="86"/>
      <c r="B383" s="86"/>
      <c r="C383" s="88"/>
      <c r="D383" s="91"/>
      <c r="E383" s="92"/>
      <c r="F383" s="94"/>
    </row>
    <row r="384" spans="1:6" x14ac:dyDescent="0.25">
      <c r="A384" s="86"/>
      <c r="B384" s="86"/>
      <c r="C384" s="88"/>
      <c r="D384" s="91"/>
      <c r="E384" s="92"/>
      <c r="F384" s="94"/>
    </row>
    <row r="385" spans="1:6" x14ac:dyDescent="0.25">
      <c r="A385" s="86"/>
      <c r="B385" s="86"/>
      <c r="C385" s="88"/>
      <c r="D385" s="91"/>
      <c r="E385" s="92"/>
      <c r="F385" s="94"/>
    </row>
    <row r="386" spans="1:6" x14ac:dyDescent="0.25">
      <c r="A386" s="86"/>
      <c r="B386" s="86"/>
      <c r="C386" s="88"/>
      <c r="D386" s="91"/>
      <c r="E386" s="92"/>
      <c r="F386" s="94"/>
    </row>
    <row r="387" spans="1:6" x14ac:dyDescent="0.25">
      <c r="A387" s="86"/>
      <c r="B387" s="86"/>
      <c r="C387" s="88"/>
      <c r="D387" s="91"/>
      <c r="E387" s="92"/>
      <c r="F387" s="94"/>
    </row>
    <row r="388" spans="1:6" x14ac:dyDescent="0.25">
      <c r="A388" s="86"/>
      <c r="B388" s="86"/>
      <c r="C388" s="88"/>
      <c r="D388" s="91"/>
      <c r="E388" s="92"/>
      <c r="F388" s="94"/>
    </row>
    <row r="389" spans="1:6" x14ac:dyDescent="0.25">
      <c r="A389" s="86"/>
      <c r="B389" s="86"/>
      <c r="C389" s="88"/>
      <c r="D389" s="91"/>
      <c r="E389" s="92"/>
      <c r="F389" s="94"/>
    </row>
    <row r="390" spans="1:6" x14ac:dyDescent="0.25">
      <c r="A390" s="86"/>
      <c r="B390" s="86"/>
      <c r="C390" s="88"/>
      <c r="D390" s="91"/>
      <c r="E390" s="92"/>
      <c r="F390" s="94"/>
    </row>
    <row r="391" spans="1:6" x14ac:dyDescent="0.25">
      <c r="A391" s="86"/>
      <c r="B391" s="86"/>
      <c r="C391" s="88"/>
      <c r="D391" s="91"/>
      <c r="E391" s="92"/>
      <c r="F391" s="94"/>
    </row>
    <row r="392" spans="1:6" x14ac:dyDescent="0.25">
      <c r="A392" s="86"/>
      <c r="B392" s="86"/>
      <c r="C392" s="88"/>
      <c r="D392" s="91"/>
      <c r="E392" s="92"/>
      <c r="F392" s="94"/>
    </row>
    <row r="393" spans="1:6" x14ac:dyDescent="0.25">
      <c r="A393" s="86"/>
      <c r="B393" s="86"/>
      <c r="C393" s="88"/>
      <c r="D393" s="91"/>
      <c r="E393" s="92"/>
      <c r="F393" s="94"/>
    </row>
    <row r="394" spans="1:6" x14ac:dyDescent="0.25">
      <c r="A394" s="86"/>
      <c r="B394" s="86"/>
      <c r="C394" s="88"/>
      <c r="D394" s="91"/>
      <c r="E394" s="92"/>
      <c r="F394" s="94"/>
    </row>
    <row r="395" spans="1:6" x14ac:dyDescent="0.25">
      <c r="A395" s="86"/>
      <c r="B395" s="86"/>
      <c r="C395" s="88"/>
      <c r="D395" s="91"/>
      <c r="E395" s="92"/>
      <c r="F395" s="94"/>
    </row>
    <row r="396" spans="1:6" x14ac:dyDescent="0.25">
      <c r="A396" s="86"/>
      <c r="B396" s="86"/>
      <c r="C396" s="88"/>
      <c r="D396" s="91"/>
      <c r="E396" s="92"/>
      <c r="F396" s="94"/>
    </row>
    <row r="397" spans="1:6" x14ac:dyDescent="0.25">
      <c r="A397" s="86"/>
      <c r="B397" s="86"/>
      <c r="C397" s="88"/>
      <c r="D397" s="91"/>
      <c r="E397" s="92"/>
      <c r="F397" s="94"/>
    </row>
    <row r="398" spans="1:6" x14ac:dyDescent="0.25">
      <c r="A398" s="86"/>
      <c r="B398" s="86"/>
      <c r="C398" s="88"/>
      <c r="D398" s="91"/>
      <c r="E398" s="92"/>
      <c r="F398" s="94"/>
    </row>
    <row r="399" spans="1:6" x14ac:dyDescent="0.25">
      <c r="A399" s="86"/>
      <c r="B399" s="86"/>
      <c r="C399" s="88"/>
      <c r="D399" s="91"/>
      <c r="E399" s="92"/>
      <c r="F399" s="94"/>
    </row>
    <row r="400" spans="1:6" x14ac:dyDescent="0.25">
      <c r="A400" s="86"/>
      <c r="B400" s="86"/>
      <c r="C400" s="88"/>
      <c r="D400" s="91"/>
      <c r="E400" s="92"/>
      <c r="F400" s="94"/>
    </row>
    <row r="401" spans="1:6" x14ac:dyDescent="0.25">
      <c r="A401" s="86"/>
      <c r="B401" s="86"/>
      <c r="C401" s="88"/>
      <c r="D401" s="91"/>
      <c r="E401" s="92"/>
      <c r="F401" s="94"/>
    </row>
    <row r="402" spans="1:6" x14ac:dyDescent="0.25">
      <c r="A402" s="86"/>
      <c r="B402" s="86"/>
      <c r="C402" s="88"/>
      <c r="D402" s="91"/>
      <c r="E402" s="92"/>
      <c r="F402" s="94"/>
    </row>
    <row r="403" spans="1:6" x14ac:dyDescent="0.25">
      <c r="A403" s="86"/>
      <c r="B403" s="86"/>
      <c r="C403" s="88"/>
      <c r="D403" s="91"/>
      <c r="E403" s="92"/>
      <c r="F403" s="94"/>
    </row>
    <row r="404" spans="1:6" x14ac:dyDescent="0.25">
      <c r="A404" s="86"/>
      <c r="B404" s="86"/>
      <c r="C404" s="88"/>
      <c r="D404" s="91"/>
      <c r="E404" s="92"/>
      <c r="F404" s="94"/>
    </row>
    <row r="405" spans="1:6" x14ac:dyDescent="0.25">
      <c r="A405" s="86"/>
      <c r="B405" s="86"/>
      <c r="C405" s="88"/>
      <c r="D405" s="91"/>
      <c r="E405" s="92"/>
      <c r="F405" s="94"/>
    </row>
    <row r="406" spans="1:6" x14ac:dyDescent="0.25">
      <c r="A406" s="86"/>
      <c r="B406" s="86"/>
      <c r="C406" s="88"/>
      <c r="D406" s="91"/>
      <c r="E406" s="92"/>
      <c r="F406" s="94"/>
    </row>
    <row r="407" spans="1:6" x14ac:dyDescent="0.25">
      <c r="A407" s="86"/>
      <c r="B407" s="86"/>
      <c r="C407" s="88"/>
      <c r="D407" s="91"/>
      <c r="E407" s="92"/>
      <c r="F407" s="94"/>
    </row>
    <row r="408" spans="1:6" x14ac:dyDescent="0.25">
      <c r="A408" s="86"/>
      <c r="B408" s="86"/>
      <c r="C408" s="88"/>
      <c r="D408" s="91"/>
      <c r="E408" s="92"/>
      <c r="F408" s="94"/>
    </row>
    <row r="409" spans="1:6" x14ac:dyDescent="0.25">
      <c r="A409" s="86"/>
      <c r="B409" s="86"/>
      <c r="C409" s="88"/>
      <c r="D409" s="91"/>
      <c r="E409" s="92"/>
      <c r="F409" s="94"/>
    </row>
    <row r="410" spans="1:6" x14ac:dyDescent="0.25">
      <c r="A410" s="86"/>
      <c r="B410" s="86"/>
      <c r="C410" s="88"/>
      <c r="D410" s="91"/>
      <c r="E410" s="92"/>
      <c r="F410" s="94"/>
    </row>
    <row r="411" spans="1:6" x14ac:dyDescent="0.25">
      <c r="A411" s="86"/>
      <c r="B411" s="86"/>
      <c r="C411" s="88"/>
      <c r="D411" s="91"/>
      <c r="E411" s="92"/>
      <c r="F411" s="94"/>
    </row>
    <row r="412" spans="1:6" x14ac:dyDescent="0.25">
      <c r="A412" s="86"/>
      <c r="B412" s="86"/>
      <c r="C412" s="88"/>
      <c r="D412" s="91"/>
      <c r="E412" s="92"/>
      <c r="F412" s="94"/>
    </row>
    <row r="413" spans="1:6" x14ac:dyDescent="0.25">
      <c r="A413" s="86"/>
      <c r="B413" s="86"/>
      <c r="C413" s="88"/>
      <c r="D413" s="91"/>
      <c r="E413" s="92"/>
      <c r="F413" s="94"/>
    </row>
    <row r="414" spans="1:6" x14ac:dyDescent="0.25">
      <c r="A414" s="86"/>
      <c r="B414" s="86"/>
      <c r="C414" s="88"/>
      <c r="D414" s="91"/>
      <c r="E414" s="92"/>
      <c r="F414" s="94"/>
    </row>
    <row r="415" spans="1:6" x14ac:dyDescent="0.25">
      <c r="A415" s="86"/>
      <c r="B415" s="86"/>
      <c r="C415" s="88"/>
      <c r="D415" s="91"/>
      <c r="E415" s="92"/>
      <c r="F415" s="94"/>
    </row>
    <row r="416" spans="1:6" x14ac:dyDescent="0.25">
      <c r="A416" s="86"/>
      <c r="B416" s="86"/>
      <c r="C416" s="88"/>
      <c r="D416" s="91"/>
      <c r="E416" s="92"/>
      <c r="F416" s="94"/>
    </row>
    <row r="417" spans="1:6" x14ac:dyDescent="0.25">
      <c r="A417" s="86"/>
      <c r="B417" s="86"/>
      <c r="C417" s="88"/>
      <c r="D417" s="91"/>
      <c r="E417" s="92"/>
      <c r="F417" s="94"/>
    </row>
    <row r="418" spans="1:6" x14ac:dyDescent="0.25">
      <c r="A418" s="86"/>
      <c r="B418" s="86"/>
      <c r="C418" s="88"/>
      <c r="D418" s="91"/>
      <c r="E418" s="92"/>
      <c r="F418" s="94"/>
    </row>
    <row r="419" spans="1:6" x14ac:dyDescent="0.25">
      <c r="A419" s="86"/>
      <c r="B419" s="86"/>
      <c r="C419" s="88"/>
      <c r="D419" s="91"/>
      <c r="E419" s="92"/>
      <c r="F419" s="94"/>
    </row>
    <row r="420" spans="1:6" x14ac:dyDescent="0.25">
      <c r="A420" s="86"/>
      <c r="B420" s="86"/>
      <c r="C420" s="88"/>
      <c r="D420" s="91"/>
      <c r="E420" s="92"/>
      <c r="F420" s="94"/>
    </row>
    <row r="421" spans="1:6" x14ac:dyDescent="0.25">
      <c r="A421" s="86"/>
      <c r="B421" s="86"/>
      <c r="C421" s="88"/>
      <c r="D421" s="91"/>
      <c r="E421" s="92"/>
      <c r="F421" s="94"/>
    </row>
    <row r="422" spans="1:6" x14ac:dyDescent="0.25">
      <c r="A422" s="86"/>
      <c r="B422" s="86"/>
      <c r="C422" s="88"/>
      <c r="D422" s="91"/>
      <c r="E422" s="92"/>
      <c r="F422" s="94"/>
    </row>
    <row r="423" spans="1:6" x14ac:dyDescent="0.25">
      <c r="A423" s="86"/>
      <c r="B423" s="86"/>
      <c r="C423" s="88"/>
      <c r="D423" s="91"/>
      <c r="E423" s="92"/>
      <c r="F423" s="94"/>
    </row>
    <row r="424" spans="1:6" x14ac:dyDescent="0.25">
      <c r="A424" s="86"/>
      <c r="B424" s="86"/>
      <c r="C424" s="88"/>
      <c r="D424" s="91"/>
      <c r="E424" s="92"/>
      <c r="F424" s="94"/>
    </row>
    <row r="425" spans="1:6" x14ac:dyDescent="0.25">
      <c r="A425" s="86"/>
      <c r="B425" s="86"/>
      <c r="C425" s="88"/>
      <c r="D425" s="91"/>
      <c r="E425" s="92"/>
      <c r="F425" s="94"/>
    </row>
    <row r="426" spans="1:6" x14ac:dyDescent="0.25">
      <c r="A426" s="86"/>
      <c r="B426" s="86"/>
      <c r="C426" s="88"/>
      <c r="D426" s="91"/>
      <c r="E426" s="92"/>
      <c r="F426" s="94"/>
    </row>
    <row r="427" spans="1:6" x14ac:dyDescent="0.25">
      <c r="A427" s="86"/>
      <c r="B427" s="86"/>
      <c r="C427" s="88"/>
      <c r="D427" s="91"/>
      <c r="E427" s="92"/>
      <c r="F427" s="94"/>
    </row>
    <row r="428" spans="1:6" x14ac:dyDescent="0.25">
      <c r="A428" s="86"/>
      <c r="B428" s="86"/>
      <c r="C428" s="88"/>
      <c r="D428" s="91"/>
      <c r="E428" s="92"/>
      <c r="F428" s="94"/>
    </row>
    <row r="429" spans="1:6" x14ac:dyDescent="0.25">
      <c r="A429" s="86"/>
      <c r="B429" s="86"/>
      <c r="C429" s="88"/>
      <c r="D429" s="91"/>
      <c r="E429" s="92"/>
      <c r="F429" s="94"/>
    </row>
    <row r="430" spans="1:6" x14ac:dyDescent="0.25">
      <c r="A430" s="86"/>
      <c r="B430" s="86"/>
      <c r="C430" s="88"/>
      <c r="D430" s="91"/>
      <c r="E430" s="92"/>
      <c r="F430" s="94"/>
    </row>
    <row r="431" spans="1:6" x14ac:dyDescent="0.25">
      <c r="A431" s="86"/>
      <c r="B431" s="86"/>
      <c r="C431" s="88"/>
      <c r="D431" s="91"/>
      <c r="E431" s="92"/>
      <c r="F431" s="94"/>
    </row>
    <row r="432" spans="1:6" x14ac:dyDescent="0.25">
      <c r="A432" s="86"/>
      <c r="B432" s="86"/>
      <c r="C432" s="88"/>
      <c r="D432" s="91"/>
      <c r="E432" s="92"/>
      <c r="F432" s="94"/>
    </row>
    <row r="433" spans="1:6" x14ac:dyDescent="0.25">
      <c r="A433" s="86"/>
      <c r="B433" s="86"/>
      <c r="C433" s="88"/>
      <c r="D433" s="91"/>
      <c r="E433" s="92"/>
      <c r="F433" s="94"/>
    </row>
    <row r="434" spans="1:6" x14ac:dyDescent="0.25">
      <c r="A434" s="86"/>
      <c r="B434" s="86"/>
      <c r="C434" s="88"/>
      <c r="D434" s="91"/>
      <c r="E434" s="92"/>
      <c r="F434" s="94"/>
    </row>
    <row r="435" spans="1:6" x14ac:dyDescent="0.25">
      <c r="A435" s="86"/>
      <c r="B435" s="86"/>
      <c r="C435" s="88"/>
      <c r="D435" s="91"/>
      <c r="E435" s="92"/>
      <c r="F435" s="94"/>
    </row>
    <row r="436" spans="1:6" x14ac:dyDescent="0.25">
      <c r="A436" s="86"/>
      <c r="B436" s="86"/>
      <c r="C436" s="88"/>
      <c r="D436" s="91"/>
      <c r="E436" s="92"/>
      <c r="F436" s="94"/>
    </row>
    <row r="437" spans="1:6" x14ac:dyDescent="0.25">
      <c r="A437" s="86"/>
      <c r="B437" s="86"/>
      <c r="C437" s="88"/>
      <c r="D437" s="91"/>
      <c r="E437" s="92"/>
      <c r="F437" s="94"/>
    </row>
    <row r="438" spans="1:6" x14ac:dyDescent="0.25">
      <c r="A438" s="86"/>
      <c r="B438" s="86"/>
      <c r="C438" s="88"/>
      <c r="D438" s="91"/>
      <c r="E438" s="92"/>
      <c r="F438" s="94"/>
    </row>
    <row r="439" spans="1:6" x14ac:dyDescent="0.25">
      <c r="A439" s="86"/>
      <c r="B439" s="86"/>
      <c r="C439" s="88"/>
      <c r="D439" s="91"/>
      <c r="E439" s="92"/>
      <c r="F439" s="94"/>
    </row>
    <row r="440" spans="1:6" x14ac:dyDescent="0.25">
      <c r="A440" s="86"/>
      <c r="B440" s="86"/>
      <c r="C440" s="88"/>
      <c r="D440" s="91"/>
      <c r="E440" s="92"/>
      <c r="F440" s="94"/>
    </row>
    <row r="441" spans="1:6" x14ac:dyDescent="0.25">
      <c r="A441" s="86"/>
      <c r="B441" s="86"/>
      <c r="C441" s="88"/>
      <c r="D441" s="91"/>
      <c r="E441" s="92"/>
      <c r="F441" s="94"/>
    </row>
    <row r="442" spans="1:6" x14ac:dyDescent="0.25">
      <c r="A442" s="86"/>
      <c r="B442" s="86"/>
      <c r="C442" s="88"/>
      <c r="D442" s="91"/>
      <c r="E442" s="92"/>
      <c r="F442" s="94"/>
    </row>
    <row r="443" spans="1:6" x14ac:dyDescent="0.25">
      <c r="A443" s="86"/>
      <c r="B443" s="86"/>
      <c r="C443" s="88"/>
      <c r="D443" s="91"/>
      <c r="E443" s="92"/>
      <c r="F443" s="94"/>
    </row>
    <row r="444" spans="1:6" x14ac:dyDescent="0.25">
      <c r="A444" s="86"/>
      <c r="B444" s="86"/>
      <c r="C444" s="88"/>
      <c r="D444" s="91"/>
      <c r="E444" s="92"/>
      <c r="F444" s="94"/>
    </row>
    <row r="445" spans="1:6" x14ac:dyDescent="0.25">
      <c r="A445" s="86"/>
      <c r="B445" s="86"/>
      <c r="C445" s="88"/>
      <c r="D445" s="91"/>
      <c r="E445" s="92"/>
      <c r="F445" s="94"/>
    </row>
    <row r="446" spans="1:6" x14ac:dyDescent="0.25">
      <c r="A446" s="86"/>
      <c r="B446" s="86"/>
      <c r="C446" s="88"/>
      <c r="D446" s="91"/>
      <c r="E446" s="92"/>
      <c r="F446" s="94"/>
    </row>
    <row r="447" spans="1:6" x14ac:dyDescent="0.25">
      <c r="A447" s="86"/>
      <c r="B447" s="86"/>
      <c r="C447" s="88"/>
      <c r="D447" s="91"/>
      <c r="E447" s="92"/>
      <c r="F447" s="94"/>
    </row>
    <row r="448" spans="1:6" x14ac:dyDescent="0.25">
      <c r="A448" s="86"/>
      <c r="B448" s="86"/>
      <c r="C448" s="88"/>
      <c r="D448" s="91"/>
      <c r="E448" s="92"/>
      <c r="F448" s="94"/>
    </row>
    <row r="449" spans="1:6" x14ac:dyDescent="0.25">
      <c r="A449" s="86"/>
      <c r="B449" s="86"/>
      <c r="C449" s="88"/>
      <c r="D449" s="91"/>
      <c r="E449" s="92"/>
      <c r="F449" s="94"/>
    </row>
    <row r="450" spans="1:6" x14ac:dyDescent="0.25">
      <c r="A450" s="86"/>
      <c r="B450" s="86"/>
      <c r="C450" s="88"/>
      <c r="D450" s="91"/>
      <c r="E450" s="92"/>
      <c r="F450" s="94"/>
    </row>
    <row r="451" spans="1:6" x14ac:dyDescent="0.25">
      <c r="A451" s="86"/>
      <c r="B451" s="86"/>
      <c r="C451" s="88"/>
      <c r="D451" s="91"/>
      <c r="E451" s="92"/>
      <c r="F451" s="94"/>
    </row>
    <row r="452" spans="1:6" x14ac:dyDescent="0.25">
      <c r="A452" s="86"/>
      <c r="B452" s="86"/>
      <c r="C452" s="88"/>
      <c r="D452" s="91"/>
      <c r="E452" s="92"/>
      <c r="F452" s="94"/>
    </row>
    <row r="453" spans="1:6" x14ac:dyDescent="0.25">
      <c r="A453" s="86"/>
      <c r="B453" s="86"/>
      <c r="C453" s="88"/>
      <c r="D453" s="91"/>
      <c r="E453" s="92"/>
      <c r="F453" s="94"/>
    </row>
    <row r="454" spans="1:6" x14ac:dyDescent="0.25">
      <c r="A454" s="86"/>
      <c r="B454" s="86"/>
      <c r="C454" s="88"/>
      <c r="D454" s="91"/>
      <c r="E454" s="92"/>
      <c r="F454" s="94"/>
    </row>
    <row r="455" spans="1:6" x14ac:dyDescent="0.25">
      <c r="A455" s="86"/>
      <c r="B455" s="86"/>
      <c r="C455" s="88"/>
      <c r="D455" s="91"/>
      <c r="E455" s="92"/>
      <c r="F455" s="94"/>
    </row>
    <row r="456" spans="1:6" x14ac:dyDescent="0.25">
      <c r="A456" s="86"/>
      <c r="B456" s="86"/>
      <c r="C456" s="88"/>
      <c r="D456" s="91"/>
      <c r="E456" s="92"/>
      <c r="F456" s="94"/>
    </row>
    <row r="457" spans="1:6" x14ac:dyDescent="0.25">
      <c r="A457" s="86"/>
      <c r="B457" s="86"/>
      <c r="C457" s="88"/>
      <c r="D457" s="91"/>
      <c r="E457" s="92"/>
      <c r="F457" s="94"/>
    </row>
    <row r="458" spans="1:6" x14ac:dyDescent="0.25">
      <c r="A458" s="86"/>
      <c r="B458" s="86"/>
      <c r="C458" s="88"/>
      <c r="D458" s="91"/>
      <c r="E458" s="92"/>
      <c r="F458" s="94"/>
    </row>
    <row r="459" spans="1:6" x14ac:dyDescent="0.25">
      <c r="A459" s="86"/>
      <c r="B459" s="86"/>
      <c r="C459" s="88"/>
      <c r="D459" s="91"/>
      <c r="E459" s="92"/>
      <c r="F459" s="94"/>
    </row>
    <row r="460" spans="1:6" x14ac:dyDescent="0.25">
      <c r="A460" s="86"/>
      <c r="B460" s="86"/>
      <c r="C460" s="88"/>
      <c r="D460" s="91"/>
      <c r="E460" s="92"/>
      <c r="F460" s="94"/>
    </row>
    <row r="461" spans="1:6" x14ac:dyDescent="0.25">
      <c r="A461" s="86"/>
      <c r="B461" s="86"/>
      <c r="C461" s="88"/>
      <c r="D461" s="91"/>
      <c r="E461" s="92"/>
      <c r="F461" s="94"/>
    </row>
    <row r="462" spans="1:6" x14ac:dyDescent="0.25">
      <c r="A462" s="86"/>
      <c r="B462" s="86"/>
      <c r="C462" s="88"/>
      <c r="D462" s="91"/>
      <c r="E462" s="92"/>
      <c r="F462" s="94"/>
    </row>
    <row r="463" spans="1:6" x14ac:dyDescent="0.25">
      <c r="A463" s="86"/>
      <c r="B463" s="86"/>
      <c r="C463" s="88"/>
      <c r="D463" s="91"/>
      <c r="E463" s="92"/>
      <c r="F463" s="94"/>
    </row>
    <row r="464" spans="1:6" x14ac:dyDescent="0.25">
      <c r="A464" s="86"/>
      <c r="B464" s="86"/>
      <c r="C464" s="88"/>
      <c r="D464" s="91"/>
      <c r="E464" s="92"/>
      <c r="F464" s="94"/>
    </row>
    <row r="465" spans="1:6" x14ac:dyDescent="0.25">
      <c r="A465" s="86"/>
      <c r="B465" s="86"/>
      <c r="C465" s="88"/>
      <c r="D465" s="91"/>
      <c r="E465" s="92"/>
      <c r="F465" s="94"/>
    </row>
    <row r="466" spans="1:6" x14ac:dyDescent="0.25">
      <c r="A466" s="86"/>
      <c r="B466" s="86"/>
      <c r="C466" s="88"/>
      <c r="D466" s="91"/>
      <c r="E466" s="92"/>
      <c r="F466" s="94"/>
    </row>
    <row r="467" spans="1:6" x14ac:dyDescent="0.25">
      <c r="A467" s="86"/>
      <c r="B467" s="86"/>
      <c r="C467" s="88"/>
      <c r="D467" s="91"/>
      <c r="E467" s="92"/>
      <c r="F467" s="94"/>
    </row>
    <row r="468" spans="1:6" x14ac:dyDescent="0.25">
      <c r="A468" s="86"/>
      <c r="B468" s="86"/>
      <c r="C468" s="88"/>
      <c r="D468" s="91"/>
      <c r="E468" s="92"/>
      <c r="F468" s="94"/>
    </row>
    <row r="469" spans="1:6" x14ac:dyDescent="0.25">
      <c r="A469" s="86"/>
      <c r="B469" s="86"/>
      <c r="C469" s="88"/>
      <c r="D469" s="91"/>
      <c r="E469" s="92"/>
      <c r="F469" s="94"/>
    </row>
    <row r="470" spans="1:6" x14ac:dyDescent="0.25">
      <c r="A470" s="86"/>
      <c r="B470" s="86"/>
      <c r="C470" s="88"/>
      <c r="D470" s="91"/>
      <c r="E470" s="92"/>
      <c r="F470" s="94"/>
    </row>
    <row r="471" spans="1:6" x14ac:dyDescent="0.25">
      <c r="A471" s="86"/>
      <c r="B471" s="86"/>
      <c r="C471" s="88"/>
      <c r="D471" s="91"/>
      <c r="E471" s="92"/>
      <c r="F471" s="94"/>
    </row>
    <row r="472" spans="1:6" x14ac:dyDescent="0.25">
      <c r="A472" s="86"/>
      <c r="B472" s="86"/>
      <c r="C472" s="88"/>
      <c r="D472" s="91"/>
      <c r="E472" s="92"/>
      <c r="F472" s="94"/>
    </row>
    <row r="473" spans="1:6" x14ac:dyDescent="0.25">
      <c r="A473" s="86"/>
      <c r="B473" s="86"/>
      <c r="C473" s="88"/>
      <c r="D473" s="91"/>
      <c r="E473" s="92"/>
      <c r="F473" s="94"/>
    </row>
    <row r="474" spans="1:6" x14ac:dyDescent="0.25">
      <c r="A474" s="86"/>
      <c r="B474" s="86"/>
      <c r="C474" s="88"/>
      <c r="D474" s="91"/>
      <c r="E474" s="92"/>
      <c r="F474" s="94"/>
    </row>
    <row r="475" spans="1:6" x14ac:dyDescent="0.25">
      <c r="A475" s="86"/>
      <c r="B475" s="86"/>
      <c r="C475" s="88"/>
      <c r="D475" s="91"/>
      <c r="E475" s="92"/>
      <c r="F475" s="94"/>
    </row>
    <row r="476" spans="1:6" x14ac:dyDescent="0.25">
      <c r="A476" s="86"/>
      <c r="B476" s="86"/>
      <c r="C476" s="88"/>
      <c r="D476" s="91"/>
      <c r="E476" s="92"/>
      <c r="F476" s="94"/>
    </row>
    <row r="477" spans="1:6" x14ac:dyDescent="0.25">
      <c r="A477" s="86"/>
      <c r="B477" s="86"/>
      <c r="C477" s="88"/>
      <c r="D477" s="91"/>
      <c r="E477" s="92"/>
      <c r="F477" s="94"/>
    </row>
    <row r="478" spans="1:6" x14ac:dyDescent="0.25">
      <c r="A478" s="86"/>
      <c r="B478" s="86"/>
      <c r="C478" s="88"/>
      <c r="D478" s="91"/>
      <c r="E478" s="92"/>
      <c r="F478" s="94"/>
    </row>
    <row r="479" spans="1:6" x14ac:dyDescent="0.25">
      <c r="A479" s="86"/>
      <c r="B479" s="86"/>
      <c r="C479" s="88"/>
      <c r="D479" s="91"/>
      <c r="E479" s="92"/>
      <c r="F479" s="94"/>
    </row>
    <row r="480" spans="1:6" x14ac:dyDescent="0.25">
      <c r="A480" s="86"/>
      <c r="B480" s="86"/>
      <c r="C480" s="88"/>
      <c r="D480" s="91"/>
      <c r="E480" s="92"/>
      <c r="F480" s="94"/>
    </row>
    <row r="481" spans="1:6" x14ac:dyDescent="0.25">
      <c r="A481" s="86"/>
      <c r="B481" s="86"/>
      <c r="C481" s="88"/>
      <c r="D481" s="91"/>
      <c r="E481" s="92"/>
      <c r="F481" s="94"/>
    </row>
    <row r="482" spans="1:6" x14ac:dyDescent="0.25">
      <c r="A482" s="86"/>
      <c r="B482" s="86"/>
      <c r="C482" s="88"/>
      <c r="D482" s="91"/>
      <c r="E482" s="92"/>
      <c r="F482" s="94"/>
    </row>
    <row r="483" spans="1:6" x14ac:dyDescent="0.25">
      <c r="A483" s="86"/>
      <c r="B483" s="86"/>
      <c r="C483" s="88"/>
      <c r="D483" s="91"/>
      <c r="E483" s="92"/>
      <c r="F483" s="94"/>
    </row>
    <row r="484" spans="1:6" x14ac:dyDescent="0.25">
      <c r="A484" s="86"/>
      <c r="B484" s="86"/>
      <c r="C484" s="88"/>
      <c r="D484" s="91"/>
      <c r="E484" s="92"/>
      <c r="F484" s="94"/>
    </row>
    <row r="485" spans="1:6" x14ac:dyDescent="0.25">
      <c r="A485" s="86"/>
      <c r="B485" s="86"/>
      <c r="C485" s="88"/>
      <c r="D485" s="91"/>
      <c r="E485" s="92"/>
      <c r="F485" s="94"/>
    </row>
    <row r="486" spans="1:6" x14ac:dyDescent="0.25">
      <c r="A486" s="86"/>
      <c r="B486" s="86"/>
      <c r="C486" s="88"/>
      <c r="D486" s="91"/>
      <c r="E486" s="92"/>
      <c r="F486" s="94"/>
    </row>
    <row r="487" spans="1:6" x14ac:dyDescent="0.25">
      <c r="A487" s="86"/>
      <c r="B487" s="86"/>
      <c r="C487" s="88"/>
      <c r="D487" s="91"/>
      <c r="E487" s="92"/>
      <c r="F487" s="94"/>
    </row>
    <row r="488" spans="1:6" x14ac:dyDescent="0.25">
      <c r="A488" s="86"/>
      <c r="B488" s="86"/>
      <c r="C488" s="88"/>
      <c r="D488" s="91"/>
      <c r="E488" s="92"/>
      <c r="F488" s="94"/>
    </row>
    <row r="489" spans="1:6" x14ac:dyDescent="0.25">
      <c r="A489" s="86"/>
      <c r="B489" s="86"/>
      <c r="C489" s="88"/>
      <c r="D489" s="91"/>
      <c r="E489" s="92"/>
      <c r="F489" s="94"/>
    </row>
    <row r="490" spans="1:6" x14ac:dyDescent="0.25">
      <c r="A490" s="86"/>
      <c r="B490" s="86"/>
      <c r="C490" s="88"/>
      <c r="D490" s="91"/>
      <c r="E490" s="92"/>
      <c r="F490" s="94"/>
    </row>
    <row r="491" spans="1:6" x14ac:dyDescent="0.25">
      <c r="A491" s="86"/>
      <c r="B491" s="86"/>
      <c r="C491" s="88"/>
      <c r="D491" s="91"/>
      <c r="E491" s="92"/>
      <c r="F491" s="94"/>
    </row>
    <row r="492" spans="1:6" x14ac:dyDescent="0.25">
      <c r="A492" s="86"/>
      <c r="B492" s="86"/>
      <c r="C492" s="88"/>
      <c r="D492" s="91"/>
      <c r="E492" s="92"/>
      <c r="F492" s="94"/>
    </row>
    <row r="493" spans="1:6" x14ac:dyDescent="0.25">
      <c r="A493" s="86"/>
      <c r="B493" s="86"/>
      <c r="C493" s="88"/>
      <c r="D493" s="91"/>
      <c r="E493" s="92"/>
      <c r="F493" s="94"/>
    </row>
    <row r="494" spans="1:6" x14ac:dyDescent="0.25">
      <c r="A494" s="86"/>
      <c r="B494" s="86"/>
      <c r="C494" s="88"/>
      <c r="D494" s="91"/>
      <c r="E494" s="92"/>
      <c r="F494" s="94"/>
    </row>
    <row r="495" spans="1:6" x14ac:dyDescent="0.25">
      <c r="A495" s="86"/>
      <c r="B495" s="86"/>
      <c r="C495" s="88"/>
      <c r="D495" s="91"/>
      <c r="E495" s="92"/>
      <c r="F495" s="94"/>
    </row>
    <row r="496" spans="1:6" x14ac:dyDescent="0.25">
      <c r="A496" s="86"/>
      <c r="B496" s="86"/>
      <c r="C496" s="88"/>
      <c r="D496" s="91"/>
      <c r="E496" s="92"/>
      <c r="F496" s="94"/>
    </row>
    <row r="497" spans="1:6" x14ac:dyDescent="0.25">
      <c r="A497" s="86"/>
      <c r="B497" s="86"/>
      <c r="C497" s="88"/>
      <c r="D497" s="91"/>
      <c r="E497" s="92"/>
      <c r="F497" s="94"/>
    </row>
    <row r="498" spans="1:6" x14ac:dyDescent="0.25">
      <c r="A498" s="86"/>
      <c r="B498" s="86"/>
      <c r="C498" s="88"/>
      <c r="D498" s="91"/>
      <c r="E498" s="92"/>
      <c r="F498" s="94"/>
    </row>
    <row r="499" spans="1:6" x14ac:dyDescent="0.25">
      <c r="A499" s="86"/>
      <c r="B499" s="86"/>
      <c r="C499" s="88"/>
      <c r="D499" s="91"/>
      <c r="E499" s="92"/>
      <c r="F499" s="94"/>
    </row>
    <row r="500" spans="1:6" x14ac:dyDescent="0.25">
      <c r="A500" s="86"/>
      <c r="B500" s="86"/>
      <c r="C500" s="88"/>
      <c r="D500" s="91"/>
      <c r="E500" s="92"/>
      <c r="F500" s="94"/>
    </row>
    <row r="501" spans="1:6" x14ac:dyDescent="0.25">
      <c r="A501" s="86"/>
      <c r="B501" s="86"/>
      <c r="C501" s="88"/>
      <c r="D501" s="91"/>
      <c r="E501" s="92"/>
      <c r="F501" s="94"/>
    </row>
    <row r="502" spans="1:6" x14ac:dyDescent="0.25">
      <c r="A502" s="86"/>
      <c r="B502" s="86"/>
      <c r="C502" s="88"/>
      <c r="D502" s="91"/>
      <c r="E502" s="92"/>
      <c r="F502" s="94"/>
    </row>
    <row r="503" spans="1:6" x14ac:dyDescent="0.25">
      <c r="A503" s="86"/>
      <c r="B503" s="86"/>
      <c r="C503" s="88"/>
      <c r="D503" s="91"/>
      <c r="E503" s="92"/>
      <c r="F503" s="94"/>
    </row>
    <row r="504" spans="1:6" x14ac:dyDescent="0.25">
      <c r="A504" s="86"/>
      <c r="B504" s="86"/>
      <c r="C504" s="88"/>
      <c r="D504" s="91"/>
      <c r="E504" s="92"/>
      <c r="F504" s="94"/>
    </row>
    <row r="505" spans="1:6" x14ac:dyDescent="0.25">
      <c r="A505" s="86"/>
      <c r="B505" s="86"/>
      <c r="C505" s="88"/>
      <c r="D505" s="91"/>
      <c r="E505" s="92"/>
      <c r="F505" s="94"/>
    </row>
    <row r="506" spans="1:6" x14ac:dyDescent="0.25">
      <c r="A506" s="86"/>
      <c r="B506" s="86"/>
      <c r="C506" s="88"/>
      <c r="D506" s="91"/>
      <c r="E506" s="92"/>
      <c r="F506" s="94"/>
    </row>
    <row r="507" spans="1:6" x14ac:dyDescent="0.25">
      <c r="A507" s="86"/>
      <c r="B507" s="86"/>
      <c r="C507" s="88"/>
      <c r="D507" s="91"/>
      <c r="E507" s="92"/>
      <c r="F507" s="94"/>
    </row>
    <row r="508" spans="1:6" x14ac:dyDescent="0.25">
      <c r="A508" s="86"/>
      <c r="B508" s="86"/>
      <c r="C508" s="88"/>
      <c r="D508" s="91"/>
      <c r="E508" s="92"/>
      <c r="F508" s="94"/>
    </row>
    <row r="509" spans="1:6" x14ac:dyDescent="0.25">
      <c r="A509" s="86"/>
      <c r="B509" s="86"/>
      <c r="C509" s="88"/>
      <c r="D509" s="91"/>
      <c r="E509" s="92"/>
      <c r="F509" s="94"/>
    </row>
    <row r="510" spans="1:6" x14ac:dyDescent="0.25">
      <c r="A510" s="86"/>
      <c r="B510" s="86"/>
      <c r="C510" s="88"/>
      <c r="D510" s="91"/>
      <c r="E510" s="92"/>
      <c r="F510" s="94"/>
    </row>
    <row r="511" spans="1:6" x14ac:dyDescent="0.25">
      <c r="A511" s="86"/>
      <c r="B511" s="86"/>
      <c r="C511" s="88"/>
      <c r="D511" s="91"/>
      <c r="E511" s="92"/>
      <c r="F511" s="94"/>
    </row>
    <row r="512" spans="1:6" x14ac:dyDescent="0.25">
      <c r="A512" s="86"/>
      <c r="B512" s="86"/>
      <c r="C512" s="88"/>
      <c r="D512" s="91"/>
      <c r="E512" s="92"/>
      <c r="F512" s="94"/>
    </row>
    <row r="513" spans="1:6" x14ac:dyDescent="0.25">
      <c r="A513" s="86"/>
      <c r="B513" s="86"/>
      <c r="C513" s="88"/>
      <c r="D513" s="91"/>
      <c r="E513" s="92"/>
      <c r="F513" s="94"/>
    </row>
    <row r="514" spans="1:6" x14ac:dyDescent="0.25">
      <c r="A514" s="86"/>
      <c r="B514" s="86"/>
      <c r="C514" s="88"/>
      <c r="D514" s="91"/>
      <c r="E514" s="92"/>
      <c r="F514" s="94"/>
    </row>
    <row r="515" spans="1:6" x14ac:dyDescent="0.25">
      <c r="A515" s="86"/>
      <c r="B515" s="86"/>
      <c r="C515" s="88"/>
      <c r="D515" s="91"/>
      <c r="E515" s="92"/>
      <c r="F515" s="94"/>
    </row>
    <row r="516" spans="1:6" x14ac:dyDescent="0.25">
      <c r="A516" s="86"/>
      <c r="B516" s="86"/>
      <c r="C516" s="88"/>
      <c r="D516" s="91"/>
      <c r="E516" s="92"/>
      <c r="F516" s="94"/>
    </row>
    <row r="517" spans="1:6" x14ac:dyDescent="0.25">
      <c r="A517" s="86"/>
      <c r="B517" s="86"/>
      <c r="C517" s="88"/>
      <c r="D517" s="91"/>
      <c r="E517" s="92"/>
      <c r="F517" s="94"/>
    </row>
    <row r="518" spans="1:6" x14ac:dyDescent="0.25">
      <c r="A518" s="85"/>
      <c r="B518" s="85"/>
      <c r="C518" s="87"/>
      <c r="D518" s="89"/>
      <c r="E518" s="90"/>
      <c r="F518" s="93"/>
    </row>
    <row r="519" spans="1:6" x14ac:dyDescent="0.25">
      <c r="A519" s="85"/>
      <c r="B519" s="85"/>
      <c r="C519" s="87"/>
      <c r="D519" s="89"/>
      <c r="E519" s="90"/>
      <c r="F519" s="93"/>
    </row>
    <row r="520" spans="1:6" x14ac:dyDescent="0.25">
      <c r="A520" s="85"/>
      <c r="B520" s="85"/>
      <c r="C520" s="87"/>
      <c r="D520" s="89"/>
      <c r="E520" s="90"/>
      <c r="F520" s="93"/>
    </row>
    <row r="521" spans="1:6" x14ac:dyDescent="0.25">
      <c r="A521" s="85"/>
      <c r="B521" s="85"/>
      <c r="C521" s="87"/>
      <c r="D521" s="89"/>
      <c r="E521" s="90"/>
      <c r="F521" s="93"/>
    </row>
    <row r="522" spans="1:6" x14ac:dyDescent="0.25">
      <c r="A522" s="85"/>
      <c r="B522" s="85"/>
      <c r="C522" s="87"/>
      <c r="D522" s="89"/>
      <c r="E522" s="90"/>
      <c r="F522" s="93"/>
    </row>
    <row r="523" spans="1:6" x14ac:dyDescent="0.25">
      <c r="A523" s="85"/>
      <c r="B523" s="85"/>
      <c r="C523" s="87"/>
      <c r="D523" s="89"/>
      <c r="E523" s="90"/>
      <c r="F523" s="93"/>
    </row>
    <row r="524" spans="1:6" x14ac:dyDescent="0.25">
      <c r="A524" s="85"/>
      <c r="B524" s="85"/>
      <c r="C524" s="87"/>
      <c r="D524" s="89"/>
      <c r="E524" s="90"/>
      <c r="F524" s="93"/>
    </row>
    <row r="525" spans="1:6" x14ac:dyDescent="0.25">
      <c r="A525" s="85"/>
      <c r="B525" s="85"/>
      <c r="C525" s="87"/>
      <c r="D525" s="89"/>
      <c r="E525" s="90"/>
      <c r="F525" s="93"/>
    </row>
    <row r="526" spans="1:6" x14ac:dyDescent="0.25">
      <c r="A526" s="85"/>
      <c r="B526" s="85"/>
      <c r="C526" s="87"/>
      <c r="D526" s="89"/>
      <c r="E526" s="90"/>
      <c r="F526" s="93"/>
    </row>
    <row r="527" spans="1:6" x14ac:dyDescent="0.25">
      <c r="A527" s="85"/>
      <c r="B527" s="85"/>
      <c r="C527" s="87"/>
      <c r="D527" s="89"/>
      <c r="E527" s="90"/>
      <c r="F527" s="93"/>
    </row>
    <row r="528" spans="1:6" x14ac:dyDescent="0.25">
      <c r="A528" s="86"/>
      <c r="B528" s="86"/>
      <c r="C528" s="88"/>
      <c r="D528" s="91"/>
      <c r="E528" s="92"/>
      <c r="F528" s="94"/>
    </row>
    <row r="529" spans="1:6" x14ac:dyDescent="0.25">
      <c r="A529" s="86"/>
      <c r="B529" s="86"/>
      <c r="C529" s="88"/>
      <c r="D529" s="91"/>
      <c r="E529" s="92"/>
      <c r="F529" s="94"/>
    </row>
    <row r="530" spans="1:6" x14ac:dyDescent="0.25">
      <c r="A530" s="86"/>
      <c r="B530" s="86"/>
      <c r="C530" s="88"/>
      <c r="D530" s="91"/>
      <c r="E530" s="92"/>
      <c r="F530" s="94"/>
    </row>
    <row r="531" spans="1:6" x14ac:dyDescent="0.25">
      <c r="A531" s="86"/>
      <c r="B531" s="86"/>
      <c r="C531" s="88"/>
      <c r="D531" s="91"/>
      <c r="E531" s="92"/>
      <c r="F531" s="94"/>
    </row>
    <row r="532" spans="1:6" x14ac:dyDescent="0.25">
      <c r="A532" s="86"/>
      <c r="B532" s="86"/>
      <c r="C532" s="88"/>
      <c r="D532" s="91"/>
      <c r="E532" s="92"/>
      <c r="F532" s="94"/>
    </row>
    <row r="533" spans="1:6" x14ac:dyDescent="0.25">
      <c r="A533" s="86"/>
      <c r="B533" s="86"/>
      <c r="C533" s="88"/>
      <c r="D533" s="91"/>
      <c r="E533" s="92"/>
      <c r="F533" s="94"/>
    </row>
    <row r="534" spans="1:6" x14ac:dyDescent="0.25">
      <c r="A534" s="86"/>
      <c r="B534" s="86"/>
      <c r="C534" s="88"/>
      <c r="D534" s="91"/>
      <c r="E534" s="92"/>
      <c r="F534" s="94"/>
    </row>
    <row r="535" spans="1:6" x14ac:dyDescent="0.25">
      <c r="A535" s="86"/>
      <c r="B535" s="86"/>
      <c r="C535" s="88"/>
      <c r="D535" s="91"/>
      <c r="E535" s="92"/>
      <c r="F535" s="94"/>
    </row>
    <row r="536" spans="1:6" x14ac:dyDescent="0.25">
      <c r="A536" s="86"/>
      <c r="B536" s="86"/>
      <c r="C536" s="88"/>
      <c r="D536" s="91"/>
      <c r="E536" s="92"/>
      <c r="F536" s="94"/>
    </row>
    <row r="537" spans="1:6" x14ac:dyDescent="0.25">
      <c r="A537" s="86"/>
      <c r="B537" s="86"/>
      <c r="C537" s="88"/>
      <c r="D537" s="91"/>
      <c r="E537" s="92"/>
      <c r="F537" s="94"/>
    </row>
    <row r="538" spans="1:6" x14ac:dyDescent="0.25">
      <c r="A538" s="86"/>
      <c r="B538" s="86"/>
      <c r="C538" s="88"/>
      <c r="D538" s="91"/>
      <c r="E538" s="92"/>
      <c r="F538" s="94"/>
    </row>
    <row r="539" spans="1:6" x14ac:dyDescent="0.25">
      <c r="A539" s="86"/>
      <c r="B539" s="86"/>
      <c r="C539" s="88"/>
      <c r="D539" s="91"/>
      <c r="E539" s="92"/>
      <c r="F539" s="94"/>
    </row>
    <row r="540" spans="1:6" x14ac:dyDescent="0.25">
      <c r="A540" s="86"/>
      <c r="B540" s="86"/>
      <c r="C540" s="88"/>
      <c r="D540" s="91"/>
      <c r="E540" s="92"/>
      <c r="F540" s="94"/>
    </row>
    <row r="541" spans="1:6" x14ac:dyDescent="0.25">
      <c r="A541" s="86"/>
      <c r="B541" s="86"/>
      <c r="C541" s="88"/>
      <c r="D541" s="91"/>
      <c r="E541" s="92"/>
      <c r="F541" s="94"/>
    </row>
    <row r="542" spans="1:6" x14ac:dyDescent="0.25">
      <c r="A542" s="86"/>
      <c r="B542" s="86"/>
      <c r="C542" s="88"/>
      <c r="D542" s="91"/>
      <c r="E542" s="92"/>
      <c r="F542" s="94"/>
    </row>
    <row r="543" spans="1:6" x14ac:dyDescent="0.25">
      <c r="A543" s="86"/>
      <c r="B543" s="86"/>
      <c r="C543" s="88"/>
      <c r="D543" s="91"/>
      <c r="E543" s="92"/>
      <c r="F543" s="94"/>
    </row>
    <row r="544" spans="1:6" x14ac:dyDescent="0.25">
      <c r="A544" s="86"/>
      <c r="B544" s="86"/>
      <c r="C544" s="88"/>
      <c r="D544" s="91"/>
      <c r="E544" s="92"/>
      <c r="F544" s="94"/>
    </row>
    <row r="545" spans="1:6" x14ac:dyDescent="0.25">
      <c r="A545" s="86"/>
      <c r="B545" s="86"/>
      <c r="C545" s="88"/>
      <c r="D545" s="91"/>
      <c r="E545" s="92"/>
      <c r="F545" s="94"/>
    </row>
    <row r="546" spans="1:6" x14ac:dyDescent="0.25">
      <c r="A546" s="86"/>
      <c r="B546" s="86"/>
      <c r="C546" s="88"/>
      <c r="D546" s="91"/>
      <c r="E546" s="92"/>
      <c r="F546" s="94"/>
    </row>
    <row r="547" spans="1:6" x14ac:dyDescent="0.25">
      <c r="A547" s="86"/>
      <c r="B547" s="86"/>
      <c r="C547" s="88"/>
      <c r="D547" s="91"/>
      <c r="E547" s="92"/>
      <c r="F547" s="94"/>
    </row>
    <row r="548" spans="1:6" x14ac:dyDescent="0.25">
      <c r="A548" s="86"/>
      <c r="B548" s="86"/>
      <c r="C548" s="88"/>
      <c r="D548" s="91"/>
      <c r="E548" s="92"/>
      <c r="F548" s="94"/>
    </row>
    <row r="549" spans="1:6" x14ac:dyDescent="0.25">
      <c r="A549" s="86"/>
      <c r="B549" s="86"/>
      <c r="C549" s="88"/>
      <c r="D549" s="91"/>
      <c r="E549" s="92"/>
      <c r="F549" s="94"/>
    </row>
    <row r="550" spans="1:6" x14ac:dyDescent="0.25">
      <c r="A550" s="86"/>
      <c r="B550" s="86"/>
      <c r="C550" s="88"/>
      <c r="D550" s="91"/>
      <c r="E550" s="92"/>
      <c r="F550" s="94"/>
    </row>
    <row r="551" spans="1:6" x14ac:dyDescent="0.25">
      <c r="A551" s="86"/>
      <c r="B551" s="86"/>
      <c r="C551" s="88"/>
      <c r="D551" s="91"/>
      <c r="E551" s="92"/>
      <c r="F551" s="94"/>
    </row>
    <row r="552" spans="1:6" x14ac:dyDescent="0.25">
      <c r="A552" s="86"/>
      <c r="B552" s="86"/>
      <c r="C552" s="88"/>
      <c r="D552" s="91"/>
      <c r="E552" s="92"/>
      <c r="F552" s="94"/>
    </row>
    <row r="553" spans="1:6" x14ac:dyDescent="0.25">
      <c r="A553" s="86"/>
      <c r="B553" s="86"/>
      <c r="C553" s="88"/>
      <c r="D553" s="91"/>
      <c r="E553" s="92"/>
      <c r="F553" s="94"/>
    </row>
    <row r="554" spans="1:6" x14ac:dyDescent="0.25">
      <c r="A554" s="86"/>
      <c r="B554" s="86"/>
      <c r="C554" s="88"/>
      <c r="D554" s="91"/>
      <c r="E554" s="92"/>
      <c r="F554" s="94"/>
    </row>
    <row r="555" spans="1:6" x14ac:dyDescent="0.25">
      <c r="A555" s="86"/>
      <c r="B555" s="86"/>
      <c r="C555" s="88"/>
      <c r="D555" s="91"/>
      <c r="E555" s="92"/>
      <c r="F555" s="94"/>
    </row>
    <row r="556" spans="1:6" x14ac:dyDescent="0.25">
      <c r="A556" s="86"/>
      <c r="B556" s="86"/>
      <c r="C556" s="88"/>
      <c r="D556" s="91"/>
      <c r="E556" s="92"/>
      <c r="F556" s="94"/>
    </row>
    <row r="557" spans="1:6" x14ac:dyDescent="0.25">
      <c r="A557" s="86"/>
      <c r="B557" s="86"/>
      <c r="C557" s="88"/>
      <c r="D557" s="91"/>
      <c r="E557" s="92"/>
      <c r="F557" s="94"/>
    </row>
    <row r="558" spans="1:6" x14ac:dyDescent="0.25">
      <c r="A558" s="86"/>
      <c r="B558" s="86"/>
      <c r="C558" s="88"/>
      <c r="D558" s="91"/>
      <c r="E558" s="92"/>
      <c r="F558" s="94"/>
    </row>
    <row r="559" spans="1:6" x14ac:dyDescent="0.25">
      <c r="A559" s="86"/>
      <c r="B559" s="86"/>
      <c r="C559" s="88"/>
      <c r="D559" s="91"/>
      <c r="E559" s="92"/>
      <c r="F559" s="94"/>
    </row>
    <row r="560" spans="1:6" x14ac:dyDescent="0.25">
      <c r="A560" s="86"/>
      <c r="B560" s="86"/>
      <c r="C560" s="88"/>
      <c r="D560" s="91"/>
      <c r="E560" s="92"/>
      <c r="F560" s="94"/>
    </row>
    <row r="561" spans="1:6" x14ac:dyDescent="0.25">
      <c r="A561" s="86"/>
      <c r="B561" s="86"/>
      <c r="C561" s="88"/>
      <c r="D561" s="91"/>
      <c r="E561" s="92"/>
      <c r="F561" s="94"/>
    </row>
    <row r="562" spans="1:6" x14ac:dyDescent="0.25">
      <c r="A562" s="86"/>
      <c r="B562" s="86"/>
      <c r="C562" s="88"/>
      <c r="D562" s="91"/>
      <c r="E562" s="92"/>
      <c r="F562" s="94"/>
    </row>
    <row r="563" spans="1:6" x14ac:dyDescent="0.25">
      <c r="A563" s="86"/>
      <c r="B563" s="86"/>
      <c r="C563" s="88"/>
      <c r="D563" s="91"/>
      <c r="E563" s="92"/>
      <c r="F563" s="94"/>
    </row>
    <row r="564" spans="1:6" x14ac:dyDescent="0.25">
      <c r="A564" s="86"/>
      <c r="B564" s="86"/>
      <c r="C564" s="88"/>
      <c r="D564" s="91"/>
      <c r="E564" s="92"/>
      <c r="F564" s="94"/>
    </row>
    <row r="565" spans="1:6" x14ac:dyDescent="0.25">
      <c r="A565" s="86"/>
      <c r="B565" s="86"/>
      <c r="C565" s="88"/>
      <c r="D565" s="91"/>
      <c r="E565" s="92"/>
      <c r="F565" s="94"/>
    </row>
    <row r="566" spans="1:6" x14ac:dyDescent="0.25">
      <c r="A566" s="86"/>
      <c r="B566" s="86"/>
      <c r="C566" s="88"/>
      <c r="D566" s="91"/>
      <c r="E566" s="92"/>
      <c r="F566" s="94"/>
    </row>
    <row r="567" spans="1:6" x14ac:dyDescent="0.25">
      <c r="A567" s="86"/>
      <c r="B567" s="86"/>
      <c r="C567" s="88"/>
      <c r="D567" s="91"/>
      <c r="E567" s="92"/>
      <c r="F567" s="94"/>
    </row>
    <row r="568" spans="1:6" x14ac:dyDescent="0.25">
      <c r="A568" s="86"/>
      <c r="B568" s="86"/>
      <c r="C568" s="88"/>
      <c r="D568" s="91"/>
      <c r="E568" s="92"/>
      <c r="F568" s="94"/>
    </row>
    <row r="569" spans="1:6" x14ac:dyDescent="0.25">
      <c r="A569" s="86"/>
      <c r="B569" s="86"/>
      <c r="C569" s="88"/>
      <c r="D569" s="91"/>
      <c r="E569" s="92"/>
      <c r="F569" s="94"/>
    </row>
    <row r="570" spans="1:6" x14ac:dyDescent="0.25">
      <c r="A570" s="86"/>
      <c r="B570" s="86"/>
      <c r="C570" s="88"/>
      <c r="D570" s="91"/>
      <c r="E570" s="92"/>
      <c r="F570" s="94"/>
    </row>
    <row r="571" spans="1:6" x14ac:dyDescent="0.25">
      <c r="A571" s="86"/>
      <c r="B571" s="86"/>
      <c r="C571" s="88"/>
      <c r="D571" s="91"/>
      <c r="E571" s="92"/>
      <c r="F571" s="94"/>
    </row>
    <row r="572" spans="1:6" x14ac:dyDescent="0.25">
      <c r="A572" s="86"/>
      <c r="B572" s="86"/>
      <c r="C572" s="88"/>
      <c r="D572" s="91"/>
      <c r="E572" s="92"/>
      <c r="F572" s="94"/>
    </row>
    <row r="573" spans="1:6" x14ac:dyDescent="0.25">
      <c r="A573" s="86"/>
      <c r="B573" s="86"/>
      <c r="C573" s="88"/>
      <c r="D573" s="91"/>
      <c r="E573" s="92"/>
      <c r="F573" s="94"/>
    </row>
    <row r="574" spans="1:6" x14ac:dyDescent="0.25">
      <c r="A574" s="86"/>
      <c r="B574" s="86"/>
      <c r="C574" s="88"/>
      <c r="D574" s="91"/>
      <c r="E574" s="92"/>
      <c r="F574" s="94"/>
    </row>
    <row r="575" spans="1:6" x14ac:dyDescent="0.25">
      <c r="A575" s="86"/>
      <c r="B575" s="86"/>
      <c r="C575" s="88"/>
      <c r="D575" s="91"/>
      <c r="E575" s="92"/>
      <c r="F575" s="94"/>
    </row>
    <row r="576" spans="1:6" x14ac:dyDescent="0.25">
      <c r="A576" s="86"/>
      <c r="B576" s="86"/>
      <c r="C576" s="88"/>
      <c r="D576" s="91"/>
      <c r="E576" s="92"/>
      <c r="F576" s="94"/>
    </row>
    <row r="577" spans="1:6" x14ac:dyDescent="0.25">
      <c r="A577" s="86"/>
      <c r="B577" s="86"/>
      <c r="C577" s="88"/>
      <c r="D577" s="91"/>
      <c r="E577" s="92"/>
      <c r="F577" s="94"/>
    </row>
    <row r="578" spans="1:6" x14ac:dyDescent="0.25">
      <c r="A578" s="86"/>
      <c r="B578" s="86"/>
      <c r="C578" s="88"/>
      <c r="D578" s="91"/>
      <c r="E578" s="92"/>
      <c r="F578" s="94"/>
    </row>
    <row r="579" spans="1:6" x14ac:dyDescent="0.25">
      <c r="A579" s="86"/>
      <c r="B579" s="86"/>
      <c r="C579" s="88"/>
      <c r="D579" s="91"/>
      <c r="E579" s="92"/>
      <c r="F579" s="94"/>
    </row>
    <row r="580" spans="1:6" x14ac:dyDescent="0.25">
      <c r="A580" s="86"/>
      <c r="B580" s="86"/>
      <c r="C580" s="88"/>
      <c r="D580" s="91"/>
      <c r="E580" s="92"/>
      <c r="F580" s="94"/>
    </row>
    <row r="581" spans="1:6" x14ac:dyDescent="0.25">
      <c r="A581" s="86"/>
      <c r="B581" s="86"/>
      <c r="C581" s="88"/>
      <c r="D581" s="91"/>
      <c r="E581" s="92"/>
      <c r="F581" s="94"/>
    </row>
    <row r="582" spans="1:6" x14ac:dyDescent="0.25">
      <c r="A582" s="86"/>
      <c r="B582" s="86"/>
      <c r="C582" s="88"/>
      <c r="D582" s="91"/>
      <c r="E582" s="92"/>
      <c r="F582" s="94"/>
    </row>
    <row r="583" spans="1:6" x14ac:dyDescent="0.25">
      <c r="A583" s="86"/>
      <c r="B583" s="86"/>
      <c r="C583" s="88"/>
      <c r="D583" s="91"/>
      <c r="E583" s="92"/>
      <c r="F583" s="94"/>
    </row>
    <row r="584" spans="1:6" x14ac:dyDescent="0.25">
      <c r="A584" s="86"/>
      <c r="B584" s="86"/>
      <c r="C584" s="88"/>
      <c r="D584" s="91"/>
      <c r="E584" s="92"/>
      <c r="F584" s="94"/>
    </row>
    <row r="585" spans="1:6" x14ac:dyDescent="0.25">
      <c r="A585" s="86"/>
      <c r="B585" s="86"/>
      <c r="C585" s="88"/>
      <c r="D585" s="91"/>
      <c r="E585" s="92"/>
      <c r="F585" s="94"/>
    </row>
    <row r="586" spans="1:6" x14ac:dyDescent="0.25">
      <c r="A586" s="86"/>
      <c r="B586" s="86"/>
      <c r="C586" s="88"/>
      <c r="D586" s="91"/>
      <c r="E586" s="92"/>
      <c r="F586" s="94"/>
    </row>
    <row r="587" spans="1:6" x14ac:dyDescent="0.25">
      <c r="A587" s="86"/>
      <c r="B587" s="86"/>
      <c r="C587" s="88"/>
      <c r="D587" s="91"/>
      <c r="E587" s="92"/>
      <c r="F587" s="94"/>
    </row>
    <row r="588" spans="1:6" x14ac:dyDescent="0.25">
      <c r="A588" s="86"/>
      <c r="B588" s="86"/>
      <c r="C588" s="88"/>
      <c r="D588" s="91"/>
      <c r="E588" s="92"/>
      <c r="F588" s="94"/>
    </row>
    <row r="589" spans="1:6" x14ac:dyDescent="0.25">
      <c r="A589" s="86"/>
      <c r="B589" s="86"/>
      <c r="C589" s="88"/>
      <c r="D589" s="91"/>
      <c r="E589" s="92"/>
      <c r="F589" s="94"/>
    </row>
    <row r="590" spans="1:6" x14ac:dyDescent="0.25">
      <c r="A590" s="86"/>
      <c r="B590" s="86"/>
      <c r="C590" s="88"/>
      <c r="D590" s="91"/>
      <c r="E590" s="92"/>
      <c r="F590" s="94"/>
    </row>
    <row r="591" spans="1:6" x14ac:dyDescent="0.25">
      <c r="A591" s="86"/>
      <c r="B591" s="86"/>
      <c r="C591" s="88"/>
      <c r="D591" s="91"/>
      <c r="E591" s="92"/>
      <c r="F591" s="94"/>
    </row>
    <row r="592" spans="1:6" x14ac:dyDescent="0.25">
      <c r="A592" s="86"/>
      <c r="B592" s="86"/>
      <c r="C592" s="88"/>
      <c r="D592" s="91"/>
      <c r="E592" s="92"/>
      <c r="F592" s="94"/>
    </row>
    <row r="593" spans="1:6" x14ac:dyDescent="0.25">
      <c r="A593" s="86"/>
      <c r="B593" s="86"/>
      <c r="C593" s="88"/>
      <c r="D593" s="91"/>
      <c r="E593" s="92"/>
      <c r="F593" s="94"/>
    </row>
    <row r="594" spans="1:6" x14ac:dyDescent="0.25">
      <c r="A594" s="86"/>
      <c r="B594" s="86"/>
      <c r="C594" s="88"/>
      <c r="D594" s="91"/>
      <c r="E594" s="92"/>
      <c r="F594" s="94"/>
    </row>
    <row r="595" spans="1:6" x14ac:dyDescent="0.25">
      <c r="A595" s="86"/>
      <c r="B595" s="86"/>
      <c r="C595" s="88"/>
      <c r="D595" s="91"/>
      <c r="E595" s="92"/>
      <c r="F595" s="94"/>
    </row>
    <row r="596" spans="1:6" x14ac:dyDescent="0.25">
      <c r="A596" s="86"/>
      <c r="B596" s="86"/>
      <c r="C596" s="88"/>
      <c r="D596" s="91"/>
      <c r="E596" s="92"/>
      <c r="F596" s="94"/>
    </row>
    <row r="597" spans="1:6" x14ac:dyDescent="0.25">
      <c r="A597" s="86"/>
      <c r="B597" s="86"/>
      <c r="C597" s="88"/>
      <c r="D597" s="91"/>
      <c r="E597" s="92"/>
      <c r="F597" s="94"/>
    </row>
    <row r="598" spans="1:6" x14ac:dyDescent="0.25">
      <c r="A598" s="86"/>
      <c r="B598" s="86"/>
      <c r="C598" s="88"/>
      <c r="D598" s="91"/>
      <c r="E598" s="92"/>
      <c r="F598" s="94"/>
    </row>
    <row r="599" spans="1:6" x14ac:dyDescent="0.25">
      <c r="A599" s="86"/>
      <c r="B599" s="86"/>
      <c r="C599" s="88"/>
      <c r="D599" s="91"/>
      <c r="E599" s="92"/>
      <c r="F599" s="94"/>
    </row>
    <row r="600" spans="1:6" x14ac:dyDescent="0.25">
      <c r="A600" s="86"/>
      <c r="B600" s="86"/>
      <c r="C600" s="88"/>
      <c r="D600" s="91"/>
      <c r="E600" s="92"/>
      <c r="F600" s="94"/>
    </row>
    <row r="601" spans="1:6" x14ac:dyDescent="0.25">
      <c r="A601" s="86"/>
      <c r="B601" s="86"/>
      <c r="C601" s="88"/>
      <c r="D601" s="91"/>
      <c r="E601" s="92"/>
      <c r="F601" s="94"/>
    </row>
    <row r="602" spans="1:6" x14ac:dyDescent="0.25">
      <c r="A602" s="86"/>
      <c r="B602" s="86"/>
      <c r="C602" s="88"/>
      <c r="D602" s="91"/>
      <c r="E602" s="92"/>
      <c r="F602" s="94"/>
    </row>
    <row r="603" spans="1:6" x14ac:dyDescent="0.25">
      <c r="A603" s="86"/>
      <c r="B603" s="86"/>
      <c r="C603" s="88"/>
      <c r="D603" s="91"/>
      <c r="E603" s="92"/>
      <c r="F603" s="94"/>
    </row>
    <row r="604" spans="1:6" x14ac:dyDescent="0.25">
      <c r="A604" s="86"/>
      <c r="B604" s="86"/>
      <c r="C604" s="88"/>
      <c r="D604" s="91"/>
      <c r="E604" s="92"/>
      <c r="F604" s="94"/>
    </row>
    <row r="605" spans="1:6" x14ac:dyDescent="0.25">
      <c r="A605" s="86"/>
      <c r="B605" s="86"/>
      <c r="C605" s="88"/>
      <c r="D605" s="91"/>
      <c r="E605" s="92"/>
      <c r="F605" s="94"/>
    </row>
    <row r="606" spans="1:6" x14ac:dyDescent="0.25">
      <c r="A606" s="86"/>
      <c r="B606" s="86"/>
      <c r="C606" s="88"/>
      <c r="D606" s="91"/>
      <c r="E606" s="92"/>
      <c r="F606" s="94"/>
    </row>
    <row r="607" spans="1:6" x14ac:dyDescent="0.25">
      <c r="A607" s="86"/>
      <c r="B607" s="86"/>
      <c r="C607" s="88"/>
      <c r="D607" s="91"/>
      <c r="E607" s="92"/>
      <c r="F607" s="94"/>
    </row>
    <row r="608" spans="1:6" x14ac:dyDescent="0.25">
      <c r="A608" s="86"/>
      <c r="B608" s="86"/>
      <c r="C608" s="88"/>
      <c r="D608" s="91"/>
      <c r="E608" s="92"/>
      <c r="F608" s="94"/>
    </row>
    <row r="609" spans="1:6" x14ac:dyDescent="0.25">
      <c r="A609" s="86"/>
      <c r="B609" s="86"/>
      <c r="C609" s="88"/>
      <c r="D609" s="91"/>
      <c r="E609" s="92"/>
      <c r="F609" s="94"/>
    </row>
    <row r="610" spans="1:6" x14ac:dyDescent="0.25">
      <c r="A610" s="86"/>
      <c r="B610" s="86"/>
      <c r="C610" s="88"/>
      <c r="D610" s="91"/>
      <c r="E610" s="92"/>
      <c r="F610" s="94"/>
    </row>
    <row r="611" spans="1:6" x14ac:dyDescent="0.25">
      <c r="A611" s="86"/>
      <c r="B611" s="86"/>
      <c r="C611" s="88"/>
      <c r="D611" s="91"/>
      <c r="E611" s="92"/>
      <c r="F611" s="94"/>
    </row>
    <row r="612" spans="1:6" x14ac:dyDescent="0.25">
      <c r="A612" s="86"/>
      <c r="B612" s="86"/>
      <c r="C612" s="88"/>
      <c r="D612" s="91"/>
      <c r="E612" s="92"/>
      <c r="F612" s="94"/>
    </row>
    <row r="613" spans="1:6" x14ac:dyDescent="0.25">
      <c r="A613" s="86"/>
      <c r="B613" s="86"/>
      <c r="C613" s="88"/>
      <c r="D613" s="91"/>
      <c r="E613" s="92"/>
      <c r="F613" s="94"/>
    </row>
    <row r="614" spans="1:6" x14ac:dyDescent="0.25">
      <c r="A614" s="86"/>
      <c r="B614" s="86"/>
      <c r="C614" s="88"/>
      <c r="D614" s="91"/>
      <c r="E614" s="92"/>
      <c r="F614" s="94"/>
    </row>
    <row r="615" spans="1:6" x14ac:dyDescent="0.25">
      <c r="A615" s="86"/>
      <c r="B615" s="86"/>
      <c r="C615" s="88"/>
      <c r="D615" s="91"/>
      <c r="E615" s="92"/>
      <c r="F615" s="94"/>
    </row>
    <row r="616" spans="1:6" x14ac:dyDescent="0.25">
      <c r="A616" s="86"/>
      <c r="B616" s="86"/>
      <c r="C616" s="88"/>
      <c r="D616" s="91"/>
      <c r="E616" s="92"/>
      <c r="F616" s="94"/>
    </row>
    <row r="617" spans="1:6" x14ac:dyDescent="0.25">
      <c r="A617" s="86"/>
      <c r="B617" s="86"/>
      <c r="C617" s="88"/>
      <c r="D617" s="91"/>
      <c r="E617" s="92"/>
      <c r="F617" s="94"/>
    </row>
    <row r="618" spans="1:6" x14ac:dyDescent="0.25">
      <c r="A618" s="86"/>
      <c r="B618" s="86"/>
      <c r="C618" s="88"/>
      <c r="D618" s="91"/>
      <c r="E618" s="92"/>
      <c r="F618" s="94"/>
    </row>
    <row r="619" spans="1:6" x14ac:dyDescent="0.25">
      <c r="A619" s="86"/>
      <c r="B619" s="86"/>
      <c r="C619" s="88"/>
      <c r="D619" s="91"/>
      <c r="E619" s="92"/>
      <c r="F619" s="94"/>
    </row>
    <row r="620" spans="1:6" x14ac:dyDescent="0.25">
      <c r="A620" s="86"/>
      <c r="B620" s="86"/>
      <c r="C620" s="88"/>
      <c r="D620" s="91"/>
      <c r="E620" s="92"/>
      <c r="F620" s="94"/>
    </row>
    <row r="621" spans="1:6" x14ac:dyDescent="0.25">
      <c r="A621" s="86"/>
      <c r="B621" s="86"/>
      <c r="C621" s="88"/>
      <c r="D621" s="91"/>
      <c r="E621" s="92"/>
      <c r="F621" s="94"/>
    </row>
    <row r="622" spans="1:6" x14ac:dyDescent="0.25">
      <c r="A622" s="86"/>
      <c r="B622" s="86"/>
      <c r="C622" s="88"/>
      <c r="D622" s="91"/>
      <c r="E622" s="92"/>
      <c r="F622" s="94"/>
    </row>
    <row r="623" spans="1:6" x14ac:dyDescent="0.25">
      <c r="A623" s="86"/>
      <c r="B623" s="86"/>
      <c r="C623" s="88"/>
      <c r="D623" s="91"/>
      <c r="E623" s="92"/>
      <c r="F623" s="94"/>
    </row>
    <row r="624" spans="1:6" x14ac:dyDescent="0.25">
      <c r="A624" s="86"/>
      <c r="B624" s="86"/>
      <c r="C624" s="88"/>
      <c r="D624" s="91"/>
      <c r="E624" s="92"/>
      <c r="F624" s="94"/>
    </row>
    <row r="625" spans="1:6" x14ac:dyDescent="0.25">
      <c r="A625" s="86"/>
      <c r="B625" s="86"/>
      <c r="C625" s="88"/>
      <c r="D625" s="91"/>
      <c r="E625" s="92"/>
      <c r="F625" s="94"/>
    </row>
    <row r="626" spans="1:6" x14ac:dyDescent="0.25">
      <c r="A626" s="86"/>
      <c r="B626" s="86"/>
      <c r="C626" s="88"/>
      <c r="D626" s="91"/>
      <c r="E626" s="92"/>
      <c r="F626" s="94"/>
    </row>
    <row r="627" spans="1:6" x14ac:dyDescent="0.25">
      <c r="A627" s="86"/>
      <c r="B627" s="86"/>
      <c r="C627" s="88"/>
      <c r="D627" s="91"/>
      <c r="E627" s="92"/>
      <c r="F627" s="94"/>
    </row>
    <row r="628" spans="1:6" x14ac:dyDescent="0.25">
      <c r="A628" s="86"/>
      <c r="B628" s="86"/>
      <c r="C628" s="88"/>
      <c r="D628" s="91"/>
      <c r="E628" s="92"/>
      <c r="F628" s="94"/>
    </row>
    <row r="629" spans="1:6" x14ac:dyDescent="0.25">
      <c r="A629" s="86"/>
      <c r="B629" s="86"/>
      <c r="C629" s="88"/>
      <c r="D629" s="91"/>
      <c r="E629" s="92"/>
      <c r="F629" s="94"/>
    </row>
    <row r="630" spans="1:6" x14ac:dyDescent="0.25">
      <c r="A630" s="86"/>
      <c r="B630" s="86"/>
      <c r="C630" s="88"/>
      <c r="D630" s="91"/>
      <c r="E630" s="92"/>
      <c r="F630" s="94"/>
    </row>
    <row r="631" spans="1:6" x14ac:dyDescent="0.25">
      <c r="A631" s="86"/>
      <c r="B631" s="86"/>
      <c r="C631" s="88"/>
      <c r="D631" s="91"/>
      <c r="E631" s="92"/>
      <c r="F631" s="94"/>
    </row>
    <row r="632" spans="1:6" x14ac:dyDescent="0.25">
      <c r="A632" s="86"/>
      <c r="B632" s="86"/>
      <c r="C632" s="88"/>
      <c r="D632" s="91"/>
      <c r="E632" s="92"/>
      <c r="F632" s="94"/>
    </row>
    <row r="633" spans="1:6" x14ac:dyDescent="0.25">
      <c r="A633" s="86"/>
      <c r="B633" s="86"/>
      <c r="C633" s="88"/>
      <c r="D633" s="91"/>
      <c r="E633" s="92"/>
      <c r="F633" s="94"/>
    </row>
    <row r="634" spans="1:6" x14ac:dyDescent="0.25">
      <c r="A634" s="86"/>
      <c r="B634" s="86"/>
      <c r="C634" s="88"/>
      <c r="D634" s="91"/>
      <c r="E634" s="92"/>
      <c r="F634" s="94"/>
    </row>
    <row r="635" spans="1:6" x14ac:dyDescent="0.25">
      <c r="A635" s="86"/>
      <c r="B635" s="86"/>
      <c r="C635" s="88"/>
      <c r="D635" s="91"/>
      <c r="E635" s="92"/>
      <c r="F635" s="94"/>
    </row>
    <row r="636" spans="1:6" x14ac:dyDescent="0.25">
      <c r="A636" s="86"/>
      <c r="B636" s="86"/>
      <c r="C636" s="88"/>
      <c r="D636" s="91"/>
      <c r="E636" s="92"/>
      <c r="F636" s="94"/>
    </row>
    <row r="637" spans="1:6" x14ac:dyDescent="0.25">
      <c r="A637" s="86"/>
      <c r="B637" s="86"/>
      <c r="C637" s="88"/>
      <c r="D637" s="91"/>
      <c r="E637" s="92"/>
      <c r="F637" s="94"/>
    </row>
    <row r="638" spans="1:6" x14ac:dyDescent="0.25">
      <c r="A638" s="86"/>
      <c r="B638" s="86"/>
      <c r="C638" s="88"/>
      <c r="D638" s="91"/>
      <c r="E638" s="92"/>
      <c r="F638" s="94"/>
    </row>
    <row r="639" spans="1:6" x14ac:dyDescent="0.25">
      <c r="A639" s="86"/>
      <c r="B639" s="86"/>
      <c r="C639" s="88"/>
      <c r="D639" s="91"/>
      <c r="E639" s="92"/>
      <c r="F639" s="94"/>
    </row>
    <row r="640" spans="1:6" x14ac:dyDescent="0.25">
      <c r="A640" s="86"/>
      <c r="B640" s="86"/>
      <c r="C640" s="88"/>
      <c r="D640" s="91"/>
      <c r="E640" s="92"/>
      <c r="F640" s="94"/>
    </row>
    <row r="641" spans="1:6" x14ac:dyDescent="0.25">
      <c r="A641" s="86"/>
      <c r="B641" s="86"/>
      <c r="C641" s="88"/>
      <c r="D641" s="91"/>
      <c r="E641" s="92"/>
      <c r="F641" s="94"/>
    </row>
    <row r="642" spans="1:6" x14ac:dyDescent="0.25">
      <c r="A642" s="86"/>
      <c r="B642" s="86"/>
      <c r="C642" s="88"/>
      <c r="D642" s="91"/>
      <c r="E642" s="92"/>
      <c r="F642" s="94"/>
    </row>
    <row r="643" spans="1:6" x14ac:dyDescent="0.25">
      <c r="A643" s="86"/>
      <c r="B643" s="86"/>
      <c r="C643" s="88"/>
      <c r="D643" s="91"/>
      <c r="E643" s="92"/>
      <c r="F643" s="94"/>
    </row>
    <row r="644" spans="1:6" x14ac:dyDescent="0.25">
      <c r="A644" s="86"/>
      <c r="B644" s="86"/>
      <c r="C644" s="88"/>
      <c r="D644" s="91"/>
      <c r="E644" s="92"/>
      <c r="F644" s="94"/>
    </row>
    <row r="645" spans="1:6" x14ac:dyDescent="0.25">
      <c r="A645" s="86"/>
      <c r="B645" s="86"/>
      <c r="C645" s="88"/>
      <c r="D645" s="91"/>
      <c r="E645" s="92"/>
      <c r="F645" s="94"/>
    </row>
    <row r="646" spans="1:6" x14ac:dyDescent="0.25">
      <c r="A646" s="86"/>
      <c r="B646" s="86"/>
      <c r="C646" s="88"/>
      <c r="D646" s="91"/>
      <c r="E646" s="92"/>
      <c r="F646" s="94"/>
    </row>
    <row r="647" spans="1:6" x14ac:dyDescent="0.25">
      <c r="A647" s="86"/>
      <c r="B647" s="86"/>
      <c r="C647" s="88"/>
      <c r="D647" s="91"/>
      <c r="E647" s="92"/>
      <c r="F647" s="94"/>
    </row>
    <row r="648" spans="1:6" x14ac:dyDescent="0.25">
      <c r="A648" s="86"/>
      <c r="B648" s="86"/>
      <c r="C648" s="88"/>
      <c r="D648" s="91"/>
      <c r="E648" s="92"/>
      <c r="F648" s="94"/>
    </row>
    <row r="649" spans="1:6" x14ac:dyDescent="0.25">
      <c r="A649" s="86"/>
      <c r="B649" s="86"/>
      <c r="C649" s="88"/>
      <c r="D649" s="91"/>
      <c r="E649" s="92"/>
      <c r="F649" s="94"/>
    </row>
    <row r="650" spans="1:6" x14ac:dyDescent="0.25">
      <c r="A650" s="86"/>
      <c r="B650" s="86"/>
      <c r="C650" s="88"/>
      <c r="D650" s="91"/>
      <c r="E650" s="92"/>
      <c r="F650" s="94"/>
    </row>
    <row r="651" spans="1:6" x14ac:dyDescent="0.25">
      <c r="A651" s="86"/>
      <c r="B651" s="86"/>
      <c r="C651" s="88"/>
      <c r="D651" s="91"/>
      <c r="E651" s="92"/>
      <c r="F651" s="94"/>
    </row>
    <row r="652" spans="1:6" x14ac:dyDescent="0.25">
      <c r="A652" s="86"/>
      <c r="B652" s="86"/>
      <c r="C652" s="88"/>
      <c r="D652" s="91"/>
      <c r="E652" s="92"/>
      <c r="F652" s="94"/>
    </row>
    <row r="653" spans="1:6" x14ac:dyDescent="0.25">
      <c r="A653" s="86"/>
      <c r="B653" s="86"/>
      <c r="C653" s="88"/>
      <c r="D653" s="91"/>
      <c r="E653" s="92"/>
      <c r="F653" s="94"/>
    </row>
    <row r="654" spans="1:6" x14ac:dyDescent="0.25">
      <c r="A654" s="86"/>
      <c r="B654" s="86"/>
      <c r="C654" s="88"/>
      <c r="D654" s="91"/>
      <c r="E654" s="92"/>
      <c r="F654" s="94"/>
    </row>
    <row r="655" spans="1:6" x14ac:dyDescent="0.25">
      <c r="A655" s="86"/>
      <c r="B655" s="86"/>
      <c r="C655" s="88"/>
      <c r="D655" s="91"/>
      <c r="E655" s="92"/>
      <c r="F655" s="94"/>
    </row>
    <row r="656" spans="1:6" x14ac:dyDescent="0.25">
      <c r="A656" s="86"/>
      <c r="B656" s="86"/>
      <c r="C656" s="88"/>
      <c r="D656" s="91"/>
      <c r="E656" s="92"/>
      <c r="F656" s="94"/>
    </row>
    <row r="657" spans="1:6" x14ac:dyDescent="0.25">
      <c r="A657" s="86"/>
      <c r="B657" s="86"/>
      <c r="C657" s="88"/>
      <c r="D657" s="91"/>
      <c r="E657" s="92"/>
      <c r="F657" s="94"/>
    </row>
    <row r="658" spans="1:6" x14ac:dyDescent="0.25">
      <c r="A658" s="86"/>
      <c r="B658" s="86"/>
      <c r="C658" s="88"/>
      <c r="D658" s="91"/>
      <c r="E658" s="92"/>
      <c r="F658" s="94"/>
    </row>
    <row r="659" spans="1:6" x14ac:dyDescent="0.25">
      <c r="A659" s="86"/>
      <c r="B659" s="86"/>
      <c r="C659" s="88"/>
      <c r="D659" s="91"/>
      <c r="E659" s="92"/>
      <c r="F659" s="94"/>
    </row>
    <row r="660" spans="1:6" x14ac:dyDescent="0.25">
      <c r="A660" s="86"/>
      <c r="B660" s="86"/>
      <c r="C660" s="88"/>
      <c r="D660" s="91"/>
      <c r="E660" s="92"/>
      <c r="F660" s="94"/>
    </row>
    <row r="661" spans="1:6" x14ac:dyDescent="0.25">
      <c r="A661" s="86"/>
      <c r="B661" s="86"/>
      <c r="C661" s="88"/>
      <c r="D661" s="91"/>
      <c r="E661" s="92"/>
      <c r="F661" s="94"/>
    </row>
    <row r="662" spans="1:6" x14ac:dyDescent="0.25">
      <c r="A662" s="86"/>
      <c r="B662" s="86"/>
      <c r="C662" s="88"/>
      <c r="D662" s="91"/>
      <c r="E662" s="92"/>
      <c r="F662" s="94"/>
    </row>
    <row r="663" spans="1:6" x14ac:dyDescent="0.25">
      <c r="A663" s="86"/>
      <c r="B663" s="86"/>
      <c r="C663" s="88"/>
      <c r="D663" s="91"/>
      <c r="E663" s="92"/>
      <c r="F663" s="94"/>
    </row>
    <row r="664" spans="1:6" x14ac:dyDescent="0.25">
      <c r="A664" s="86"/>
      <c r="B664" s="86"/>
      <c r="C664" s="88"/>
      <c r="D664" s="91"/>
      <c r="E664" s="92"/>
      <c r="F664" s="94"/>
    </row>
    <row r="665" spans="1:6" x14ac:dyDescent="0.25">
      <c r="A665" s="86"/>
      <c r="B665" s="86"/>
      <c r="C665" s="88"/>
      <c r="D665" s="91"/>
      <c r="E665" s="92"/>
      <c r="F665" s="94"/>
    </row>
    <row r="666" spans="1:6" x14ac:dyDescent="0.25">
      <c r="A666" s="86"/>
      <c r="B666" s="86"/>
      <c r="C666" s="88"/>
      <c r="D666" s="91"/>
      <c r="E666" s="92"/>
      <c r="F666" s="94"/>
    </row>
    <row r="667" spans="1:6" x14ac:dyDescent="0.25">
      <c r="A667" s="86"/>
      <c r="B667" s="86"/>
      <c r="C667" s="88"/>
      <c r="D667" s="91"/>
      <c r="E667" s="92"/>
      <c r="F667" s="94"/>
    </row>
    <row r="668" spans="1:6" x14ac:dyDescent="0.25">
      <c r="A668" s="86"/>
      <c r="B668" s="86"/>
      <c r="C668" s="88"/>
      <c r="D668" s="91"/>
      <c r="E668" s="92"/>
      <c r="F668" s="94"/>
    </row>
    <row r="669" spans="1:6" x14ac:dyDescent="0.25">
      <c r="A669" s="86"/>
      <c r="B669" s="86"/>
      <c r="C669" s="88"/>
      <c r="D669" s="91"/>
      <c r="E669" s="92"/>
      <c r="F669" s="94"/>
    </row>
    <row r="670" spans="1:6" x14ac:dyDescent="0.25">
      <c r="A670" s="86"/>
      <c r="B670" s="86"/>
      <c r="C670" s="88"/>
      <c r="D670" s="91"/>
      <c r="E670" s="92"/>
      <c r="F670" s="94"/>
    </row>
    <row r="671" spans="1:6" x14ac:dyDescent="0.25">
      <c r="A671" s="86"/>
      <c r="B671" s="86"/>
      <c r="C671" s="88"/>
      <c r="D671" s="91"/>
      <c r="E671" s="92"/>
      <c r="F671" s="94"/>
    </row>
    <row r="672" spans="1:6" x14ac:dyDescent="0.25">
      <c r="A672" s="86"/>
      <c r="B672" s="86"/>
      <c r="C672" s="88"/>
      <c r="D672" s="91"/>
      <c r="E672" s="92"/>
      <c r="F672" s="94"/>
    </row>
    <row r="673" spans="1:6" x14ac:dyDescent="0.25">
      <c r="A673" s="86"/>
      <c r="B673" s="86"/>
      <c r="C673" s="88"/>
      <c r="D673" s="91"/>
      <c r="E673" s="92"/>
      <c r="F673" s="94"/>
    </row>
    <row r="674" spans="1:6" x14ac:dyDescent="0.25">
      <c r="A674" s="86"/>
      <c r="B674" s="86"/>
      <c r="C674" s="88"/>
      <c r="D674" s="91"/>
      <c r="E674" s="92"/>
      <c r="F674" s="94"/>
    </row>
    <row r="675" spans="1:6" x14ac:dyDescent="0.25">
      <c r="A675" s="86"/>
      <c r="B675" s="86"/>
      <c r="C675" s="88"/>
      <c r="D675" s="91"/>
      <c r="E675" s="92"/>
      <c r="F675" s="94"/>
    </row>
    <row r="676" spans="1:6" x14ac:dyDescent="0.25">
      <c r="A676" s="86"/>
      <c r="B676" s="86"/>
      <c r="C676" s="88"/>
      <c r="D676" s="91"/>
      <c r="E676" s="92"/>
      <c r="F676" s="94"/>
    </row>
    <row r="677" spans="1:6" x14ac:dyDescent="0.25">
      <c r="A677" s="86"/>
      <c r="B677" s="86"/>
      <c r="C677" s="88"/>
      <c r="D677" s="91"/>
      <c r="E677" s="92"/>
      <c r="F677" s="94"/>
    </row>
    <row r="678" spans="1:6" x14ac:dyDescent="0.25">
      <c r="A678" s="86"/>
      <c r="B678" s="86"/>
      <c r="C678" s="88"/>
      <c r="D678" s="91"/>
      <c r="E678" s="92"/>
      <c r="F678" s="94"/>
    </row>
    <row r="679" spans="1:6" x14ac:dyDescent="0.25">
      <c r="A679" s="86"/>
      <c r="B679" s="86"/>
      <c r="C679" s="88"/>
      <c r="D679" s="91"/>
      <c r="E679" s="92"/>
      <c r="F679" s="94"/>
    </row>
    <row r="680" spans="1:6" x14ac:dyDescent="0.25">
      <c r="A680" s="86"/>
      <c r="B680" s="86"/>
      <c r="C680" s="88"/>
      <c r="D680" s="91"/>
      <c r="E680" s="92"/>
      <c r="F680" s="94"/>
    </row>
    <row r="681" spans="1:6" x14ac:dyDescent="0.25">
      <c r="A681" s="86"/>
      <c r="B681" s="86"/>
      <c r="C681" s="88"/>
      <c r="D681" s="91"/>
      <c r="E681" s="92"/>
      <c r="F681" s="94"/>
    </row>
    <row r="682" spans="1:6" x14ac:dyDescent="0.25">
      <c r="A682" s="86"/>
      <c r="B682" s="86"/>
      <c r="C682" s="88"/>
      <c r="D682" s="91"/>
      <c r="E682" s="92"/>
      <c r="F682" s="94"/>
    </row>
    <row r="683" spans="1:6" x14ac:dyDescent="0.25">
      <c r="A683" s="86"/>
      <c r="B683" s="86"/>
      <c r="C683" s="88"/>
      <c r="D683" s="91"/>
      <c r="E683" s="92"/>
      <c r="F683" s="94"/>
    </row>
    <row r="684" spans="1:6" x14ac:dyDescent="0.25">
      <c r="A684" s="86"/>
      <c r="B684" s="86"/>
      <c r="C684" s="88"/>
      <c r="D684" s="91"/>
      <c r="E684" s="92"/>
      <c r="F684" s="94"/>
    </row>
    <row r="685" spans="1:6" x14ac:dyDescent="0.25">
      <c r="A685" s="86"/>
      <c r="B685" s="86"/>
      <c r="C685" s="88"/>
      <c r="D685" s="91"/>
      <c r="E685" s="92"/>
      <c r="F685" s="94"/>
    </row>
    <row r="686" spans="1:6" x14ac:dyDescent="0.25">
      <c r="A686" s="86"/>
      <c r="B686" s="86"/>
      <c r="C686" s="88"/>
      <c r="D686" s="91"/>
      <c r="E686" s="92"/>
      <c r="F686" s="94"/>
    </row>
    <row r="687" spans="1:6" x14ac:dyDescent="0.25">
      <c r="A687" s="86"/>
      <c r="B687" s="86"/>
      <c r="C687" s="88"/>
      <c r="D687" s="91"/>
      <c r="E687" s="92"/>
      <c r="F687" s="94"/>
    </row>
    <row r="688" spans="1:6" x14ac:dyDescent="0.25">
      <c r="A688" s="86"/>
      <c r="B688" s="86"/>
      <c r="C688" s="88"/>
      <c r="D688" s="91"/>
      <c r="E688" s="92"/>
      <c r="F688" s="94"/>
    </row>
    <row r="689" spans="1:6" x14ac:dyDescent="0.25">
      <c r="A689" s="86"/>
      <c r="B689" s="86"/>
      <c r="C689" s="88"/>
      <c r="D689" s="91"/>
      <c r="E689" s="92"/>
      <c r="F689" s="94"/>
    </row>
    <row r="690" spans="1:6" x14ac:dyDescent="0.25">
      <c r="A690" s="86"/>
      <c r="B690" s="86"/>
      <c r="C690" s="88"/>
      <c r="D690" s="91"/>
      <c r="E690" s="92"/>
      <c r="F690" s="94"/>
    </row>
    <row r="691" spans="1:6" x14ac:dyDescent="0.25">
      <c r="A691" s="86"/>
      <c r="B691" s="86"/>
      <c r="C691" s="88"/>
      <c r="D691" s="91"/>
      <c r="E691" s="92"/>
      <c r="F691" s="94"/>
    </row>
    <row r="692" spans="1:6" x14ac:dyDescent="0.25">
      <c r="A692" s="86"/>
      <c r="B692" s="86"/>
      <c r="C692" s="88"/>
      <c r="D692" s="91"/>
      <c r="E692" s="92"/>
      <c r="F692" s="94"/>
    </row>
    <row r="693" spans="1:6" x14ac:dyDescent="0.25">
      <c r="A693" s="86"/>
      <c r="B693" s="86"/>
      <c r="C693" s="88"/>
      <c r="D693" s="91"/>
      <c r="E693" s="92"/>
      <c r="F693" s="94"/>
    </row>
    <row r="694" spans="1:6" x14ac:dyDescent="0.25">
      <c r="A694" s="86"/>
      <c r="B694" s="86"/>
      <c r="C694" s="88"/>
      <c r="D694" s="91"/>
      <c r="E694" s="92"/>
      <c r="F694" s="94"/>
    </row>
    <row r="695" spans="1:6" x14ac:dyDescent="0.25">
      <c r="A695" s="86"/>
      <c r="B695" s="86"/>
      <c r="C695" s="88"/>
      <c r="D695" s="91"/>
      <c r="E695" s="92"/>
      <c r="F695" s="94"/>
    </row>
    <row r="696" spans="1:6" x14ac:dyDescent="0.25">
      <c r="A696" s="86"/>
      <c r="B696" s="86"/>
      <c r="C696" s="88"/>
      <c r="D696" s="91"/>
      <c r="E696" s="92"/>
      <c r="F696" s="94"/>
    </row>
    <row r="697" spans="1:6" x14ac:dyDescent="0.25">
      <c r="A697" s="86"/>
      <c r="B697" s="86"/>
      <c r="C697" s="88"/>
      <c r="D697" s="91"/>
      <c r="E697" s="92"/>
      <c r="F697" s="94"/>
    </row>
    <row r="698" spans="1:6" x14ac:dyDescent="0.25">
      <c r="A698" s="86"/>
      <c r="B698" s="86"/>
      <c r="C698" s="88"/>
      <c r="D698" s="91"/>
      <c r="E698" s="92"/>
      <c r="F698" s="94"/>
    </row>
    <row r="699" spans="1:6" x14ac:dyDescent="0.25">
      <c r="A699" s="86"/>
      <c r="B699" s="86"/>
      <c r="C699" s="88"/>
      <c r="D699" s="91"/>
      <c r="E699" s="92"/>
      <c r="F699" s="94"/>
    </row>
    <row r="700" spans="1:6" x14ac:dyDescent="0.25">
      <c r="A700" s="86"/>
      <c r="B700" s="86"/>
      <c r="C700" s="88"/>
      <c r="D700" s="91"/>
      <c r="E700" s="92"/>
      <c r="F700" s="94"/>
    </row>
    <row r="701" spans="1:6" x14ac:dyDescent="0.25">
      <c r="A701" s="86"/>
      <c r="B701" s="86"/>
      <c r="C701" s="88"/>
      <c r="D701" s="91"/>
      <c r="E701" s="92"/>
      <c r="F701" s="94"/>
    </row>
    <row r="702" spans="1:6" x14ac:dyDescent="0.25">
      <c r="A702" s="86"/>
      <c r="B702" s="86"/>
      <c r="C702" s="88"/>
      <c r="D702" s="91"/>
      <c r="E702" s="92"/>
      <c r="F702" s="94"/>
    </row>
    <row r="703" spans="1:6" x14ac:dyDescent="0.25">
      <c r="A703" s="86"/>
      <c r="B703" s="86"/>
      <c r="C703" s="88"/>
      <c r="D703" s="91"/>
      <c r="E703" s="92"/>
      <c r="F703" s="94"/>
    </row>
    <row r="704" spans="1:6" x14ac:dyDescent="0.25">
      <c r="A704" s="86"/>
      <c r="B704" s="86"/>
      <c r="C704" s="88"/>
      <c r="D704" s="91"/>
      <c r="E704" s="92"/>
      <c r="F704" s="94"/>
    </row>
    <row r="705" spans="1:6" x14ac:dyDescent="0.25">
      <c r="A705" s="86"/>
      <c r="B705" s="86"/>
      <c r="C705" s="88"/>
      <c r="D705" s="91"/>
      <c r="E705" s="92"/>
      <c r="F705" s="94"/>
    </row>
    <row r="706" spans="1:6" x14ac:dyDescent="0.25">
      <c r="A706" s="86"/>
      <c r="B706" s="86"/>
      <c r="C706" s="88"/>
      <c r="D706" s="91"/>
      <c r="E706" s="92"/>
      <c r="F706" s="94"/>
    </row>
    <row r="707" spans="1:6" x14ac:dyDescent="0.25">
      <c r="A707" s="86"/>
      <c r="B707" s="86"/>
      <c r="C707" s="88"/>
      <c r="D707" s="91"/>
      <c r="E707" s="92"/>
      <c r="F707" s="94"/>
    </row>
    <row r="708" spans="1:6" x14ac:dyDescent="0.25">
      <c r="A708" s="86"/>
      <c r="B708" s="86"/>
      <c r="C708" s="88"/>
      <c r="D708" s="91"/>
      <c r="E708" s="92"/>
      <c r="F708" s="94"/>
    </row>
    <row r="709" spans="1:6" x14ac:dyDescent="0.25">
      <c r="A709" s="86"/>
      <c r="B709" s="86"/>
      <c r="C709" s="88"/>
      <c r="D709" s="91"/>
      <c r="E709" s="92"/>
      <c r="F709" s="94"/>
    </row>
    <row r="710" spans="1:6" x14ac:dyDescent="0.25">
      <c r="A710" s="86"/>
      <c r="B710" s="86"/>
      <c r="C710" s="88"/>
      <c r="D710" s="91"/>
      <c r="E710" s="92"/>
      <c r="F710" s="94"/>
    </row>
    <row r="711" spans="1:6" x14ac:dyDescent="0.25">
      <c r="A711" s="86"/>
      <c r="B711" s="86"/>
      <c r="C711" s="88"/>
      <c r="D711" s="91"/>
      <c r="E711" s="92"/>
      <c r="F711" s="94"/>
    </row>
    <row r="712" spans="1:6" x14ac:dyDescent="0.25">
      <c r="A712" s="86"/>
      <c r="B712" s="86"/>
      <c r="C712" s="88"/>
      <c r="D712" s="91"/>
      <c r="E712" s="92"/>
      <c r="F712" s="94"/>
    </row>
    <row r="713" spans="1:6" x14ac:dyDescent="0.25">
      <c r="A713" s="86"/>
      <c r="B713" s="86"/>
      <c r="C713" s="88"/>
      <c r="D713" s="91"/>
      <c r="E713" s="92"/>
      <c r="F713" s="94"/>
    </row>
    <row r="714" spans="1:6" x14ac:dyDescent="0.25">
      <c r="A714" s="86"/>
      <c r="B714" s="86"/>
      <c r="C714" s="88"/>
      <c r="D714" s="91"/>
      <c r="E714" s="92"/>
      <c r="F714" s="94"/>
    </row>
    <row r="715" spans="1:6" x14ac:dyDescent="0.25">
      <c r="A715" s="86"/>
      <c r="B715" s="86"/>
      <c r="C715" s="88"/>
      <c r="D715" s="91"/>
      <c r="E715" s="92"/>
      <c r="F715" s="94"/>
    </row>
    <row r="716" spans="1:6" x14ac:dyDescent="0.25">
      <c r="A716" s="86"/>
      <c r="B716" s="86"/>
      <c r="C716" s="88"/>
      <c r="D716" s="91"/>
      <c r="E716" s="92"/>
      <c r="F716" s="94"/>
    </row>
    <row r="717" spans="1:6" x14ac:dyDescent="0.25">
      <c r="A717" s="86"/>
      <c r="B717" s="86"/>
      <c r="C717" s="88"/>
      <c r="D717" s="91"/>
      <c r="E717" s="92"/>
      <c r="F717" s="94"/>
    </row>
    <row r="718" spans="1:6" x14ac:dyDescent="0.25">
      <c r="A718" s="86"/>
      <c r="B718" s="86"/>
      <c r="C718" s="88"/>
      <c r="D718" s="91"/>
      <c r="E718" s="92"/>
      <c r="F718" s="94"/>
    </row>
    <row r="719" spans="1:6" x14ac:dyDescent="0.25">
      <c r="A719" s="86"/>
      <c r="B719" s="86"/>
      <c r="C719" s="88"/>
      <c r="D719" s="91"/>
      <c r="E719" s="92"/>
      <c r="F719" s="94"/>
    </row>
    <row r="720" spans="1:6" x14ac:dyDescent="0.25">
      <c r="A720" s="86"/>
      <c r="B720" s="86"/>
      <c r="C720" s="88"/>
      <c r="D720" s="91"/>
      <c r="E720" s="92"/>
      <c r="F720" s="94"/>
    </row>
    <row r="721" spans="1:6" x14ac:dyDescent="0.25">
      <c r="A721" s="86"/>
      <c r="B721" s="86"/>
      <c r="C721" s="88"/>
      <c r="D721" s="91"/>
      <c r="E721" s="92"/>
      <c r="F721" s="94"/>
    </row>
    <row r="722" spans="1:6" x14ac:dyDescent="0.25">
      <c r="A722" s="86"/>
      <c r="B722" s="86"/>
      <c r="C722" s="88"/>
      <c r="D722" s="91"/>
      <c r="E722" s="92"/>
      <c r="F722" s="94"/>
    </row>
    <row r="723" spans="1:6" x14ac:dyDescent="0.25">
      <c r="A723" s="86"/>
      <c r="B723" s="86"/>
      <c r="C723" s="88"/>
      <c r="D723" s="91"/>
      <c r="E723" s="92"/>
      <c r="F723" s="94"/>
    </row>
    <row r="724" spans="1:6" x14ac:dyDescent="0.25">
      <c r="A724" s="86"/>
      <c r="B724" s="86"/>
      <c r="C724" s="88"/>
      <c r="D724" s="91"/>
      <c r="E724" s="92"/>
      <c r="F724" s="94"/>
    </row>
    <row r="725" spans="1:6" x14ac:dyDescent="0.25">
      <c r="A725" s="86"/>
      <c r="B725" s="86"/>
      <c r="C725" s="88"/>
      <c r="D725" s="91"/>
      <c r="E725" s="92"/>
      <c r="F725" s="94"/>
    </row>
    <row r="726" spans="1:6" x14ac:dyDescent="0.25">
      <c r="A726" s="86"/>
      <c r="B726" s="86"/>
      <c r="C726" s="88"/>
      <c r="D726" s="91"/>
      <c r="E726" s="92"/>
      <c r="F726" s="94"/>
    </row>
    <row r="727" spans="1:6" x14ac:dyDescent="0.25">
      <c r="A727" s="86"/>
      <c r="B727" s="86"/>
      <c r="C727" s="88"/>
      <c r="D727" s="91"/>
      <c r="E727" s="92"/>
      <c r="F727" s="94"/>
    </row>
    <row r="728" spans="1:6" x14ac:dyDescent="0.25">
      <c r="A728" s="86"/>
      <c r="B728" s="86"/>
      <c r="C728" s="88"/>
      <c r="D728" s="91"/>
      <c r="E728" s="92"/>
      <c r="F728" s="94"/>
    </row>
    <row r="729" spans="1:6" x14ac:dyDescent="0.25">
      <c r="A729" s="86"/>
      <c r="B729" s="86"/>
      <c r="C729" s="88"/>
      <c r="D729" s="91"/>
      <c r="E729" s="92"/>
      <c r="F729" s="94"/>
    </row>
    <row r="730" spans="1:6" x14ac:dyDescent="0.25">
      <c r="A730" s="86"/>
      <c r="B730" s="86"/>
      <c r="C730" s="88"/>
      <c r="D730" s="91"/>
      <c r="E730" s="92"/>
      <c r="F730" s="94"/>
    </row>
    <row r="731" spans="1:6" x14ac:dyDescent="0.25">
      <c r="A731" s="86"/>
      <c r="B731" s="86"/>
      <c r="C731" s="88"/>
      <c r="D731" s="91"/>
      <c r="E731" s="92"/>
      <c r="F731" s="94"/>
    </row>
    <row r="732" spans="1:6" x14ac:dyDescent="0.25">
      <c r="A732" s="86"/>
      <c r="B732" s="86"/>
      <c r="C732" s="88"/>
      <c r="D732" s="91"/>
      <c r="E732" s="92"/>
      <c r="F732" s="94"/>
    </row>
    <row r="733" spans="1:6" x14ac:dyDescent="0.25">
      <c r="A733" s="86"/>
      <c r="B733" s="86"/>
      <c r="C733" s="88"/>
      <c r="D733" s="91"/>
      <c r="E733" s="92"/>
      <c r="F733" s="94"/>
    </row>
    <row r="734" spans="1:6" x14ac:dyDescent="0.25">
      <c r="A734" s="86"/>
      <c r="B734" s="86"/>
      <c r="C734" s="88"/>
      <c r="D734" s="91"/>
      <c r="E734" s="92"/>
      <c r="F734" s="94"/>
    </row>
    <row r="735" spans="1:6" x14ac:dyDescent="0.25">
      <c r="A735" s="86"/>
      <c r="B735" s="86"/>
      <c r="C735" s="88"/>
      <c r="D735" s="91"/>
      <c r="E735" s="92"/>
      <c r="F735" s="94"/>
    </row>
    <row r="736" spans="1:6" x14ac:dyDescent="0.25">
      <c r="A736" s="86"/>
      <c r="B736" s="86"/>
      <c r="C736" s="88"/>
      <c r="D736" s="91"/>
      <c r="E736" s="92"/>
      <c r="F736" s="94"/>
    </row>
    <row r="737" spans="1:6" x14ac:dyDescent="0.25">
      <c r="A737" s="86"/>
      <c r="B737" s="86"/>
      <c r="C737" s="88"/>
      <c r="D737" s="91"/>
      <c r="E737" s="92"/>
      <c r="F737" s="94"/>
    </row>
    <row r="738" spans="1:6" x14ac:dyDescent="0.25">
      <c r="A738" s="86"/>
      <c r="B738" s="86"/>
      <c r="C738" s="88"/>
      <c r="D738" s="91"/>
      <c r="E738" s="92"/>
      <c r="F738" s="94"/>
    </row>
    <row r="739" spans="1:6" x14ac:dyDescent="0.25">
      <c r="A739" s="86"/>
      <c r="B739" s="86"/>
      <c r="C739" s="88"/>
      <c r="D739" s="91"/>
      <c r="E739" s="92"/>
      <c r="F739" s="94"/>
    </row>
    <row r="740" spans="1:6" x14ac:dyDescent="0.25">
      <c r="A740" s="86"/>
      <c r="B740" s="86"/>
      <c r="C740" s="88"/>
      <c r="D740" s="91"/>
      <c r="E740" s="92"/>
      <c r="F740" s="94"/>
    </row>
    <row r="741" spans="1:6" x14ac:dyDescent="0.25">
      <c r="A741" s="86"/>
      <c r="B741" s="86"/>
      <c r="C741" s="88"/>
      <c r="D741" s="91"/>
      <c r="E741" s="92"/>
      <c r="F741" s="94"/>
    </row>
    <row r="742" spans="1:6" x14ac:dyDescent="0.25">
      <c r="A742" s="86"/>
      <c r="B742" s="86"/>
      <c r="C742" s="88"/>
      <c r="D742" s="91"/>
      <c r="E742" s="92"/>
      <c r="F742" s="94"/>
    </row>
    <row r="743" spans="1:6" x14ac:dyDescent="0.25">
      <c r="A743" s="86"/>
      <c r="B743" s="86"/>
      <c r="C743" s="88"/>
      <c r="D743" s="91"/>
      <c r="E743" s="92"/>
      <c r="F743" s="94"/>
    </row>
    <row r="744" spans="1:6" x14ac:dyDescent="0.25">
      <c r="A744" s="86"/>
      <c r="B744" s="86"/>
      <c r="C744" s="88"/>
      <c r="D744" s="91"/>
      <c r="E744" s="92"/>
      <c r="F744" s="94"/>
    </row>
    <row r="745" spans="1:6" x14ac:dyDescent="0.25">
      <c r="A745" s="86"/>
      <c r="B745" s="86"/>
      <c r="C745" s="88"/>
      <c r="D745" s="91"/>
      <c r="E745" s="92"/>
      <c r="F745" s="94"/>
    </row>
    <row r="746" spans="1:6" x14ac:dyDescent="0.25">
      <c r="A746" s="86"/>
      <c r="B746" s="86"/>
      <c r="C746" s="88"/>
      <c r="D746" s="91"/>
      <c r="E746" s="92"/>
      <c r="F746" s="94"/>
    </row>
    <row r="747" spans="1:6" x14ac:dyDescent="0.25">
      <c r="A747" s="86"/>
      <c r="B747" s="86"/>
      <c r="C747" s="88"/>
      <c r="D747" s="91"/>
      <c r="E747" s="92"/>
      <c r="F747" s="94"/>
    </row>
    <row r="748" spans="1:6" x14ac:dyDescent="0.25">
      <c r="A748" s="86"/>
      <c r="B748" s="86"/>
      <c r="C748" s="88"/>
      <c r="D748" s="91"/>
      <c r="E748" s="92"/>
      <c r="F748" s="94"/>
    </row>
    <row r="749" spans="1:6" x14ac:dyDescent="0.25">
      <c r="A749" s="86"/>
      <c r="B749" s="86"/>
      <c r="C749" s="88"/>
      <c r="D749" s="91"/>
      <c r="E749" s="92"/>
      <c r="F749" s="94"/>
    </row>
    <row r="750" spans="1:6" x14ac:dyDescent="0.25">
      <c r="A750" s="86"/>
      <c r="B750" s="86"/>
      <c r="C750" s="88"/>
      <c r="D750" s="91"/>
      <c r="E750" s="92"/>
      <c r="F750" s="94"/>
    </row>
    <row r="751" spans="1:6" x14ac:dyDescent="0.25">
      <c r="A751" s="86"/>
      <c r="B751" s="86"/>
      <c r="C751" s="88"/>
      <c r="D751" s="91"/>
      <c r="E751" s="92"/>
      <c r="F751" s="94"/>
    </row>
    <row r="752" spans="1:6" x14ac:dyDescent="0.25">
      <c r="A752" s="86"/>
      <c r="B752" s="86"/>
      <c r="C752" s="88"/>
      <c r="D752" s="91"/>
      <c r="E752" s="92"/>
      <c r="F752" s="94"/>
    </row>
    <row r="753" spans="1:6" x14ac:dyDescent="0.25">
      <c r="A753" s="86"/>
      <c r="B753" s="86"/>
      <c r="C753" s="88"/>
      <c r="D753" s="91"/>
      <c r="E753" s="92"/>
      <c r="F753" s="94"/>
    </row>
    <row r="754" spans="1:6" x14ac:dyDescent="0.25">
      <c r="A754" s="86"/>
      <c r="B754" s="86"/>
      <c r="C754" s="88"/>
      <c r="D754" s="91"/>
      <c r="E754" s="92"/>
      <c r="F754" s="94"/>
    </row>
    <row r="755" spans="1:6" x14ac:dyDescent="0.25">
      <c r="A755" s="86"/>
      <c r="B755" s="86"/>
      <c r="C755" s="88"/>
      <c r="D755" s="91"/>
      <c r="E755" s="92"/>
      <c r="F755" s="94"/>
    </row>
    <row r="756" spans="1:6" x14ac:dyDescent="0.25">
      <c r="A756" s="86"/>
      <c r="B756" s="86"/>
      <c r="C756" s="88"/>
      <c r="D756" s="91"/>
      <c r="E756" s="92"/>
      <c r="F756" s="94"/>
    </row>
    <row r="757" spans="1:6" x14ac:dyDescent="0.25">
      <c r="A757" s="86"/>
      <c r="B757" s="86"/>
      <c r="C757" s="88"/>
      <c r="D757" s="91"/>
      <c r="E757" s="92"/>
      <c r="F757" s="94"/>
    </row>
    <row r="758" spans="1:6" x14ac:dyDescent="0.25">
      <c r="A758" s="86"/>
      <c r="B758" s="86"/>
      <c r="C758" s="88"/>
      <c r="D758" s="91"/>
      <c r="E758" s="92"/>
      <c r="F758" s="94"/>
    </row>
    <row r="759" spans="1:6" x14ac:dyDescent="0.25">
      <c r="A759" s="86"/>
      <c r="B759" s="86"/>
      <c r="C759" s="88"/>
      <c r="D759" s="91"/>
      <c r="E759" s="92"/>
      <c r="F759" s="94"/>
    </row>
    <row r="760" spans="1:6" x14ac:dyDescent="0.25">
      <c r="A760" s="86"/>
      <c r="B760" s="86"/>
      <c r="C760" s="88"/>
      <c r="D760" s="91"/>
      <c r="E760" s="92"/>
      <c r="F760" s="94"/>
    </row>
    <row r="761" spans="1:6" x14ac:dyDescent="0.25">
      <c r="A761" s="86"/>
      <c r="B761" s="86"/>
      <c r="C761" s="88"/>
      <c r="D761" s="91"/>
      <c r="E761" s="92"/>
      <c r="F761" s="94"/>
    </row>
    <row r="762" spans="1:6" x14ac:dyDescent="0.25">
      <c r="A762" s="86"/>
      <c r="B762" s="86"/>
      <c r="C762" s="88"/>
      <c r="D762" s="91"/>
      <c r="E762" s="92"/>
      <c r="F762" s="94"/>
    </row>
    <row r="763" spans="1:6" x14ac:dyDescent="0.25">
      <c r="A763" s="86"/>
      <c r="B763" s="86"/>
      <c r="C763" s="88"/>
      <c r="D763" s="91"/>
      <c r="E763" s="92"/>
      <c r="F763" s="94"/>
    </row>
    <row r="764" spans="1:6" x14ac:dyDescent="0.25">
      <c r="A764" s="86"/>
      <c r="B764" s="86"/>
      <c r="C764" s="88"/>
      <c r="D764" s="91"/>
      <c r="E764" s="92"/>
      <c r="F764" s="94"/>
    </row>
    <row r="765" spans="1:6" x14ac:dyDescent="0.25">
      <c r="A765" s="86"/>
      <c r="B765" s="86"/>
      <c r="C765" s="88"/>
      <c r="D765" s="91"/>
      <c r="E765" s="92"/>
      <c r="F765" s="94"/>
    </row>
    <row r="766" spans="1:6" x14ac:dyDescent="0.25">
      <c r="A766" s="86"/>
      <c r="B766" s="86"/>
      <c r="C766" s="88"/>
      <c r="D766" s="91"/>
      <c r="E766" s="92"/>
      <c r="F766" s="94"/>
    </row>
    <row r="767" spans="1:6" x14ac:dyDescent="0.25">
      <c r="A767" s="86"/>
      <c r="B767" s="86"/>
      <c r="C767" s="88"/>
      <c r="D767" s="91"/>
      <c r="E767" s="92"/>
      <c r="F767" s="94"/>
    </row>
    <row r="768" spans="1:6" x14ac:dyDescent="0.25">
      <c r="A768" s="86"/>
      <c r="B768" s="86"/>
      <c r="C768" s="88"/>
      <c r="D768" s="91"/>
      <c r="E768" s="92"/>
      <c r="F768" s="94"/>
    </row>
    <row r="769" spans="1:6" x14ac:dyDescent="0.25">
      <c r="A769" s="86"/>
      <c r="B769" s="86"/>
      <c r="C769" s="88"/>
      <c r="D769" s="91"/>
      <c r="E769" s="92"/>
      <c r="F769" s="94"/>
    </row>
    <row r="770" spans="1:6" x14ac:dyDescent="0.25">
      <c r="A770" s="86"/>
      <c r="B770" s="86"/>
      <c r="C770" s="88"/>
      <c r="D770" s="91"/>
      <c r="E770" s="92"/>
      <c r="F770" s="94"/>
    </row>
    <row r="771" spans="1:6" x14ac:dyDescent="0.25">
      <c r="A771" s="86"/>
      <c r="B771" s="86"/>
      <c r="C771" s="88"/>
      <c r="D771" s="91"/>
      <c r="E771" s="92"/>
      <c r="F771" s="94"/>
    </row>
    <row r="772" spans="1:6" x14ac:dyDescent="0.25">
      <c r="A772" s="86"/>
      <c r="B772" s="86"/>
      <c r="C772" s="88"/>
      <c r="D772" s="91"/>
      <c r="E772" s="92"/>
      <c r="F772" s="94"/>
    </row>
    <row r="773" spans="1:6" x14ac:dyDescent="0.25">
      <c r="A773" s="86"/>
      <c r="B773" s="86"/>
      <c r="C773" s="88"/>
      <c r="D773" s="91"/>
      <c r="E773" s="92"/>
      <c r="F773" s="94"/>
    </row>
    <row r="774" spans="1:6" x14ac:dyDescent="0.25">
      <c r="A774" s="86"/>
      <c r="B774" s="86"/>
      <c r="C774" s="88"/>
      <c r="D774" s="91"/>
      <c r="E774" s="92"/>
      <c r="F774" s="94"/>
    </row>
    <row r="775" spans="1:6" x14ac:dyDescent="0.25">
      <c r="A775" s="86"/>
      <c r="B775" s="86"/>
      <c r="C775" s="88"/>
      <c r="D775" s="91"/>
      <c r="E775" s="92"/>
      <c r="F775" s="94"/>
    </row>
    <row r="776" spans="1:6" x14ac:dyDescent="0.25">
      <c r="A776" s="86"/>
      <c r="B776" s="86"/>
      <c r="C776" s="88"/>
      <c r="D776" s="91"/>
      <c r="E776" s="92"/>
      <c r="F776" s="94"/>
    </row>
    <row r="777" spans="1:6" x14ac:dyDescent="0.25">
      <c r="A777" s="86"/>
      <c r="B777" s="86"/>
      <c r="C777" s="88"/>
      <c r="D777" s="91"/>
      <c r="E777" s="92"/>
      <c r="F777" s="94"/>
    </row>
    <row r="778" spans="1:6" x14ac:dyDescent="0.25">
      <c r="A778" s="86"/>
      <c r="B778" s="86"/>
      <c r="C778" s="88"/>
      <c r="D778" s="91"/>
      <c r="E778" s="92"/>
      <c r="F778" s="94"/>
    </row>
    <row r="779" spans="1:6" x14ac:dyDescent="0.25">
      <c r="A779" s="86"/>
      <c r="B779" s="86"/>
      <c r="C779" s="88"/>
      <c r="D779" s="91"/>
      <c r="E779" s="92"/>
      <c r="F779" s="94"/>
    </row>
    <row r="780" spans="1:6" x14ac:dyDescent="0.25">
      <c r="A780" s="86"/>
      <c r="B780" s="86"/>
      <c r="C780" s="88"/>
      <c r="D780" s="91"/>
      <c r="E780" s="92"/>
      <c r="F780" s="94"/>
    </row>
    <row r="781" spans="1:6" x14ac:dyDescent="0.25">
      <c r="A781" s="86"/>
      <c r="B781" s="86"/>
      <c r="C781" s="88"/>
      <c r="D781" s="91"/>
      <c r="E781" s="92"/>
      <c r="F781" s="94"/>
    </row>
    <row r="782" spans="1:6" x14ac:dyDescent="0.25">
      <c r="A782" s="86"/>
      <c r="B782" s="86"/>
      <c r="C782" s="88"/>
      <c r="D782" s="91"/>
      <c r="E782" s="92"/>
      <c r="F782" s="94"/>
    </row>
    <row r="783" spans="1:6" x14ac:dyDescent="0.25">
      <c r="A783" s="86"/>
      <c r="B783" s="86"/>
      <c r="C783" s="88"/>
      <c r="D783" s="91"/>
      <c r="E783" s="92"/>
      <c r="F783" s="94"/>
    </row>
    <row r="784" spans="1:6" x14ac:dyDescent="0.25">
      <c r="A784" s="86"/>
      <c r="B784" s="86"/>
      <c r="C784" s="88"/>
      <c r="D784" s="91"/>
      <c r="E784" s="92"/>
      <c r="F784" s="94"/>
    </row>
    <row r="785" spans="1:6" x14ac:dyDescent="0.25">
      <c r="A785" s="86"/>
      <c r="B785" s="86"/>
      <c r="C785" s="88"/>
      <c r="D785" s="91"/>
      <c r="E785" s="92"/>
      <c r="F785" s="94"/>
    </row>
    <row r="786" spans="1:6" x14ac:dyDescent="0.25">
      <c r="A786" s="86"/>
      <c r="B786" s="86"/>
      <c r="C786" s="88"/>
      <c r="D786" s="91"/>
      <c r="E786" s="92"/>
      <c r="F786" s="94"/>
    </row>
    <row r="787" spans="1:6" x14ac:dyDescent="0.25">
      <c r="A787" s="86"/>
      <c r="B787" s="86"/>
      <c r="C787" s="88"/>
      <c r="D787" s="91"/>
      <c r="E787" s="92"/>
      <c r="F787" s="94"/>
    </row>
    <row r="788" spans="1:6" x14ac:dyDescent="0.25">
      <c r="A788" s="86"/>
      <c r="B788" s="86"/>
      <c r="C788" s="88"/>
      <c r="D788" s="91"/>
      <c r="E788" s="92"/>
      <c r="F788" s="94"/>
    </row>
    <row r="789" spans="1:6" x14ac:dyDescent="0.25">
      <c r="A789" s="86"/>
      <c r="B789" s="86"/>
      <c r="C789" s="88"/>
      <c r="D789" s="91"/>
      <c r="E789" s="92"/>
      <c r="F789" s="94"/>
    </row>
    <row r="790" spans="1:6" x14ac:dyDescent="0.25">
      <c r="A790" s="86"/>
      <c r="B790" s="86"/>
      <c r="C790" s="88"/>
      <c r="D790" s="91"/>
      <c r="E790" s="92"/>
      <c r="F790" s="94"/>
    </row>
    <row r="791" spans="1:6" x14ac:dyDescent="0.25">
      <c r="A791" s="86"/>
      <c r="B791" s="86"/>
      <c r="C791" s="88"/>
      <c r="D791" s="91"/>
      <c r="E791" s="92"/>
      <c r="F791" s="94"/>
    </row>
    <row r="792" spans="1:6" x14ac:dyDescent="0.25">
      <c r="A792" s="86"/>
      <c r="B792" s="86"/>
      <c r="C792" s="88"/>
      <c r="D792" s="91"/>
      <c r="E792" s="92"/>
      <c r="F792" s="94"/>
    </row>
    <row r="793" spans="1:6" x14ac:dyDescent="0.25">
      <c r="A793" s="86"/>
      <c r="B793" s="86"/>
      <c r="C793" s="88"/>
      <c r="D793" s="91"/>
      <c r="E793" s="92"/>
      <c r="F793" s="94"/>
    </row>
    <row r="794" spans="1:6" x14ac:dyDescent="0.25">
      <c r="A794" s="86"/>
      <c r="B794" s="86"/>
      <c r="C794" s="88"/>
      <c r="D794" s="91"/>
      <c r="E794" s="92"/>
      <c r="F794" s="94"/>
    </row>
    <row r="795" spans="1:6" x14ac:dyDescent="0.25">
      <c r="A795" s="86"/>
      <c r="B795" s="86"/>
      <c r="C795" s="88"/>
      <c r="D795" s="91"/>
      <c r="E795" s="92"/>
      <c r="F795" s="94"/>
    </row>
    <row r="796" spans="1:6" x14ac:dyDescent="0.25">
      <c r="A796" s="86"/>
      <c r="B796" s="86"/>
      <c r="C796" s="88"/>
      <c r="D796" s="91"/>
      <c r="E796" s="92"/>
      <c r="F796" s="94"/>
    </row>
    <row r="797" spans="1:6" x14ac:dyDescent="0.25">
      <c r="A797" s="86"/>
      <c r="B797" s="86"/>
      <c r="C797" s="88"/>
      <c r="D797" s="91"/>
      <c r="E797" s="92"/>
      <c r="F797" s="94"/>
    </row>
    <row r="798" spans="1:6" x14ac:dyDescent="0.25">
      <c r="A798" s="86"/>
      <c r="B798" s="86"/>
      <c r="C798" s="88"/>
      <c r="D798" s="91"/>
      <c r="E798" s="92"/>
      <c r="F798" s="94"/>
    </row>
    <row r="799" spans="1:6" x14ac:dyDescent="0.25">
      <c r="A799" s="86"/>
      <c r="B799" s="86"/>
      <c r="C799" s="88"/>
      <c r="D799" s="91"/>
      <c r="E799" s="92"/>
      <c r="F799" s="94"/>
    </row>
    <row r="800" spans="1:6" x14ac:dyDescent="0.25">
      <c r="A800" s="86"/>
      <c r="B800" s="86"/>
      <c r="C800" s="88"/>
      <c r="D800" s="91"/>
      <c r="E800" s="92"/>
      <c r="F800" s="94"/>
    </row>
    <row r="801" spans="1:6" x14ac:dyDescent="0.25">
      <c r="A801" s="86"/>
      <c r="B801" s="86"/>
      <c r="C801" s="88"/>
      <c r="D801" s="91"/>
      <c r="E801" s="92"/>
      <c r="F801" s="94"/>
    </row>
    <row r="802" spans="1:6" x14ac:dyDescent="0.25">
      <c r="A802" s="86"/>
      <c r="B802" s="86"/>
      <c r="C802" s="88"/>
      <c r="D802" s="91"/>
      <c r="E802" s="92"/>
      <c r="F802" s="94"/>
    </row>
    <row r="803" spans="1:6" x14ac:dyDescent="0.25">
      <c r="A803" s="86"/>
      <c r="B803" s="86"/>
      <c r="C803" s="88"/>
      <c r="D803" s="91"/>
      <c r="E803" s="92"/>
      <c r="F803" s="94"/>
    </row>
    <row r="804" spans="1:6" x14ac:dyDescent="0.25">
      <c r="A804" s="86"/>
      <c r="B804" s="86"/>
      <c r="C804" s="88"/>
      <c r="D804" s="91"/>
      <c r="E804" s="92"/>
      <c r="F804" s="94"/>
    </row>
    <row r="805" spans="1:6" x14ac:dyDescent="0.25">
      <c r="A805" s="86"/>
      <c r="B805" s="86"/>
      <c r="C805" s="88"/>
      <c r="D805" s="91"/>
      <c r="E805" s="92"/>
      <c r="F805" s="94"/>
    </row>
    <row r="806" spans="1:6" x14ac:dyDescent="0.25">
      <c r="A806" s="86"/>
      <c r="B806" s="86"/>
      <c r="C806" s="88"/>
      <c r="D806" s="91"/>
      <c r="E806" s="92"/>
      <c r="F806" s="94"/>
    </row>
    <row r="807" spans="1:6" x14ac:dyDescent="0.25">
      <c r="A807" s="86"/>
      <c r="B807" s="86"/>
      <c r="C807" s="88"/>
      <c r="D807" s="91"/>
      <c r="E807" s="92"/>
      <c r="F807" s="94"/>
    </row>
    <row r="808" spans="1:6" x14ac:dyDescent="0.25">
      <c r="A808" s="86"/>
      <c r="B808" s="86"/>
      <c r="C808" s="88"/>
      <c r="D808" s="91"/>
      <c r="E808" s="92"/>
      <c r="F808" s="94"/>
    </row>
    <row r="809" spans="1:6" x14ac:dyDescent="0.25">
      <c r="A809" s="86"/>
      <c r="B809" s="86"/>
      <c r="C809" s="88"/>
      <c r="D809" s="91"/>
      <c r="E809" s="92"/>
      <c r="F809" s="94"/>
    </row>
    <row r="810" spans="1:6" x14ac:dyDescent="0.25">
      <c r="A810" s="86"/>
      <c r="B810" s="86"/>
      <c r="C810" s="88"/>
      <c r="D810" s="91"/>
      <c r="E810" s="92"/>
      <c r="F810" s="94"/>
    </row>
    <row r="811" spans="1:6" x14ac:dyDescent="0.25">
      <c r="A811" s="86"/>
      <c r="B811" s="86"/>
      <c r="C811" s="88"/>
      <c r="D811" s="91"/>
      <c r="E811" s="92"/>
      <c r="F811" s="94"/>
    </row>
    <row r="812" spans="1:6" x14ac:dyDescent="0.25">
      <c r="A812" s="86"/>
      <c r="B812" s="86"/>
      <c r="C812" s="88"/>
      <c r="D812" s="91"/>
      <c r="E812" s="92"/>
      <c r="F812" s="94"/>
    </row>
    <row r="813" spans="1:6" x14ac:dyDescent="0.25">
      <c r="A813" s="86"/>
      <c r="B813" s="86"/>
      <c r="C813" s="88"/>
      <c r="D813" s="91"/>
      <c r="E813" s="92"/>
      <c r="F813" s="94"/>
    </row>
    <row r="814" spans="1:6" x14ac:dyDescent="0.25">
      <c r="A814" s="86"/>
      <c r="B814" s="86"/>
      <c r="C814" s="88"/>
      <c r="D814" s="91"/>
      <c r="E814" s="92"/>
      <c r="F814" s="94"/>
    </row>
    <row r="815" spans="1:6" x14ac:dyDescent="0.25">
      <c r="A815" s="86"/>
      <c r="B815" s="86"/>
      <c r="C815" s="88"/>
      <c r="D815" s="91"/>
      <c r="E815" s="92"/>
      <c r="F815" s="94"/>
    </row>
    <row r="816" spans="1:6" x14ac:dyDescent="0.25">
      <c r="A816" s="86"/>
      <c r="B816" s="86"/>
      <c r="C816" s="88"/>
      <c r="D816" s="91"/>
      <c r="E816" s="92"/>
      <c r="F816" s="94"/>
    </row>
    <row r="817" spans="1:6" x14ac:dyDescent="0.25">
      <c r="A817" s="86"/>
      <c r="B817" s="86"/>
      <c r="C817" s="88"/>
      <c r="D817" s="91"/>
      <c r="E817" s="92"/>
      <c r="F817" s="94"/>
    </row>
    <row r="818" spans="1:6" x14ac:dyDescent="0.25">
      <c r="A818" s="86"/>
      <c r="B818" s="86"/>
      <c r="C818" s="88"/>
      <c r="D818" s="91"/>
      <c r="E818" s="92"/>
      <c r="F818" s="94"/>
    </row>
    <row r="819" spans="1:6" x14ac:dyDescent="0.25">
      <c r="A819" s="86"/>
      <c r="B819" s="86"/>
      <c r="C819" s="88"/>
      <c r="D819" s="91"/>
      <c r="E819" s="92"/>
      <c r="F819" s="94"/>
    </row>
    <row r="820" spans="1:6" x14ac:dyDescent="0.25">
      <c r="A820" s="86"/>
      <c r="B820" s="86"/>
      <c r="C820" s="88"/>
      <c r="D820" s="91"/>
      <c r="E820" s="92"/>
      <c r="F820" s="94"/>
    </row>
    <row r="821" spans="1:6" x14ac:dyDescent="0.25">
      <c r="A821" s="86"/>
      <c r="B821" s="86"/>
      <c r="C821" s="88"/>
      <c r="D821" s="91"/>
      <c r="E821" s="92"/>
      <c r="F821" s="94"/>
    </row>
    <row r="822" spans="1:6" x14ac:dyDescent="0.25">
      <c r="A822" s="86"/>
      <c r="B822" s="86"/>
      <c r="C822" s="88"/>
      <c r="D822" s="91"/>
      <c r="E822" s="92"/>
      <c r="F822" s="94"/>
    </row>
    <row r="823" spans="1:6" x14ac:dyDescent="0.25">
      <c r="A823" s="86"/>
      <c r="B823" s="86"/>
      <c r="C823" s="88"/>
      <c r="D823" s="91"/>
      <c r="E823" s="92"/>
      <c r="F823" s="94"/>
    </row>
    <row r="824" spans="1:6" x14ac:dyDescent="0.25">
      <c r="A824" s="86"/>
      <c r="B824" s="86"/>
      <c r="C824" s="88"/>
      <c r="D824" s="91"/>
      <c r="E824" s="92"/>
      <c r="F824" s="94"/>
    </row>
    <row r="825" spans="1:6" x14ac:dyDescent="0.25">
      <c r="A825" s="86"/>
      <c r="B825" s="86"/>
      <c r="C825" s="88"/>
      <c r="D825" s="91"/>
      <c r="E825" s="92"/>
      <c r="F825" s="94"/>
    </row>
    <row r="826" spans="1:6" x14ac:dyDescent="0.25">
      <c r="A826" s="86"/>
      <c r="B826" s="86"/>
      <c r="C826" s="88"/>
      <c r="D826" s="91"/>
      <c r="E826" s="92"/>
      <c r="F826" s="94"/>
    </row>
    <row r="827" spans="1:6" x14ac:dyDescent="0.25">
      <c r="A827" s="86"/>
      <c r="B827" s="86"/>
      <c r="C827" s="88"/>
      <c r="D827" s="91"/>
      <c r="E827" s="92"/>
      <c r="F827" s="94"/>
    </row>
    <row r="828" spans="1:6" x14ac:dyDescent="0.25">
      <c r="A828" s="86"/>
      <c r="B828" s="86"/>
      <c r="C828" s="88"/>
      <c r="D828" s="91"/>
      <c r="E828" s="92"/>
      <c r="F828" s="94"/>
    </row>
    <row r="829" spans="1:6" x14ac:dyDescent="0.25">
      <c r="A829" s="86"/>
      <c r="B829" s="86"/>
      <c r="C829" s="88"/>
      <c r="D829" s="91"/>
      <c r="E829" s="92"/>
      <c r="F829" s="94"/>
    </row>
    <row r="830" spans="1:6" x14ac:dyDescent="0.25">
      <c r="A830" s="86"/>
      <c r="B830" s="86"/>
      <c r="C830" s="88"/>
      <c r="D830" s="91"/>
      <c r="E830" s="92"/>
      <c r="F830" s="94"/>
    </row>
    <row r="831" spans="1:6" x14ac:dyDescent="0.25">
      <c r="A831" s="86"/>
      <c r="B831" s="86"/>
      <c r="C831" s="88"/>
      <c r="D831" s="91"/>
      <c r="E831" s="92"/>
      <c r="F831" s="94"/>
    </row>
    <row r="832" spans="1:6" x14ac:dyDescent="0.25">
      <c r="A832" s="86"/>
      <c r="B832" s="86"/>
      <c r="C832" s="88"/>
      <c r="D832" s="91"/>
      <c r="E832" s="92"/>
      <c r="F832" s="94"/>
    </row>
    <row r="833" spans="1:6" x14ac:dyDescent="0.25">
      <c r="A833" s="86"/>
      <c r="B833" s="86"/>
      <c r="C833" s="88"/>
      <c r="D833" s="91"/>
      <c r="E833" s="92"/>
      <c r="F833" s="94"/>
    </row>
    <row r="834" spans="1:6" x14ac:dyDescent="0.25">
      <c r="A834" s="86"/>
      <c r="B834" s="86"/>
      <c r="C834" s="88"/>
      <c r="D834" s="91"/>
      <c r="E834" s="92"/>
      <c r="F834" s="94"/>
    </row>
    <row r="835" spans="1:6" x14ac:dyDescent="0.25">
      <c r="A835" s="86"/>
      <c r="B835" s="86"/>
      <c r="C835" s="88"/>
      <c r="D835" s="91"/>
      <c r="E835" s="92"/>
      <c r="F835" s="94"/>
    </row>
    <row r="836" spans="1:6" x14ac:dyDescent="0.25">
      <c r="A836" s="86"/>
      <c r="B836" s="86"/>
      <c r="C836" s="88"/>
      <c r="D836" s="91"/>
      <c r="E836" s="92"/>
      <c r="F836" s="94"/>
    </row>
    <row r="837" spans="1:6" x14ac:dyDescent="0.25">
      <c r="A837" s="86"/>
      <c r="B837" s="86"/>
      <c r="C837" s="88"/>
      <c r="D837" s="91"/>
      <c r="E837" s="92"/>
      <c r="F837" s="94"/>
    </row>
    <row r="838" spans="1:6" x14ac:dyDescent="0.25">
      <c r="A838" s="86"/>
      <c r="B838" s="86"/>
      <c r="C838" s="88"/>
      <c r="D838" s="91"/>
      <c r="E838" s="92"/>
      <c r="F838" s="94"/>
    </row>
    <row r="839" spans="1:6" x14ac:dyDescent="0.25">
      <c r="A839" s="86"/>
      <c r="B839" s="86"/>
      <c r="C839" s="88"/>
      <c r="D839" s="91"/>
      <c r="E839" s="92"/>
      <c r="F839" s="94"/>
    </row>
    <row r="840" spans="1:6" x14ac:dyDescent="0.25">
      <c r="A840" s="86"/>
      <c r="B840" s="86"/>
      <c r="C840" s="88"/>
      <c r="D840" s="91"/>
      <c r="E840" s="92"/>
      <c r="F840" s="94"/>
    </row>
    <row r="841" spans="1:6" x14ac:dyDescent="0.25">
      <c r="A841" s="86"/>
      <c r="B841" s="86"/>
      <c r="C841" s="88"/>
      <c r="D841" s="91"/>
      <c r="E841" s="92"/>
      <c r="F841" s="94"/>
    </row>
    <row r="842" spans="1:6" x14ac:dyDescent="0.25">
      <c r="A842" s="86"/>
      <c r="B842" s="86"/>
      <c r="C842" s="88"/>
      <c r="D842" s="91"/>
      <c r="E842" s="92"/>
      <c r="F842" s="94"/>
    </row>
    <row r="843" spans="1:6" x14ac:dyDescent="0.25">
      <c r="A843" s="86"/>
      <c r="B843" s="86"/>
      <c r="C843" s="88"/>
      <c r="D843" s="91"/>
      <c r="E843" s="92"/>
      <c r="F843" s="94"/>
    </row>
    <row r="844" spans="1:6" x14ac:dyDescent="0.25">
      <c r="A844" s="86"/>
      <c r="B844" s="86"/>
      <c r="C844" s="88"/>
      <c r="D844" s="91"/>
      <c r="E844" s="92"/>
      <c r="F844" s="94"/>
    </row>
    <row r="845" spans="1:6" x14ac:dyDescent="0.25">
      <c r="A845" s="86"/>
      <c r="B845" s="86"/>
      <c r="C845" s="88"/>
      <c r="D845" s="91"/>
      <c r="E845" s="92"/>
      <c r="F845" s="94"/>
    </row>
    <row r="846" spans="1:6" x14ac:dyDescent="0.25">
      <c r="A846" s="86"/>
      <c r="B846" s="86"/>
      <c r="C846" s="88"/>
      <c r="D846" s="91"/>
      <c r="E846" s="92"/>
      <c r="F846" s="94"/>
    </row>
    <row r="847" spans="1:6" x14ac:dyDescent="0.25">
      <c r="A847" s="86"/>
      <c r="B847" s="86"/>
      <c r="C847" s="88"/>
      <c r="D847" s="91"/>
      <c r="E847" s="92"/>
      <c r="F847" s="94"/>
    </row>
    <row r="848" spans="1:6" x14ac:dyDescent="0.25">
      <c r="A848" s="86"/>
      <c r="B848" s="86"/>
      <c r="C848" s="88"/>
      <c r="D848" s="91"/>
      <c r="E848" s="92"/>
      <c r="F848" s="94"/>
    </row>
    <row r="849" spans="1:6" x14ac:dyDescent="0.25">
      <c r="A849" s="86"/>
      <c r="B849" s="86"/>
      <c r="C849" s="88"/>
      <c r="D849" s="91"/>
      <c r="E849" s="92"/>
      <c r="F849" s="94"/>
    </row>
    <row r="850" spans="1:6" x14ac:dyDescent="0.25">
      <c r="A850" s="86"/>
      <c r="B850" s="86"/>
      <c r="C850" s="88"/>
      <c r="D850" s="91"/>
      <c r="E850" s="92"/>
      <c r="F850" s="94"/>
    </row>
    <row r="851" spans="1:6" x14ac:dyDescent="0.25">
      <c r="A851" s="86"/>
      <c r="B851" s="86"/>
      <c r="C851" s="88"/>
      <c r="D851" s="91"/>
      <c r="E851" s="92"/>
      <c r="F851" s="94"/>
    </row>
    <row r="852" spans="1:6" x14ac:dyDescent="0.25">
      <c r="A852" s="86"/>
      <c r="B852" s="86"/>
      <c r="C852" s="88"/>
      <c r="D852" s="91"/>
      <c r="E852" s="92"/>
      <c r="F852" s="94"/>
    </row>
    <row r="853" spans="1:6" x14ac:dyDescent="0.25">
      <c r="A853" s="86"/>
      <c r="B853" s="86"/>
      <c r="C853" s="88"/>
      <c r="D853" s="91"/>
      <c r="E853" s="92"/>
      <c r="F853" s="94"/>
    </row>
    <row r="854" spans="1:6" x14ac:dyDescent="0.25">
      <c r="A854" s="86"/>
      <c r="B854" s="86"/>
      <c r="C854" s="88"/>
      <c r="D854" s="91"/>
      <c r="E854" s="92"/>
      <c r="F854" s="94"/>
    </row>
    <row r="855" spans="1:6" x14ac:dyDescent="0.25">
      <c r="A855" s="86"/>
      <c r="B855" s="86"/>
      <c r="C855" s="88"/>
      <c r="D855" s="91"/>
      <c r="E855" s="92"/>
      <c r="F855" s="94"/>
    </row>
    <row r="856" spans="1:6" x14ac:dyDescent="0.25">
      <c r="A856" s="86"/>
      <c r="B856" s="86"/>
      <c r="C856" s="88"/>
      <c r="D856" s="91"/>
      <c r="E856" s="92"/>
      <c r="F856" s="94"/>
    </row>
    <row r="857" spans="1:6" x14ac:dyDescent="0.25">
      <c r="A857" s="86"/>
      <c r="B857" s="86"/>
      <c r="C857" s="88"/>
      <c r="D857" s="91"/>
      <c r="E857" s="92"/>
      <c r="F857" s="94"/>
    </row>
    <row r="858" spans="1:6" x14ac:dyDescent="0.25">
      <c r="A858" s="86"/>
      <c r="B858" s="86"/>
      <c r="C858" s="88"/>
      <c r="D858" s="91"/>
      <c r="E858" s="92"/>
      <c r="F858" s="94"/>
    </row>
    <row r="859" spans="1:6" x14ac:dyDescent="0.25">
      <c r="A859" s="86"/>
      <c r="B859" s="86"/>
      <c r="C859" s="88"/>
      <c r="D859" s="91"/>
      <c r="E859" s="92"/>
      <c r="F859" s="94"/>
    </row>
    <row r="860" spans="1:6" x14ac:dyDescent="0.25">
      <c r="A860" s="86"/>
      <c r="B860" s="86"/>
      <c r="C860" s="88"/>
      <c r="D860" s="91"/>
      <c r="E860" s="92"/>
      <c r="F860" s="94"/>
    </row>
    <row r="861" spans="1:6" x14ac:dyDescent="0.25">
      <c r="A861" s="86"/>
      <c r="B861" s="86"/>
      <c r="C861" s="88"/>
      <c r="D861" s="91"/>
      <c r="E861" s="92"/>
      <c r="F861" s="94"/>
    </row>
    <row r="862" spans="1:6" x14ac:dyDescent="0.25">
      <c r="A862" s="86"/>
      <c r="B862" s="86"/>
      <c r="C862" s="88"/>
      <c r="D862" s="91"/>
      <c r="E862" s="92"/>
      <c r="F862" s="94"/>
    </row>
    <row r="863" spans="1:6" x14ac:dyDescent="0.25">
      <c r="A863" s="86"/>
      <c r="B863" s="86"/>
      <c r="C863" s="88"/>
      <c r="D863" s="91"/>
      <c r="E863" s="92"/>
      <c r="F863" s="94"/>
    </row>
    <row r="864" spans="1:6" x14ac:dyDescent="0.25">
      <c r="A864" s="86"/>
      <c r="B864" s="86"/>
      <c r="C864" s="88"/>
      <c r="D864" s="91"/>
      <c r="E864" s="92"/>
      <c r="F864" s="94"/>
    </row>
    <row r="865" spans="1:6" x14ac:dyDescent="0.25">
      <c r="A865" s="86"/>
      <c r="B865" s="86"/>
      <c r="C865" s="88"/>
      <c r="D865" s="91"/>
      <c r="E865" s="92"/>
      <c r="F865" s="94"/>
    </row>
    <row r="866" spans="1:6" x14ac:dyDescent="0.25">
      <c r="A866" s="86"/>
      <c r="B866" s="86"/>
      <c r="C866" s="88"/>
      <c r="D866" s="91"/>
      <c r="E866" s="92"/>
      <c r="F866" s="94"/>
    </row>
    <row r="867" spans="1:6" x14ac:dyDescent="0.25">
      <c r="A867" s="86"/>
      <c r="B867" s="86"/>
      <c r="C867" s="88"/>
      <c r="D867" s="91"/>
      <c r="E867" s="92"/>
      <c r="F867" s="94"/>
    </row>
    <row r="868" spans="1:6" x14ac:dyDescent="0.25">
      <c r="A868" s="86"/>
      <c r="B868" s="86"/>
      <c r="C868" s="88"/>
      <c r="D868" s="91"/>
      <c r="E868" s="92"/>
      <c r="F868" s="94"/>
    </row>
    <row r="869" spans="1:6" x14ac:dyDescent="0.25">
      <c r="A869" s="86"/>
      <c r="B869" s="86"/>
      <c r="C869" s="88"/>
      <c r="D869" s="91"/>
      <c r="E869" s="92"/>
      <c r="F869" s="94"/>
    </row>
    <row r="870" spans="1:6" x14ac:dyDescent="0.25">
      <c r="A870" s="86"/>
      <c r="B870" s="86"/>
      <c r="C870" s="88"/>
      <c r="D870" s="91"/>
      <c r="E870" s="92"/>
      <c r="F870" s="94"/>
    </row>
    <row r="871" spans="1:6" x14ac:dyDescent="0.25">
      <c r="A871" s="86"/>
      <c r="B871" s="86"/>
      <c r="C871" s="88"/>
      <c r="D871" s="91"/>
      <c r="E871" s="92"/>
      <c r="F871" s="94"/>
    </row>
    <row r="872" spans="1:6" x14ac:dyDescent="0.25">
      <c r="A872" s="86"/>
      <c r="B872" s="86"/>
      <c r="C872" s="88"/>
      <c r="D872" s="91"/>
      <c r="E872" s="92"/>
      <c r="F872" s="94"/>
    </row>
    <row r="873" spans="1:6" x14ac:dyDescent="0.25">
      <c r="A873" s="86"/>
      <c r="B873" s="86"/>
      <c r="C873" s="88"/>
      <c r="D873" s="91"/>
      <c r="E873" s="92"/>
      <c r="F873" s="94"/>
    </row>
    <row r="874" spans="1:6" x14ac:dyDescent="0.25">
      <c r="A874" s="86"/>
      <c r="B874" s="86"/>
      <c r="C874" s="88"/>
      <c r="D874" s="91"/>
      <c r="E874" s="92"/>
      <c r="F874" s="94"/>
    </row>
    <row r="875" spans="1:6" x14ac:dyDescent="0.25">
      <c r="A875" s="86"/>
      <c r="B875" s="86"/>
      <c r="C875" s="88"/>
      <c r="D875" s="91"/>
      <c r="E875" s="92"/>
      <c r="F875" s="94"/>
    </row>
    <row r="876" spans="1:6" x14ac:dyDescent="0.25">
      <c r="A876" s="86"/>
      <c r="B876" s="86"/>
      <c r="C876" s="88"/>
      <c r="D876" s="91"/>
      <c r="E876" s="92"/>
      <c r="F876" s="94"/>
    </row>
    <row r="877" spans="1:6" x14ac:dyDescent="0.25">
      <c r="A877" s="86"/>
      <c r="B877" s="86"/>
      <c r="C877" s="88"/>
      <c r="D877" s="91"/>
      <c r="E877" s="92"/>
      <c r="F877" s="94"/>
    </row>
    <row r="878" spans="1:6" x14ac:dyDescent="0.25">
      <c r="A878" s="86"/>
      <c r="B878" s="86"/>
      <c r="C878" s="88"/>
      <c r="D878" s="91"/>
      <c r="E878" s="92"/>
      <c r="F878" s="94"/>
    </row>
    <row r="879" spans="1:6" x14ac:dyDescent="0.25">
      <c r="A879" s="86"/>
      <c r="B879" s="86"/>
      <c r="C879" s="88"/>
      <c r="D879" s="91"/>
      <c r="E879" s="92"/>
      <c r="F879" s="94"/>
    </row>
    <row r="880" spans="1:6" x14ac:dyDescent="0.25">
      <c r="A880" s="86"/>
      <c r="B880" s="86"/>
      <c r="C880" s="88"/>
      <c r="D880" s="91"/>
      <c r="E880" s="92"/>
      <c r="F880" s="94"/>
    </row>
    <row r="881" spans="1:6" x14ac:dyDescent="0.25">
      <c r="A881" s="86"/>
      <c r="B881" s="86"/>
      <c r="C881" s="88"/>
      <c r="D881" s="91"/>
      <c r="E881" s="92"/>
      <c r="F881" s="94"/>
    </row>
    <row r="882" spans="1:6" x14ac:dyDescent="0.25">
      <c r="A882" s="86"/>
      <c r="B882" s="86"/>
      <c r="C882" s="88"/>
      <c r="D882" s="91"/>
      <c r="E882" s="92"/>
      <c r="F882" s="94"/>
    </row>
    <row r="883" spans="1:6" x14ac:dyDescent="0.25">
      <c r="A883" s="86"/>
      <c r="B883" s="86"/>
      <c r="C883" s="88"/>
      <c r="D883" s="91"/>
      <c r="E883" s="92"/>
      <c r="F883" s="94"/>
    </row>
    <row r="884" spans="1:6" x14ac:dyDescent="0.25">
      <c r="A884" s="86"/>
      <c r="B884" s="86"/>
      <c r="C884" s="88"/>
      <c r="D884" s="91"/>
      <c r="E884" s="92"/>
      <c r="F884" s="94"/>
    </row>
    <row r="885" spans="1:6" x14ac:dyDescent="0.25">
      <c r="A885" s="86"/>
      <c r="B885" s="86"/>
      <c r="C885" s="88"/>
      <c r="D885" s="91"/>
      <c r="E885" s="92"/>
      <c r="F885" s="94"/>
    </row>
    <row r="886" spans="1:6" x14ac:dyDescent="0.25">
      <c r="A886" s="86"/>
      <c r="B886" s="86"/>
      <c r="C886" s="88"/>
      <c r="D886" s="91"/>
      <c r="E886" s="92"/>
      <c r="F886" s="94"/>
    </row>
    <row r="887" spans="1:6" x14ac:dyDescent="0.25">
      <c r="A887" s="86"/>
      <c r="B887" s="86"/>
      <c r="C887" s="88"/>
      <c r="D887" s="91"/>
      <c r="E887" s="92"/>
      <c r="F887" s="94"/>
    </row>
    <row r="888" spans="1:6" x14ac:dyDescent="0.25">
      <c r="A888" s="86"/>
      <c r="B888" s="86"/>
      <c r="C888" s="88"/>
      <c r="D888" s="91"/>
      <c r="E888" s="92"/>
      <c r="F888" s="94"/>
    </row>
    <row r="889" spans="1:6" x14ac:dyDescent="0.25">
      <c r="A889" s="86"/>
      <c r="B889" s="86"/>
      <c r="C889" s="88"/>
      <c r="D889" s="91"/>
      <c r="E889" s="92"/>
      <c r="F889" s="94"/>
    </row>
    <row r="890" spans="1:6" x14ac:dyDescent="0.25">
      <c r="A890" s="86"/>
      <c r="B890" s="86"/>
      <c r="C890" s="88"/>
      <c r="D890" s="91"/>
      <c r="E890" s="92"/>
      <c r="F890" s="94"/>
    </row>
    <row r="891" spans="1:6" x14ac:dyDescent="0.25">
      <c r="A891" s="86"/>
      <c r="B891" s="86"/>
      <c r="C891" s="88"/>
      <c r="D891" s="91"/>
      <c r="E891" s="92"/>
      <c r="F891" s="94"/>
    </row>
    <row r="892" spans="1:6" x14ac:dyDescent="0.25">
      <c r="A892" s="86"/>
      <c r="B892" s="86"/>
      <c r="C892" s="88"/>
      <c r="D892" s="91"/>
      <c r="E892" s="92"/>
      <c r="F892" s="94"/>
    </row>
    <row r="893" spans="1:6" x14ac:dyDescent="0.25">
      <c r="A893" s="86"/>
      <c r="B893" s="86"/>
      <c r="C893" s="88"/>
      <c r="D893" s="91"/>
      <c r="E893" s="92"/>
      <c r="F893" s="94"/>
    </row>
    <row r="894" spans="1:6" x14ac:dyDescent="0.25">
      <c r="A894" s="86"/>
      <c r="B894" s="86"/>
      <c r="C894" s="88"/>
      <c r="D894" s="91"/>
      <c r="E894" s="92"/>
      <c r="F894" s="94"/>
    </row>
    <row r="895" spans="1:6" x14ac:dyDescent="0.25">
      <c r="A895" s="86"/>
      <c r="B895" s="86"/>
      <c r="C895" s="88"/>
      <c r="D895" s="91"/>
      <c r="E895" s="92"/>
      <c r="F895" s="94"/>
    </row>
    <row r="896" spans="1:6" x14ac:dyDescent="0.25">
      <c r="A896" s="86"/>
      <c r="B896" s="86"/>
      <c r="C896" s="88"/>
      <c r="D896" s="91"/>
      <c r="E896" s="92"/>
      <c r="F896" s="94"/>
    </row>
    <row r="897" spans="1:6" x14ac:dyDescent="0.25">
      <c r="A897" s="86"/>
      <c r="B897" s="86"/>
      <c r="C897" s="88"/>
      <c r="D897" s="91"/>
      <c r="E897" s="92"/>
      <c r="F897" s="94"/>
    </row>
    <row r="898" spans="1:6" x14ac:dyDescent="0.25">
      <c r="A898" s="86"/>
      <c r="B898" s="86"/>
      <c r="C898" s="88"/>
      <c r="D898" s="91"/>
      <c r="E898" s="92"/>
      <c r="F898" s="94"/>
    </row>
    <row r="899" spans="1:6" x14ac:dyDescent="0.25">
      <c r="A899" s="86"/>
      <c r="B899" s="86"/>
      <c r="C899" s="88"/>
      <c r="D899" s="91"/>
      <c r="E899" s="92"/>
      <c r="F899" s="94"/>
    </row>
    <row r="900" spans="1:6" x14ac:dyDescent="0.25">
      <c r="A900" s="86"/>
      <c r="B900" s="86"/>
      <c r="C900" s="88"/>
      <c r="D900" s="91"/>
      <c r="E900" s="92"/>
      <c r="F900" s="94"/>
    </row>
    <row r="901" spans="1:6" x14ac:dyDescent="0.25">
      <c r="A901" s="86"/>
      <c r="B901" s="86"/>
      <c r="C901" s="88"/>
      <c r="D901" s="91"/>
      <c r="E901" s="92"/>
      <c r="F901" s="94"/>
    </row>
    <row r="902" spans="1:6" x14ac:dyDescent="0.25">
      <c r="A902" s="86"/>
      <c r="B902" s="86"/>
      <c r="C902" s="88"/>
      <c r="D902" s="91"/>
      <c r="E902" s="92"/>
      <c r="F902" s="94"/>
    </row>
    <row r="903" spans="1:6" x14ac:dyDescent="0.25">
      <c r="A903" s="86"/>
      <c r="B903" s="86"/>
      <c r="C903" s="88"/>
      <c r="D903" s="91"/>
      <c r="E903" s="92"/>
      <c r="F903" s="94"/>
    </row>
    <row r="904" spans="1:6" x14ac:dyDescent="0.25">
      <c r="A904" s="86"/>
      <c r="B904" s="86"/>
      <c r="C904" s="88"/>
      <c r="D904" s="91"/>
      <c r="E904" s="92"/>
      <c r="F904" s="94"/>
    </row>
    <row r="905" spans="1:6" x14ac:dyDescent="0.25">
      <c r="A905" s="86"/>
      <c r="B905" s="86"/>
      <c r="C905" s="88"/>
      <c r="D905" s="91"/>
      <c r="E905" s="92"/>
      <c r="F905" s="94"/>
    </row>
    <row r="906" spans="1:6" x14ac:dyDescent="0.25">
      <c r="A906" s="86"/>
      <c r="B906" s="86"/>
      <c r="C906" s="88"/>
      <c r="D906" s="91"/>
      <c r="E906" s="92"/>
      <c r="F906" s="94"/>
    </row>
    <row r="907" spans="1:6" x14ac:dyDescent="0.25">
      <c r="A907" s="86"/>
      <c r="B907" s="86"/>
      <c r="C907" s="88"/>
      <c r="D907" s="91"/>
      <c r="E907" s="92"/>
      <c r="F907" s="94"/>
    </row>
    <row r="908" spans="1:6" x14ac:dyDescent="0.25">
      <c r="A908" s="86"/>
      <c r="B908" s="86"/>
      <c r="C908" s="88"/>
      <c r="D908" s="91"/>
      <c r="E908" s="92"/>
      <c r="F908" s="94"/>
    </row>
    <row r="909" spans="1:6" x14ac:dyDescent="0.25">
      <c r="A909" s="86"/>
      <c r="B909" s="86"/>
      <c r="C909" s="88"/>
      <c r="D909" s="91"/>
      <c r="E909" s="92"/>
      <c r="F909" s="94"/>
    </row>
    <row r="910" spans="1:6" x14ac:dyDescent="0.25">
      <c r="A910" s="86"/>
      <c r="B910" s="86"/>
      <c r="C910" s="88"/>
      <c r="D910" s="91"/>
      <c r="E910" s="92"/>
      <c r="F910" s="94"/>
    </row>
    <row r="911" spans="1:6" x14ac:dyDescent="0.25">
      <c r="A911" s="86"/>
      <c r="B911" s="86"/>
      <c r="C911" s="88"/>
      <c r="D911" s="91"/>
      <c r="E911" s="92"/>
      <c r="F911" s="94"/>
    </row>
    <row r="912" spans="1:6" x14ac:dyDescent="0.25">
      <c r="A912" s="86"/>
      <c r="B912" s="86"/>
      <c r="C912" s="88"/>
      <c r="D912" s="91"/>
      <c r="E912" s="92"/>
      <c r="F912" s="94"/>
    </row>
    <row r="913" spans="1:6" x14ac:dyDescent="0.25">
      <c r="A913" s="86"/>
      <c r="B913" s="86"/>
      <c r="C913" s="88"/>
      <c r="D913" s="91"/>
      <c r="E913" s="92"/>
      <c r="F913" s="94"/>
    </row>
    <row r="914" spans="1:6" x14ac:dyDescent="0.25">
      <c r="A914" s="86"/>
      <c r="B914" s="86"/>
      <c r="C914" s="88"/>
      <c r="D914" s="91"/>
      <c r="E914" s="92"/>
      <c r="F914" s="94"/>
    </row>
    <row r="915" spans="1:6" x14ac:dyDescent="0.25">
      <c r="A915" s="86"/>
      <c r="B915" s="86"/>
      <c r="C915" s="88"/>
      <c r="D915" s="91"/>
      <c r="E915" s="92"/>
      <c r="F915" s="94"/>
    </row>
    <row r="916" spans="1:6" x14ac:dyDescent="0.25">
      <c r="A916" s="86"/>
      <c r="B916" s="86"/>
      <c r="C916" s="88"/>
      <c r="D916" s="91"/>
      <c r="E916" s="92"/>
      <c r="F916" s="94"/>
    </row>
    <row r="917" spans="1:6" x14ac:dyDescent="0.25">
      <c r="A917" s="86"/>
      <c r="B917" s="86"/>
      <c r="C917" s="88"/>
      <c r="D917" s="91"/>
      <c r="E917" s="92"/>
      <c r="F917" s="94"/>
    </row>
    <row r="918" spans="1:6" x14ac:dyDescent="0.25">
      <c r="A918" s="86"/>
      <c r="B918" s="86"/>
      <c r="C918" s="88"/>
      <c r="D918" s="91"/>
      <c r="E918" s="92"/>
      <c r="F918" s="94"/>
    </row>
    <row r="919" spans="1:6" x14ac:dyDescent="0.25">
      <c r="A919" s="86"/>
      <c r="B919" s="86"/>
      <c r="C919" s="88"/>
      <c r="D919" s="91"/>
      <c r="E919" s="92"/>
      <c r="F919" s="94"/>
    </row>
    <row r="920" spans="1:6" x14ac:dyDescent="0.25">
      <c r="A920" s="86"/>
      <c r="B920" s="86"/>
      <c r="C920" s="88"/>
      <c r="D920" s="91"/>
      <c r="E920" s="92"/>
      <c r="F920" s="94"/>
    </row>
    <row r="921" spans="1:6" x14ac:dyDescent="0.25">
      <c r="A921" s="86"/>
      <c r="B921" s="86"/>
      <c r="C921" s="88"/>
      <c r="D921" s="91"/>
      <c r="E921" s="92"/>
      <c r="F921" s="94"/>
    </row>
    <row r="922" spans="1:6" x14ac:dyDescent="0.25">
      <c r="A922" s="86"/>
      <c r="B922" s="86"/>
      <c r="C922" s="88"/>
      <c r="D922" s="91"/>
      <c r="E922" s="92"/>
      <c r="F922" s="94"/>
    </row>
    <row r="923" spans="1:6" x14ac:dyDescent="0.25">
      <c r="A923" s="86"/>
      <c r="B923" s="86"/>
      <c r="C923" s="88"/>
      <c r="D923" s="91"/>
      <c r="E923" s="92"/>
      <c r="F923" s="94"/>
    </row>
    <row r="924" spans="1:6" x14ac:dyDescent="0.25">
      <c r="A924" s="86"/>
      <c r="B924" s="86"/>
      <c r="C924" s="88"/>
      <c r="D924" s="91"/>
      <c r="E924" s="92"/>
      <c r="F924" s="94"/>
    </row>
    <row r="925" spans="1:6" x14ac:dyDescent="0.25">
      <c r="A925" s="86"/>
      <c r="B925" s="86"/>
      <c r="C925" s="88"/>
      <c r="D925" s="91"/>
      <c r="E925" s="92"/>
      <c r="F925" s="94"/>
    </row>
    <row r="926" spans="1:6" x14ac:dyDescent="0.25">
      <c r="A926" s="86"/>
      <c r="B926" s="86"/>
      <c r="C926" s="88"/>
      <c r="D926" s="91"/>
      <c r="E926" s="92"/>
      <c r="F926" s="94"/>
    </row>
    <row r="927" spans="1:6" x14ac:dyDescent="0.25">
      <c r="A927" s="86"/>
      <c r="B927" s="86"/>
      <c r="C927" s="88"/>
      <c r="D927" s="91"/>
      <c r="E927" s="92"/>
      <c r="F927" s="94"/>
    </row>
    <row r="928" spans="1:6" x14ac:dyDescent="0.25">
      <c r="A928" s="86"/>
      <c r="B928" s="86"/>
      <c r="C928" s="88"/>
      <c r="D928" s="91"/>
      <c r="E928" s="92"/>
      <c r="F928" s="94"/>
    </row>
    <row r="929" spans="1:6" x14ac:dyDescent="0.25">
      <c r="A929" s="86"/>
      <c r="B929" s="86"/>
      <c r="C929" s="88"/>
      <c r="D929" s="91"/>
      <c r="E929" s="92"/>
      <c r="F929" s="94"/>
    </row>
    <row r="930" spans="1:6" x14ac:dyDescent="0.25">
      <c r="A930" s="86"/>
      <c r="B930" s="86"/>
      <c r="C930" s="88"/>
      <c r="D930" s="91"/>
      <c r="E930" s="92"/>
      <c r="F930" s="94"/>
    </row>
    <row r="931" spans="1:6" x14ac:dyDescent="0.25">
      <c r="A931" s="86"/>
      <c r="B931" s="86"/>
      <c r="C931" s="88"/>
      <c r="D931" s="91"/>
      <c r="E931" s="92"/>
      <c r="F931" s="94"/>
    </row>
    <row r="932" spans="1:6" x14ac:dyDescent="0.25">
      <c r="A932" s="86"/>
      <c r="B932" s="86"/>
      <c r="C932" s="88"/>
      <c r="D932" s="91"/>
      <c r="E932" s="92"/>
      <c r="F932" s="94"/>
    </row>
    <row r="933" spans="1:6" x14ac:dyDescent="0.25">
      <c r="A933" s="86"/>
      <c r="B933" s="86"/>
      <c r="C933" s="88"/>
      <c r="D933" s="91"/>
      <c r="E933" s="92"/>
      <c r="F933" s="94"/>
    </row>
    <row r="934" spans="1:6" x14ac:dyDescent="0.25">
      <c r="A934" s="86"/>
      <c r="B934" s="86"/>
      <c r="C934" s="88"/>
      <c r="D934" s="91"/>
      <c r="E934" s="92"/>
      <c r="F934" s="94"/>
    </row>
    <row r="935" spans="1:6" x14ac:dyDescent="0.25">
      <c r="A935" s="86"/>
      <c r="B935" s="86"/>
      <c r="C935" s="88"/>
      <c r="D935" s="91"/>
      <c r="E935" s="92"/>
      <c r="F935" s="94"/>
    </row>
    <row r="936" spans="1:6" x14ac:dyDescent="0.25">
      <c r="A936" s="86"/>
      <c r="B936" s="86"/>
      <c r="C936" s="88"/>
      <c r="D936" s="91"/>
      <c r="E936" s="92"/>
      <c r="F936" s="94"/>
    </row>
    <row r="937" spans="1:6" x14ac:dyDescent="0.25">
      <c r="A937" s="86"/>
      <c r="B937" s="86"/>
      <c r="C937" s="88"/>
      <c r="D937" s="91"/>
      <c r="E937" s="92"/>
      <c r="F937" s="94"/>
    </row>
    <row r="938" spans="1:6" x14ac:dyDescent="0.25">
      <c r="A938" s="86"/>
      <c r="B938" s="86"/>
      <c r="C938" s="88"/>
      <c r="D938" s="91"/>
      <c r="E938" s="92"/>
      <c r="F938" s="94"/>
    </row>
    <row r="939" spans="1:6" x14ac:dyDescent="0.25">
      <c r="A939" s="86"/>
      <c r="B939" s="86"/>
      <c r="C939" s="88"/>
      <c r="D939" s="91"/>
      <c r="E939" s="92"/>
      <c r="F939" s="94"/>
    </row>
    <row r="940" spans="1:6" x14ac:dyDescent="0.25">
      <c r="A940" s="86"/>
      <c r="B940" s="86"/>
      <c r="C940" s="88"/>
      <c r="D940" s="91"/>
      <c r="E940" s="92"/>
      <c r="F940" s="94"/>
    </row>
    <row r="941" spans="1:6" x14ac:dyDescent="0.25">
      <c r="A941" s="86"/>
      <c r="B941" s="86"/>
      <c r="C941" s="88"/>
      <c r="D941" s="91"/>
      <c r="E941" s="92"/>
      <c r="F941" s="94"/>
    </row>
    <row r="942" spans="1:6" x14ac:dyDescent="0.25">
      <c r="A942" s="86"/>
      <c r="B942" s="86"/>
      <c r="C942" s="88"/>
      <c r="D942" s="91"/>
      <c r="E942" s="92"/>
      <c r="F942" s="94"/>
    </row>
    <row r="943" spans="1:6" x14ac:dyDescent="0.25">
      <c r="A943" s="86"/>
      <c r="B943" s="86"/>
      <c r="C943" s="88"/>
      <c r="D943" s="91"/>
      <c r="E943" s="92"/>
      <c r="F943" s="94"/>
    </row>
    <row r="944" spans="1:6" x14ac:dyDescent="0.25">
      <c r="A944" s="86"/>
      <c r="B944" s="86"/>
      <c r="C944" s="88"/>
      <c r="D944" s="91"/>
      <c r="E944" s="92"/>
      <c r="F944" s="94"/>
    </row>
    <row r="945" spans="1:6" x14ac:dyDescent="0.25">
      <c r="A945" s="86"/>
      <c r="B945" s="86"/>
      <c r="C945" s="88"/>
      <c r="D945" s="91"/>
      <c r="E945" s="92"/>
      <c r="F945" s="94"/>
    </row>
    <row r="946" spans="1:6" x14ac:dyDescent="0.25">
      <c r="A946" s="86"/>
      <c r="B946" s="86"/>
      <c r="C946" s="88"/>
      <c r="D946" s="91"/>
      <c r="E946" s="92"/>
      <c r="F946" s="94"/>
    </row>
    <row r="947" spans="1:6" x14ac:dyDescent="0.25">
      <c r="A947" s="86"/>
      <c r="B947" s="86"/>
      <c r="C947" s="88"/>
      <c r="D947" s="91"/>
      <c r="E947" s="92"/>
      <c r="F947" s="94"/>
    </row>
    <row r="948" spans="1:6" x14ac:dyDescent="0.25">
      <c r="A948" s="86"/>
      <c r="B948" s="86"/>
      <c r="C948" s="88"/>
      <c r="D948" s="91"/>
      <c r="E948" s="92"/>
      <c r="F948" s="94"/>
    </row>
    <row r="949" spans="1:6" x14ac:dyDescent="0.25">
      <c r="A949" s="86"/>
      <c r="B949" s="86"/>
      <c r="C949" s="88"/>
      <c r="D949" s="91"/>
      <c r="E949" s="92"/>
      <c r="F949" s="94"/>
    </row>
    <row r="950" spans="1:6" x14ac:dyDescent="0.25">
      <c r="A950" s="86"/>
      <c r="B950" s="86"/>
      <c r="C950" s="88"/>
      <c r="D950" s="91"/>
      <c r="E950" s="92"/>
      <c r="F950" s="94"/>
    </row>
    <row r="951" spans="1:6" x14ac:dyDescent="0.25">
      <c r="A951" s="86"/>
      <c r="B951" s="86"/>
      <c r="C951" s="88"/>
      <c r="D951" s="91"/>
      <c r="E951" s="92"/>
      <c r="F951" s="94"/>
    </row>
    <row r="952" spans="1:6" x14ac:dyDescent="0.25">
      <c r="A952" s="86"/>
      <c r="B952" s="86"/>
      <c r="C952" s="88"/>
      <c r="D952" s="91"/>
      <c r="E952" s="92"/>
      <c r="F952" s="94"/>
    </row>
    <row r="953" spans="1:6" x14ac:dyDescent="0.25">
      <c r="A953" s="86"/>
      <c r="B953" s="86"/>
      <c r="C953" s="88"/>
      <c r="D953" s="91"/>
      <c r="E953" s="92"/>
      <c r="F953" s="94"/>
    </row>
    <row r="954" spans="1:6" x14ac:dyDescent="0.25">
      <c r="A954" s="86"/>
      <c r="B954" s="86"/>
      <c r="C954" s="88"/>
      <c r="D954" s="91"/>
      <c r="E954" s="92"/>
      <c r="F954" s="94"/>
    </row>
    <row r="955" spans="1:6" x14ac:dyDescent="0.25">
      <c r="A955" s="86"/>
      <c r="B955" s="86"/>
      <c r="C955" s="88"/>
      <c r="D955" s="91"/>
      <c r="E955" s="92"/>
      <c r="F955" s="94"/>
    </row>
    <row r="956" spans="1:6" x14ac:dyDescent="0.25">
      <c r="A956" s="86"/>
      <c r="B956" s="86"/>
      <c r="C956" s="88"/>
      <c r="D956" s="91"/>
      <c r="E956" s="92"/>
      <c r="F956" s="94"/>
    </row>
    <row r="957" spans="1:6" x14ac:dyDescent="0.25">
      <c r="A957" s="86"/>
      <c r="B957" s="86"/>
      <c r="C957" s="88"/>
      <c r="D957" s="91"/>
      <c r="E957" s="92"/>
      <c r="F957" s="94"/>
    </row>
    <row r="958" spans="1:6" x14ac:dyDescent="0.25">
      <c r="A958" s="86"/>
      <c r="B958" s="86"/>
      <c r="C958" s="88"/>
      <c r="D958" s="91"/>
      <c r="E958" s="92"/>
      <c r="F958" s="94"/>
    </row>
    <row r="959" spans="1:6" x14ac:dyDescent="0.25">
      <c r="A959" s="86"/>
      <c r="B959" s="86"/>
      <c r="C959" s="88"/>
      <c r="D959" s="91"/>
      <c r="E959" s="92"/>
      <c r="F959" s="94"/>
    </row>
    <row r="960" spans="1:6" x14ac:dyDescent="0.25">
      <c r="A960" s="86"/>
      <c r="B960" s="86"/>
      <c r="C960" s="88"/>
      <c r="D960" s="91"/>
      <c r="E960" s="92"/>
      <c r="F960" s="94"/>
    </row>
    <row r="961" spans="1:6" x14ac:dyDescent="0.25">
      <c r="A961" s="86"/>
      <c r="B961" s="86"/>
      <c r="C961" s="88"/>
      <c r="D961" s="91"/>
      <c r="E961" s="92"/>
      <c r="F961" s="94"/>
    </row>
    <row r="962" spans="1:6" x14ac:dyDescent="0.25">
      <c r="A962" s="86"/>
      <c r="B962" s="86"/>
      <c r="C962" s="88"/>
      <c r="D962" s="91"/>
      <c r="E962" s="92"/>
      <c r="F962" s="94"/>
    </row>
    <row r="963" spans="1:6" x14ac:dyDescent="0.25">
      <c r="A963" s="86"/>
      <c r="B963" s="86"/>
      <c r="C963" s="88"/>
      <c r="D963" s="91"/>
      <c r="E963" s="92"/>
      <c r="F963" s="94"/>
    </row>
    <row r="964" spans="1:6" x14ac:dyDescent="0.25">
      <c r="A964" s="86"/>
      <c r="B964" s="86"/>
      <c r="C964" s="88"/>
      <c r="D964" s="91"/>
      <c r="E964" s="92"/>
      <c r="F964" s="94"/>
    </row>
    <row r="965" spans="1:6" x14ac:dyDescent="0.25">
      <c r="A965" s="86"/>
      <c r="B965" s="86"/>
      <c r="C965" s="88"/>
      <c r="D965" s="91"/>
      <c r="E965" s="92"/>
      <c r="F965" s="94"/>
    </row>
    <row r="966" spans="1:6" x14ac:dyDescent="0.25">
      <c r="A966" s="86"/>
      <c r="B966" s="86"/>
      <c r="C966" s="88"/>
      <c r="D966" s="91"/>
      <c r="E966" s="92"/>
      <c r="F966" s="94"/>
    </row>
    <row r="967" spans="1:6" x14ac:dyDescent="0.25">
      <c r="A967" s="86"/>
      <c r="B967" s="86"/>
      <c r="C967" s="88"/>
      <c r="D967" s="91"/>
      <c r="E967" s="92"/>
      <c r="F967" s="94"/>
    </row>
    <row r="968" spans="1:6" x14ac:dyDescent="0.25">
      <c r="A968" s="86"/>
      <c r="B968" s="86"/>
      <c r="C968" s="88"/>
      <c r="D968" s="91"/>
      <c r="E968" s="92"/>
      <c r="F968" s="94"/>
    </row>
    <row r="969" spans="1:6" x14ac:dyDescent="0.25">
      <c r="A969" s="86"/>
      <c r="B969" s="86"/>
      <c r="C969" s="88"/>
      <c r="D969" s="91"/>
      <c r="E969" s="92"/>
      <c r="F969" s="94"/>
    </row>
    <row r="970" spans="1:6" x14ac:dyDescent="0.25">
      <c r="A970" s="86"/>
      <c r="B970" s="86"/>
      <c r="C970" s="88"/>
      <c r="D970" s="91"/>
      <c r="E970" s="92"/>
      <c r="F970" s="94"/>
    </row>
    <row r="971" spans="1:6" x14ac:dyDescent="0.25">
      <c r="A971" s="86"/>
      <c r="B971" s="86"/>
      <c r="C971" s="88"/>
      <c r="D971" s="91"/>
      <c r="E971" s="92"/>
      <c r="F971" s="94"/>
    </row>
    <row r="972" spans="1:6" x14ac:dyDescent="0.25">
      <c r="A972" s="86"/>
      <c r="B972" s="86"/>
      <c r="C972" s="88"/>
      <c r="D972" s="91"/>
      <c r="E972" s="92"/>
      <c r="F972" s="94"/>
    </row>
    <row r="973" spans="1:6" x14ac:dyDescent="0.25">
      <c r="A973" s="86"/>
      <c r="B973" s="86"/>
      <c r="C973" s="88"/>
      <c r="D973" s="91"/>
      <c r="E973" s="92"/>
      <c r="F973" s="94"/>
    </row>
    <row r="974" spans="1:6" x14ac:dyDescent="0.25">
      <c r="A974" s="86"/>
      <c r="B974" s="86"/>
      <c r="C974" s="88"/>
      <c r="D974" s="91"/>
      <c r="E974" s="92"/>
      <c r="F974" s="94"/>
    </row>
    <row r="975" spans="1:6" x14ac:dyDescent="0.25">
      <c r="A975" s="86"/>
      <c r="B975" s="86"/>
      <c r="C975" s="88"/>
      <c r="D975" s="91"/>
      <c r="E975" s="92"/>
      <c r="F975" s="94"/>
    </row>
    <row r="976" spans="1:6" x14ac:dyDescent="0.25">
      <c r="A976" s="86"/>
      <c r="B976" s="86"/>
      <c r="C976" s="88"/>
      <c r="D976" s="91"/>
      <c r="E976" s="92"/>
      <c r="F976" s="94"/>
    </row>
    <row r="977" spans="1:6" x14ac:dyDescent="0.25">
      <c r="A977" s="86"/>
      <c r="B977" s="86"/>
      <c r="C977" s="88"/>
      <c r="D977" s="91"/>
      <c r="E977" s="92"/>
      <c r="F977" s="94"/>
    </row>
    <row r="978" spans="1:6" x14ac:dyDescent="0.25">
      <c r="A978" s="86"/>
      <c r="B978" s="86"/>
      <c r="C978" s="88"/>
      <c r="D978" s="91"/>
      <c r="E978" s="92"/>
      <c r="F978" s="94"/>
    </row>
    <row r="979" spans="1:6" x14ac:dyDescent="0.25">
      <c r="A979" s="86"/>
      <c r="B979" s="86"/>
      <c r="C979" s="88"/>
      <c r="D979" s="91"/>
      <c r="E979" s="92"/>
      <c r="F979" s="94"/>
    </row>
    <row r="980" spans="1:6" x14ac:dyDescent="0.25">
      <c r="A980" s="86"/>
      <c r="B980" s="86"/>
      <c r="C980" s="88"/>
      <c r="D980" s="91"/>
      <c r="E980" s="92"/>
      <c r="F980" s="94"/>
    </row>
    <row r="981" spans="1:6" x14ac:dyDescent="0.25">
      <c r="A981" s="86"/>
      <c r="B981" s="86"/>
      <c r="C981" s="88"/>
      <c r="D981" s="91"/>
      <c r="E981" s="92"/>
      <c r="F981" s="94"/>
    </row>
    <row r="982" spans="1:6" x14ac:dyDescent="0.25">
      <c r="A982" s="86"/>
      <c r="B982" s="86"/>
      <c r="C982" s="88"/>
      <c r="D982" s="91"/>
      <c r="E982" s="92"/>
      <c r="F982" s="94"/>
    </row>
    <row r="983" spans="1:6" x14ac:dyDescent="0.25">
      <c r="A983" s="86"/>
      <c r="B983" s="86"/>
      <c r="C983" s="88"/>
      <c r="D983" s="91"/>
      <c r="E983" s="92"/>
      <c r="F983" s="94"/>
    </row>
    <row r="984" spans="1:6" x14ac:dyDescent="0.25">
      <c r="A984" s="86"/>
      <c r="B984" s="86"/>
      <c r="C984" s="88"/>
      <c r="D984" s="91"/>
      <c r="E984" s="92"/>
      <c r="F984" s="94"/>
    </row>
    <row r="985" spans="1:6" x14ac:dyDescent="0.25">
      <c r="A985" s="86"/>
      <c r="B985" s="86"/>
      <c r="C985" s="88"/>
      <c r="D985" s="91"/>
      <c r="E985" s="92"/>
      <c r="F985" s="94"/>
    </row>
    <row r="986" spans="1:6" x14ac:dyDescent="0.25">
      <c r="A986" s="86"/>
      <c r="B986" s="86"/>
      <c r="C986" s="88"/>
      <c r="D986" s="91"/>
      <c r="E986" s="92"/>
      <c r="F986" s="94"/>
    </row>
    <row r="987" spans="1:6" x14ac:dyDescent="0.25">
      <c r="A987" s="86"/>
      <c r="B987" s="86"/>
      <c r="C987" s="88"/>
      <c r="D987" s="91"/>
      <c r="E987" s="92"/>
      <c r="F987" s="94"/>
    </row>
    <row r="988" spans="1:6" x14ac:dyDescent="0.25">
      <c r="A988" s="86"/>
      <c r="B988" s="86"/>
      <c r="C988" s="88"/>
      <c r="D988" s="91"/>
      <c r="E988" s="92"/>
      <c r="F988" s="94"/>
    </row>
    <row r="989" spans="1:6" x14ac:dyDescent="0.25">
      <c r="A989" s="86"/>
      <c r="B989" s="86"/>
      <c r="C989" s="88"/>
      <c r="D989" s="91"/>
      <c r="E989" s="92"/>
      <c r="F989" s="94"/>
    </row>
    <row r="990" spans="1:6" x14ac:dyDescent="0.25">
      <c r="A990" s="86"/>
      <c r="B990" s="86"/>
      <c r="C990" s="88"/>
      <c r="D990" s="91"/>
      <c r="E990" s="92"/>
      <c r="F990" s="94"/>
    </row>
    <row r="991" spans="1:6" x14ac:dyDescent="0.25">
      <c r="A991" s="86"/>
      <c r="B991" s="86"/>
      <c r="C991" s="88"/>
      <c r="D991" s="91"/>
      <c r="E991" s="92"/>
      <c r="F991" s="94"/>
    </row>
    <row r="992" spans="1:6" x14ac:dyDescent="0.25">
      <c r="A992" s="86"/>
      <c r="B992" s="86"/>
      <c r="C992" s="88"/>
      <c r="D992" s="91"/>
      <c r="E992" s="92"/>
      <c r="F992" s="94"/>
    </row>
    <row r="993" spans="1:6" x14ac:dyDescent="0.25">
      <c r="A993" s="86"/>
      <c r="B993" s="86"/>
      <c r="C993" s="88"/>
      <c r="D993" s="91"/>
      <c r="E993" s="92"/>
      <c r="F993" s="94"/>
    </row>
    <row r="994" spans="1:6" x14ac:dyDescent="0.25">
      <c r="A994" s="86"/>
      <c r="B994" s="86"/>
      <c r="C994" s="88"/>
      <c r="D994" s="91"/>
      <c r="E994" s="92"/>
      <c r="F994" s="94"/>
    </row>
    <row r="995" spans="1:6" x14ac:dyDescent="0.25">
      <c r="A995" s="86"/>
      <c r="B995" s="86"/>
      <c r="C995" s="88"/>
      <c r="D995" s="91"/>
      <c r="E995" s="92"/>
      <c r="F995" s="94"/>
    </row>
    <row r="996" spans="1:6" x14ac:dyDescent="0.25">
      <c r="A996" s="86"/>
      <c r="B996" s="86"/>
      <c r="C996" s="88"/>
      <c r="D996" s="91"/>
      <c r="E996" s="92"/>
      <c r="F996" s="94"/>
    </row>
    <row r="997" spans="1:6" x14ac:dyDescent="0.25">
      <c r="A997" s="86"/>
      <c r="B997" s="86"/>
      <c r="C997" s="88"/>
      <c r="D997" s="91"/>
      <c r="E997" s="92"/>
      <c r="F997" s="94"/>
    </row>
    <row r="998" spans="1:6" x14ac:dyDescent="0.25">
      <c r="A998" s="86"/>
      <c r="B998" s="86"/>
      <c r="C998" s="88"/>
      <c r="D998" s="91"/>
      <c r="E998" s="92"/>
      <c r="F998" s="94"/>
    </row>
    <row r="999" spans="1:6" x14ac:dyDescent="0.25">
      <c r="A999" s="86"/>
      <c r="B999" s="86"/>
      <c r="C999" s="88"/>
      <c r="D999" s="91"/>
      <c r="E999" s="92"/>
      <c r="F999" s="94"/>
    </row>
    <row r="1000" spans="1:6" x14ac:dyDescent="0.25">
      <c r="A1000" s="86"/>
      <c r="B1000" s="86"/>
      <c r="C1000" s="88"/>
      <c r="D1000" s="91"/>
      <c r="E1000" s="92"/>
      <c r="F1000" s="94"/>
    </row>
    <row r="1001" spans="1:6" x14ac:dyDescent="0.25">
      <c r="A1001" s="86"/>
      <c r="B1001" s="86"/>
      <c r="C1001" s="88"/>
      <c r="D1001" s="91"/>
      <c r="E1001" s="92"/>
      <c r="F1001" s="94"/>
    </row>
    <row r="1002" spans="1:6" x14ac:dyDescent="0.25">
      <c r="A1002" s="86"/>
      <c r="B1002" s="86"/>
      <c r="C1002" s="88"/>
      <c r="D1002" s="91"/>
      <c r="E1002" s="92"/>
      <c r="F1002" s="94"/>
    </row>
    <row r="1003" spans="1:6" x14ac:dyDescent="0.25">
      <c r="A1003" s="86"/>
      <c r="B1003" s="86"/>
      <c r="C1003" s="88"/>
      <c r="D1003" s="91"/>
      <c r="E1003" s="92"/>
      <c r="F1003" s="94"/>
    </row>
    <row r="1004" spans="1:6" x14ac:dyDescent="0.25">
      <c r="A1004" s="86"/>
      <c r="B1004" s="86"/>
      <c r="C1004" s="88"/>
      <c r="D1004" s="91"/>
      <c r="E1004" s="92"/>
      <c r="F1004" s="94"/>
    </row>
    <row r="1005" spans="1:6" x14ac:dyDescent="0.25">
      <c r="A1005" s="86"/>
      <c r="B1005" s="86"/>
      <c r="C1005" s="88"/>
      <c r="D1005" s="91"/>
      <c r="E1005" s="92"/>
      <c r="F1005" s="94"/>
    </row>
    <row r="1006" spans="1:6" x14ac:dyDescent="0.25">
      <c r="A1006" s="86"/>
      <c r="B1006" s="86"/>
      <c r="C1006" s="88"/>
      <c r="D1006" s="91"/>
      <c r="E1006" s="92"/>
      <c r="F1006" s="94"/>
    </row>
    <row r="1007" spans="1:6" x14ac:dyDescent="0.25">
      <c r="A1007" s="86"/>
      <c r="B1007" s="86"/>
      <c r="C1007" s="88"/>
      <c r="D1007" s="91"/>
      <c r="E1007" s="92"/>
      <c r="F1007" s="94"/>
    </row>
    <row r="1008" spans="1:6" x14ac:dyDescent="0.25">
      <c r="A1008" s="86"/>
      <c r="B1008" s="86"/>
      <c r="C1008" s="88"/>
      <c r="D1008" s="91"/>
      <c r="E1008" s="92"/>
      <c r="F1008" s="94"/>
    </row>
    <row r="1009" spans="1:6" x14ac:dyDescent="0.25">
      <c r="A1009" s="86"/>
      <c r="B1009" s="86"/>
      <c r="C1009" s="88"/>
      <c r="D1009" s="91"/>
      <c r="E1009" s="92"/>
      <c r="F1009" s="94"/>
    </row>
    <row r="1010" spans="1:6" x14ac:dyDescent="0.25">
      <c r="A1010" s="86"/>
      <c r="B1010" s="86"/>
      <c r="C1010" s="88"/>
      <c r="D1010" s="91"/>
      <c r="E1010" s="92"/>
      <c r="F1010" s="94"/>
    </row>
    <row r="1011" spans="1:6" x14ac:dyDescent="0.25">
      <c r="A1011" s="86"/>
      <c r="B1011" s="86"/>
      <c r="C1011" s="88"/>
      <c r="D1011" s="91"/>
      <c r="E1011" s="92"/>
      <c r="F1011" s="94"/>
    </row>
    <row r="1012" spans="1:6" x14ac:dyDescent="0.25">
      <c r="A1012" s="86"/>
      <c r="B1012" s="86"/>
      <c r="C1012" s="88"/>
      <c r="D1012" s="91"/>
      <c r="E1012" s="92"/>
      <c r="F1012" s="94"/>
    </row>
    <row r="1013" spans="1:6" x14ac:dyDescent="0.25">
      <c r="A1013" s="86"/>
      <c r="B1013" s="86"/>
      <c r="C1013" s="88"/>
      <c r="D1013" s="91"/>
      <c r="E1013" s="92"/>
      <c r="F1013" s="94"/>
    </row>
    <row r="1014" spans="1:6" x14ac:dyDescent="0.25">
      <c r="A1014" s="86"/>
      <c r="B1014" s="86"/>
      <c r="C1014" s="88"/>
      <c r="D1014" s="91"/>
      <c r="E1014" s="92"/>
      <c r="F1014" s="94"/>
    </row>
    <row r="1015" spans="1:6" x14ac:dyDescent="0.25">
      <c r="A1015" s="86"/>
      <c r="B1015" s="86"/>
      <c r="C1015" s="88"/>
      <c r="D1015" s="91"/>
      <c r="E1015" s="92"/>
      <c r="F1015" s="94"/>
    </row>
    <row r="1016" spans="1:6" x14ac:dyDescent="0.25">
      <c r="A1016" s="86"/>
      <c r="B1016" s="86"/>
      <c r="C1016" s="88"/>
      <c r="D1016" s="91"/>
      <c r="E1016" s="92"/>
      <c r="F1016" s="94"/>
    </row>
    <row r="1017" spans="1:6" x14ac:dyDescent="0.25">
      <c r="A1017" s="86"/>
      <c r="B1017" s="86"/>
      <c r="C1017" s="88"/>
      <c r="D1017" s="91"/>
      <c r="E1017" s="92"/>
      <c r="F1017" s="9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_SCom_NxtSetTrim() R'!A1" display="'DigColPs_SCom_NxtSetTrim() R'!A1"/>
    <hyperlink ref="A18" location="'DigColPs_SCom_NxtSetTrim() P'!A1" display="'DigColPs_SCom_NxtSetTrim() P'!A1"/>
    <hyperlink ref="A19" location="'DigColPs_SCom_NxtSetTrim() M'!A1" display="'DigColPs_SCom_NxtSetTrim() M'!A1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4" width="3.28515625" bestFit="1" customWidth="1"/>
    <col min="5" max="6" width="5" bestFit="1" customWidth="1"/>
    <col min="7" max="8" width="4" bestFit="1" customWidth="1"/>
    <col min="9" max="11" width="5" bestFit="1" customWidth="1"/>
    <col min="12" max="12" width="3.28515625" bestFit="1" customWidth="1"/>
    <col min="13" max="14" width="7.28515625" bestFit="1" customWidth="1"/>
    <col min="15" max="18" width="4.140625" bestFit="1" customWidth="1"/>
    <col min="19" max="29" width="7.2851562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79" t="s">
        <v>403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43"/>
      <c r="AE1" s="43"/>
      <c r="AF1" s="44"/>
    </row>
    <row r="2" spans="1:32" ht="60" customHeight="1" x14ac:dyDescent="0.25">
      <c r="A2" s="281" t="s">
        <v>99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64" t="s">
        <v>239</v>
      </c>
      <c r="N2" s="60" t="s">
        <v>170</v>
      </c>
      <c r="O2" s="60" t="s">
        <v>151</v>
      </c>
      <c r="P2" s="60" t="s">
        <v>151</v>
      </c>
      <c r="Q2" s="60" t="s">
        <v>151</v>
      </c>
      <c r="R2" s="60" t="s">
        <v>151</v>
      </c>
      <c r="S2" s="27" t="s">
        <v>152</v>
      </c>
      <c r="T2" s="27" t="s">
        <v>152</v>
      </c>
      <c r="U2" s="27" t="s">
        <v>152</v>
      </c>
      <c r="V2" s="28" t="s">
        <v>171</v>
      </c>
      <c r="W2" s="28" t="s">
        <v>153</v>
      </c>
      <c r="X2" s="28" t="s">
        <v>153</v>
      </c>
      <c r="Y2" s="28" t="s">
        <v>153</v>
      </c>
      <c r="Z2" s="28" t="s">
        <v>153</v>
      </c>
      <c r="AA2" s="28" t="s">
        <v>154</v>
      </c>
      <c r="AB2" s="28" t="s">
        <v>154</v>
      </c>
      <c r="AC2" s="28" t="s">
        <v>154</v>
      </c>
      <c r="AD2" s="29" t="s">
        <v>21</v>
      </c>
      <c r="AE2" s="29" t="s">
        <v>156</v>
      </c>
      <c r="AF2" s="30" t="s">
        <v>158</v>
      </c>
    </row>
    <row r="3" spans="1:32" ht="170.25" x14ac:dyDescent="0.25">
      <c r="A3" s="31" t="s">
        <v>148</v>
      </c>
      <c r="B3" s="32" t="s">
        <v>149</v>
      </c>
      <c r="C3" s="33" t="s">
        <v>566</v>
      </c>
      <c r="D3" s="33" t="s">
        <v>567</v>
      </c>
      <c r="E3" s="33" t="s">
        <v>285</v>
      </c>
      <c r="F3" s="33" t="s">
        <v>286</v>
      </c>
      <c r="G3" s="33" t="s">
        <v>380</v>
      </c>
      <c r="H3" s="33" t="s">
        <v>381</v>
      </c>
      <c r="I3" s="33" t="s">
        <v>382</v>
      </c>
      <c r="J3" s="33" t="s">
        <v>422</v>
      </c>
      <c r="K3" s="33" t="s">
        <v>274</v>
      </c>
      <c r="L3" s="33" t="s">
        <v>424</v>
      </c>
      <c r="M3" s="33" t="s">
        <v>425</v>
      </c>
      <c r="N3" s="34" t="s">
        <v>403</v>
      </c>
      <c r="O3" s="34" t="s">
        <v>380</v>
      </c>
      <c r="P3" s="34" t="s">
        <v>381</v>
      </c>
      <c r="Q3" s="34" t="s">
        <v>382</v>
      </c>
      <c r="R3" s="34" t="s">
        <v>424</v>
      </c>
      <c r="S3" s="34" t="s">
        <v>272</v>
      </c>
      <c r="T3" s="34" t="s">
        <v>273</v>
      </c>
      <c r="U3" s="34" t="s">
        <v>425</v>
      </c>
      <c r="V3" s="35" t="s">
        <v>403</v>
      </c>
      <c r="W3" s="35" t="s">
        <v>380</v>
      </c>
      <c r="X3" s="35" t="s">
        <v>381</v>
      </c>
      <c r="Y3" s="35" t="s">
        <v>382</v>
      </c>
      <c r="Z3" s="35" t="s">
        <v>424</v>
      </c>
      <c r="AA3" s="35" t="s">
        <v>272</v>
      </c>
      <c r="AB3" s="35" t="s">
        <v>273</v>
      </c>
      <c r="AC3" s="35" t="s">
        <v>425</v>
      </c>
      <c r="AD3" s="29" t="s">
        <v>155</v>
      </c>
      <c r="AE3" s="29" t="s">
        <v>157</v>
      </c>
      <c r="AF3" s="30"/>
    </row>
    <row r="4" spans="1:32" ht="15" customHeight="1" x14ac:dyDescent="0.25">
      <c r="A4" s="36">
        <v>1</v>
      </c>
      <c r="B4" s="69" t="s">
        <v>444</v>
      </c>
      <c r="C4" s="63">
        <v>1</v>
      </c>
      <c r="D4" s="63">
        <v>1</v>
      </c>
      <c r="E4" s="63">
        <v>360</v>
      </c>
      <c r="F4" s="63">
        <v>360</v>
      </c>
      <c r="G4" s="63">
        <v>360</v>
      </c>
      <c r="H4" s="63">
        <v>360</v>
      </c>
      <c r="I4" s="63">
        <v>4488</v>
      </c>
      <c r="J4" s="63">
        <v>1800</v>
      </c>
      <c r="K4" s="63">
        <v>4488</v>
      </c>
      <c r="L4" s="63">
        <v>6</v>
      </c>
      <c r="M4" s="63">
        <v>511</v>
      </c>
      <c r="N4" s="37" t="s">
        <v>159</v>
      </c>
      <c r="O4" s="37" t="s">
        <v>159</v>
      </c>
      <c r="P4" s="37" t="s">
        <v>159</v>
      </c>
      <c r="Q4" s="37" t="s">
        <v>159</v>
      </c>
      <c r="R4" s="37" t="s">
        <v>159</v>
      </c>
      <c r="S4" s="37" t="s">
        <v>159</v>
      </c>
      <c r="T4" s="37" t="s">
        <v>159</v>
      </c>
      <c r="U4" s="37" t="s">
        <v>159</v>
      </c>
      <c r="V4" s="46">
        <v>34</v>
      </c>
      <c r="W4" s="46">
        <v>360</v>
      </c>
      <c r="X4" s="46">
        <v>360</v>
      </c>
      <c r="Y4" s="46">
        <v>4488</v>
      </c>
      <c r="Z4" s="46">
        <v>6</v>
      </c>
      <c r="AA4" s="46">
        <v>1</v>
      </c>
      <c r="AB4" s="46">
        <v>1</v>
      </c>
      <c r="AC4" s="46">
        <v>1</v>
      </c>
      <c r="AD4" s="50" t="s">
        <v>159</v>
      </c>
      <c r="AE4" s="37"/>
      <c r="AF4" s="38"/>
    </row>
    <row r="5" spans="1:32" ht="15" customHeight="1" thickBot="1" x14ac:dyDescent="0.3">
      <c r="A5" s="39">
        <v>2</v>
      </c>
      <c r="B5" s="68" t="s">
        <v>443</v>
      </c>
      <c r="C5" s="67">
        <v>0</v>
      </c>
      <c r="D5" s="67">
        <v>0</v>
      </c>
      <c r="E5" s="67">
        <v>89.1</v>
      </c>
      <c r="F5" s="67">
        <v>82.4</v>
      </c>
      <c r="G5" s="67">
        <v>48</v>
      </c>
      <c r="H5" s="67">
        <v>41</v>
      </c>
      <c r="I5" s="67">
        <v>300</v>
      </c>
      <c r="J5" s="67">
        <v>1800</v>
      </c>
      <c r="K5" s="67">
        <v>3058</v>
      </c>
      <c r="L5" s="67">
        <v>2</v>
      </c>
      <c r="M5" s="67">
        <v>1</v>
      </c>
      <c r="N5" s="40" t="s">
        <v>159</v>
      </c>
      <c r="O5" s="40" t="s">
        <v>159</v>
      </c>
      <c r="P5" s="40" t="s">
        <v>159</v>
      </c>
      <c r="Q5" s="40" t="s">
        <v>159</v>
      </c>
      <c r="R5" s="40" t="s">
        <v>159</v>
      </c>
      <c r="S5" s="40" t="s">
        <v>159</v>
      </c>
      <c r="T5" s="40" t="s">
        <v>159</v>
      </c>
      <c r="U5" s="40" t="s">
        <v>159</v>
      </c>
      <c r="V5" s="47">
        <v>0</v>
      </c>
      <c r="W5" s="47">
        <v>-180</v>
      </c>
      <c r="X5" s="47">
        <v>-180</v>
      </c>
      <c r="Y5" s="47">
        <v>1</v>
      </c>
      <c r="Z5" s="47">
        <v>6</v>
      </c>
      <c r="AA5" s="47">
        <v>1</v>
      </c>
      <c r="AB5" s="47">
        <v>1</v>
      </c>
      <c r="AC5" s="47">
        <v>1</v>
      </c>
      <c r="AD5" s="51" t="s">
        <v>159</v>
      </c>
      <c r="AE5" s="40"/>
      <c r="AF5" s="41"/>
    </row>
    <row r="6" spans="1:3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</row>
    <row r="7" spans="1:3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</row>
    <row r="8" spans="1:3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</row>
    <row r="9" spans="1:3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</sheetData>
  <sheetProtection sheet="1" objects="1" scenarios="1"/>
  <mergeCells count="2">
    <mergeCell ref="A1:B1"/>
    <mergeCell ref="A2:B2"/>
  </mergeCells>
  <hyperlinks>
    <hyperlink ref="A1" location="'DigColPs_SCom_NxtSetTrim'!A1" display="'DigColPs_SCom_NxtSetTrim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F21"/>
  <sheetViews>
    <sheetView zoomScaleNormal="100" workbookViewId="0">
      <selection sqref="A1:B1"/>
    </sheetView>
  </sheetViews>
  <sheetFormatPr defaultRowHeight="15" x14ac:dyDescent="0.25"/>
  <cols>
    <col min="1" max="1" width="8.5703125" bestFit="1" customWidth="1"/>
    <col min="2" max="2" width="255.7109375" bestFit="1" customWidth="1"/>
    <col min="3" max="4" width="3.85546875" bestFit="1" customWidth="1"/>
    <col min="5" max="6" width="6.140625" bestFit="1" customWidth="1"/>
    <col min="7" max="9" width="4.140625" bestFit="1" customWidth="1"/>
    <col min="10" max="11" width="5.140625" bestFit="1" customWidth="1"/>
    <col min="12" max="12" width="3.85546875" bestFit="1" customWidth="1"/>
    <col min="13" max="14" width="7.28515625" bestFit="1" customWidth="1"/>
    <col min="15" max="18" width="4.140625" bestFit="1" customWidth="1"/>
    <col min="19" max="29" width="7.2851562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79" t="s">
        <v>403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43"/>
      <c r="AE1" s="43"/>
      <c r="AF1" s="44"/>
    </row>
    <row r="2" spans="1:32" ht="60" customHeight="1" x14ac:dyDescent="0.25">
      <c r="A2" s="281" t="s">
        <v>193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64" t="s">
        <v>239</v>
      </c>
      <c r="N2" s="60" t="s">
        <v>170</v>
      </c>
      <c r="O2" s="60" t="s">
        <v>151</v>
      </c>
      <c r="P2" s="60" t="s">
        <v>151</v>
      </c>
      <c r="Q2" s="60" t="s">
        <v>151</v>
      </c>
      <c r="R2" s="60" t="s">
        <v>151</v>
      </c>
      <c r="S2" s="27" t="s">
        <v>152</v>
      </c>
      <c r="T2" s="27" t="s">
        <v>152</v>
      </c>
      <c r="U2" s="27" t="s">
        <v>152</v>
      </c>
      <c r="V2" s="28" t="s">
        <v>171</v>
      </c>
      <c r="W2" s="28" t="s">
        <v>153</v>
      </c>
      <c r="X2" s="28" t="s">
        <v>153</v>
      </c>
      <c r="Y2" s="28" t="s">
        <v>153</v>
      </c>
      <c r="Z2" s="28" t="s">
        <v>153</v>
      </c>
      <c r="AA2" s="28" t="s">
        <v>154</v>
      </c>
      <c r="AB2" s="28" t="s">
        <v>154</v>
      </c>
      <c r="AC2" s="28" t="s">
        <v>154</v>
      </c>
      <c r="AD2" s="29" t="s">
        <v>21</v>
      </c>
      <c r="AE2" s="29" t="s">
        <v>156</v>
      </c>
      <c r="AF2" s="30" t="s">
        <v>158</v>
      </c>
    </row>
    <row r="3" spans="1:32" ht="170.25" x14ac:dyDescent="0.25">
      <c r="A3" s="31" t="s">
        <v>148</v>
      </c>
      <c r="B3" s="32" t="s">
        <v>149</v>
      </c>
      <c r="C3" s="33" t="s">
        <v>566</v>
      </c>
      <c r="D3" s="33" t="s">
        <v>567</v>
      </c>
      <c r="E3" s="33" t="s">
        <v>285</v>
      </c>
      <c r="F3" s="33" t="s">
        <v>286</v>
      </c>
      <c r="G3" s="33" t="s">
        <v>380</v>
      </c>
      <c r="H3" s="33" t="s">
        <v>381</v>
      </c>
      <c r="I3" s="33" t="s">
        <v>382</v>
      </c>
      <c r="J3" s="33" t="s">
        <v>422</v>
      </c>
      <c r="K3" s="33" t="s">
        <v>274</v>
      </c>
      <c r="L3" s="33" t="s">
        <v>424</v>
      </c>
      <c r="M3" s="33" t="s">
        <v>425</v>
      </c>
      <c r="N3" s="34" t="s">
        <v>403</v>
      </c>
      <c r="O3" s="34" t="s">
        <v>380</v>
      </c>
      <c r="P3" s="34" t="s">
        <v>381</v>
      </c>
      <c r="Q3" s="34" t="s">
        <v>382</v>
      </c>
      <c r="R3" s="34" t="s">
        <v>424</v>
      </c>
      <c r="S3" s="34" t="s">
        <v>272</v>
      </c>
      <c r="T3" s="34" t="s">
        <v>273</v>
      </c>
      <c r="U3" s="34" t="s">
        <v>425</v>
      </c>
      <c r="V3" s="35" t="s">
        <v>403</v>
      </c>
      <c r="W3" s="35" t="s">
        <v>380</v>
      </c>
      <c r="X3" s="35" t="s">
        <v>381</v>
      </c>
      <c r="Y3" s="35" t="s">
        <v>382</v>
      </c>
      <c r="Z3" s="35" t="s">
        <v>424</v>
      </c>
      <c r="AA3" s="35" t="s">
        <v>272</v>
      </c>
      <c r="AB3" s="35" t="s">
        <v>273</v>
      </c>
      <c r="AC3" s="35" t="s">
        <v>425</v>
      </c>
      <c r="AD3" s="29" t="s">
        <v>155</v>
      </c>
      <c r="AE3" s="29" t="s">
        <v>157</v>
      </c>
      <c r="AF3" s="30"/>
    </row>
    <row r="4" spans="1:32" ht="15" customHeight="1" x14ac:dyDescent="0.25">
      <c r="A4" s="36">
        <v>1</v>
      </c>
      <c r="B4" s="46" t="s">
        <v>435</v>
      </c>
      <c r="C4" s="63">
        <v>0</v>
      </c>
      <c r="D4" s="63">
        <v>0</v>
      </c>
      <c r="E4" s="63">
        <v>24.4</v>
      </c>
      <c r="F4" s="63">
        <v>64.5</v>
      </c>
      <c r="G4" s="63">
        <v>12</v>
      </c>
      <c r="H4" s="63">
        <v>54</v>
      </c>
      <c r="I4" s="63">
        <v>100</v>
      </c>
      <c r="J4" s="63">
        <v>156</v>
      </c>
      <c r="K4" s="63">
        <v>1854</v>
      </c>
      <c r="L4" s="63">
        <v>0</v>
      </c>
      <c r="M4" s="63">
        <v>12</v>
      </c>
      <c r="N4" s="37" t="s">
        <v>159</v>
      </c>
      <c r="O4" s="37" t="s">
        <v>159</v>
      </c>
      <c r="P4" s="37" t="s">
        <v>159</v>
      </c>
      <c r="Q4" s="37" t="s">
        <v>159</v>
      </c>
      <c r="R4" s="37" t="s">
        <v>159</v>
      </c>
      <c r="S4" s="37" t="s">
        <v>159</v>
      </c>
      <c r="T4" s="37" t="s">
        <v>159</v>
      </c>
      <c r="U4" s="37" t="s">
        <v>159</v>
      </c>
      <c r="V4" s="46">
        <v>0</v>
      </c>
      <c r="W4" s="46">
        <v>312</v>
      </c>
      <c r="X4" s="46">
        <v>163.19999999999999</v>
      </c>
      <c r="Y4" s="46">
        <v>1</v>
      </c>
      <c r="Z4" s="46">
        <v>6</v>
      </c>
      <c r="AA4" s="46">
        <v>1</v>
      </c>
      <c r="AB4" s="46">
        <v>1</v>
      </c>
      <c r="AC4" s="46">
        <v>1</v>
      </c>
      <c r="AD4" s="50" t="s">
        <v>159</v>
      </c>
      <c r="AE4" s="37"/>
      <c r="AF4" s="38"/>
    </row>
    <row r="5" spans="1:32" ht="15" customHeight="1" x14ac:dyDescent="0.25">
      <c r="A5" s="36">
        <v>2</v>
      </c>
      <c r="B5" s="46" t="s">
        <v>440</v>
      </c>
      <c r="C5" s="63">
        <v>0</v>
      </c>
      <c r="D5" s="63">
        <v>0</v>
      </c>
      <c r="E5" s="63">
        <v>89.1</v>
      </c>
      <c r="F5" s="63">
        <v>82.4</v>
      </c>
      <c r="G5" s="63">
        <v>48</v>
      </c>
      <c r="H5" s="63">
        <v>41</v>
      </c>
      <c r="I5" s="63">
        <v>300</v>
      </c>
      <c r="J5" s="63">
        <v>1000</v>
      </c>
      <c r="K5" s="63">
        <v>3058</v>
      </c>
      <c r="L5" s="63">
        <v>2</v>
      </c>
      <c r="M5" s="63">
        <v>1</v>
      </c>
      <c r="N5" s="37" t="s">
        <v>159</v>
      </c>
      <c r="O5" s="37" t="s">
        <v>159</v>
      </c>
      <c r="P5" s="37" t="s">
        <v>159</v>
      </c>
      <c r="Q5" s="37" t="s">
        <v>159</v>
      </c>
      <c r="R5" s="37" t="s">
        <v>159</v>
      </c>
      <c r="S5" s="37" t="s">
        <v>159</v>
      </c>
      <c r="T5" s="37" t="s">
        <v>159</v>
      </c>
      <c r="U5" s="37" t="s">
        <v>159</v>
      </c>
      <c r="V5" s="46">
        <v>0</v>
      </c>
      <c r="W5" s="46">
        <v>-260</v>
      </c>
      <c r="X5" s="46">
        <v>-140</v>
      </c>
      <c r="Y5" s="46">
        <v>1</v>
      </c>
      <c r="Z5" s="46">
        <v>6</v>
      </c>
      <c r="AA5" s="46">
        <v>1</v>
      </c>
      <c r="AB5" s="46">
        <v>1</v>
      </c>
      <c r="AC5" s="46">
        <v>1</v>
      </c>
      <c r="AD5" s="50" t="s">
        <v>159</v>
      </c>
      <c r="AE5" s="37"/>
      <c r="AF5" s="38"/>
    </row>
    <row r="6" spans="1:32" ht="15" customHeight="1" x14ac:dyDescent="0.25">
      <c r="A6" s="36">
        <v>3</v>
      </c>
      <c r="B6" s="46" t="s">
        <v>436</v>
      </c>
      <c r="C6" s="63">
        <v>0</v>
      </c>
      <c r="D6" s="63">
        <v>0</v>
      </c>
      <c r="E6" s="63">
        <v>89.1</v>
      </c>
      <c r="F6" s="63">
        <v>82.4</v>
      </c>
      <c r="G6" s="63">
        <v>48</v>
      </c>
      <c r="H6" s="63">
        <v>41</v>
      </c>
      <c r="I6" s="63">
        <v>300</v>
      </c>
      <c r="J6" s="63">
        <v>500</v>
      </c>
      <c r="K6" s="63">
        <v>3058</v>
      </c>
      <c r="L6" s="63">
        <v>2</v>
      </c>
      <c r="M6" s="63">
        <v>1</v>
      </c>
      <c r="N6" s="37" t="s">
        <v>159</v>
      </c>
      <c r="O6" s="37" t="s">
        <v>159</v>
      </c>
      <c r="P6" s="37" t="s">
        <v>159</v>
      </c>
      <c r="Q6" s="37" t="s">
        <v>159</v>
      </c>
      <c r="R6" s="37" t="s">
        <v>159</v>
      </c>
      <c r="S6" s="37" t="s">
        <v>159</v>
      </c>
      <c r="T6" s="37" t="s">
        <v>159</v>
      </c>
      <c r="U6" s="37" t="s">
        <v>159</v>
      </c>
      <c r="V6" s="46">
        <v>0</v>
      </c>
      <c r="W6" s="46">
        <v>320</v>
      </c>
      <c r="X6" s="46">
        <v>200</v>
      </c>
      <c r="Y6" s="46">
        <v>1</v>
      </c>
      <c r="Z6" s="46">
        <v>6</v>
      </c>
      <c r="AA6" s="46">
        <v>1</v>
      </c>
      <c r="AB6" s="46">
        <v>1</v>
      </c>
      <c r="AC6" s="46">
        <v>1</v>
      </c>
      <c r="AD6" s="50" t="s">
        <v>159</v>
      </c>
      <c r="AE6" s="37"/>
      <c r="AF6" s="38"/>
    </row>
    <row r="7" spans="1:32" ht="15" customHeight="1" x14ac:dyDescent="0.25">
      <c r="A7" s="36">
        <v>4</v>
      </c>
      <c r="B7" s="46" t="s">
        <v>437</v>
      </c>
      <c r="C7" s="63">
        <v>0</v>
      </c>
      <c r="D7" s="63">
        <v>0</v>
      </c>
      <c r="E7" s="63">
        <v>180.4</v>
      </c>
      <c r="F7" s="63">
        <v>78.8</v>
      </c>
      <c r="G7" s="63">
        <v>8</v>
      </c>
      <c r="H7" s="63">
        <v>117</v>
      </c>
      <c r="I7" s="63">
        <v>2</v>
      </c>
      <c r="J7" s="63">
        <v>414</v>
      </c>
      <c r="K7" s="63">
        <v>1</v>
      </c>
      <c r="L7" s="63">
        <v>6</v>
      </c>
      <c r="M7" s="63">
        <v>120</v>
      </c>
      <c r="N7" s="37" t="s">
        <v>159</v>
      </c>
      <c r="O7" s="37" t="s">
        <v>159</v>
      </c>
      <c r="P7" s="37" t="s">
        <v>159</v>
      </c>
      <c r="Q7" s="37" t="s">
        <v>159</v>
      </c>
      <c r="R7" s="37" t="s">
        <v>159</v>
      </c>
      <c r="S7" s="37" t="s">
        <v>159</v>
      </c>
      <c r="T7" s="37" t="s">
        <v>159</v>
      </c>
      <c r="U7" s="37" t="s">
        <v>159</v>
      </c>
      <c r="V7" s="46">
        <v>34</v>
      </c>
      <c r="W7" s="46">
        <v>8</v>
      </c>
      <c r="X7" s="46">
        <v>117</v>
      </c>
      <c r="Y7" s="46">
        <v>2</v>
      </c>
      <c r="Z7" s="46">
        <v>6</v>
      </c>
      <c r="AA7" s="46">
        <v>1</v>
      </c>
      <c r="AB7" s="46">
        <v>1</v>
      </c>
      <c r="AC7" s="46">
        <v>1</v>
      </c>
      <c r="AD7" s="50" t="s">
        <v>159</v>
      </c>
      <c r="AE7" s="37"/>
      <c r="AF7" s="38"/>
    </row>
    <row r="8" spans="1:32" ht="15" customHeight="1" x14ac:dyDescent="0.25">
      <c r="A8" s="36">
        <v>5</v>
      </c>
      <c r="B8" s="46" t="s">
        <v>442</v>
      </c>
      <c r="C8" s="63">
        <v>0</v>
      </c>
      <c r="D8" s="63">
        <v>0</v>
      </c>
      <c r="E8" s="63">
        <v>180.4</v>
      </c>
      <c r="F8" s="63">
        <v>78.8</v>
      </c>
      <c r="G8" s="63">
        <v>8</v>
      </c>
      <c r="H8" s="63">
        <v>117</v>
      </c>
      <c r="I8" s="63">
        <v>1</v>
      </c>
      <c r="J8" s="63">
        <v>414</v>
      </c>
      <c r="K8" s="63">
        <v>4466</v>
      </c>
      <c r="L8" s="63">
        <v>6</v>
      </c>
      <c r="M8" s="63">
        <v>120</v>
      </c>
      <c r="N8" s="37" t="s">
        <v>159</v>
      </c>
      <c r="O8" s="37" t="s">
        <v>159</v>
      </c>
      <c r="P8" s="37" t="s">
        <v>159</v>
      </c>
      <c r="Q8" s="37" t="s">
        <v>159</v>
      </c>
      <c r="R8" s="37" t="s">
        <v>159</v>
      </c>
      <c r="S8" s="37" t="s">
        <v>159</v>
      </c>
      <c r="T8" s="37" t="s">
        <v>159</v>
      </c>
      <c r="U8" s="37" t="s">
        <v>159</v>
      </c>
      <c r="V8" s="46">
        <v>34</v>
      </c>
      <c r="W8" s="46">
        <v>8</v>
      </c>
      <c r="X8" s="46">
        <v>117</v>
      </c>
      <c r="Y8" s="46">
        <v>1</v>
      </c>
      <c r="Z8" s="46">
        <v>6</v>
      </c>
      <c r="AA8" s="46">
        <v>1</v>
      </c>
      <c r="AB8" s="46">
        <v>1</v>
      </c>
      <c r="AC8" s="46">
        <v>1</v>
      </c>
      <c r="AD8" s="50" t="s">
        <v>159</v>
      </c>
      <c r="AE8" s="37"/>
      <c r="AF8" s="38"/>
    </row>
    <row r="9" spans="1:32" ht="15" customHeight="1" x14ac:dyDescent="0.25">
      <c r="A9" s="36">
        <v>6</v>
      </c>
      <c r="B9" s="46" t="s">
        <v>441</v>
      </c>
      <c r="C9" s="63">
        <v>0</v>
      </c>
      <c r="D9" s="63">
        <v>0</v>
      </c>
      <c r="E9" s="63">
        <v>360</v>
      </c>
      <c r="F9" s="63">
        <v>244.8</v>
      </c>
      <c r="G9" s="63">
        <v>218</v>
      </c>
      <c r="H9" s="63">
        <v>14</v>
      </c>
      <c r="I9" s="63">
        <v>780</v>
      </c>
      <c r="J9" s="63">
        <v>371</v>
      </c>
      <c r="K9" s="63">
        <v>4464</v>
      </c>
      <c r="L9" s="63">
        <v>5</v>
      </c>
      <c r="M9" s="63">
        <v>511</v>
      </c>
      <c r="N9" s="37" t="s">
        <v>159</v>
      </c>
      <c r="O9" s="37" t="s">
        <v>159</v>
      </c>
      <c r="P9" s="37" t="s">
        <v>159</v>
      </c>
      <c r="Q9" s="37" t="s">
        <v>159</v>
      </c>
      <c r="R9" s="37" t="s">
        <v>159</v>
      </c>
      <c r="S9" s="37" t="s">
        <v>159</v>
      </c>
      <c r="T9" s="37" t="s">
        <v>159</v>
      </c>
      <c r="U9" s="37" t="s">
        <v>159</v>
      </c>
      <c r="V9" s="46">
        <v>34</v>
      </c>
      <c r="W9" s="46">
        <v>218</v>
      </c>
      <c r="X9" s="46">
        <v>14</v>
      </c>
      <c r="Y9" s="46">
        <v>780</v>
      </c>
      <c r="Z9" s="46">
        <v>5</v>
      </c>
      <c r="AA9" s="46">
        <v>1</v>
      </c>
      <c r="AB9" s="46">
        <v>1</v>
      </c>
      <c r="AC9" s="46">
        <v>1</v>
      </c>
      <c r="AD9" s="50" t="s">
        <v>159</v>
      </c>
      <c r="AE9" s="37"/>
      <c r="AF9" s="38"/>
    </row>
    <row r="10" spans="1:32" ht="15" customHeight="1" x14ac:dyDescent="0.25">
      <c r="A10" s="36">
        <v>7</v>
      </c>
      <c r="B10" s="46" t="s">
        <v>438</v>
      </c>
      <c r="C10" s="63">
        <v>0</v>
      </c>
      <c r="D10" s="63">
        <v>1</v>
      </c>
      <c r="E10" s="63">
        <v>360</v>
      </c>
      <c r="F10" s="63">
        <v>360</v>
      </c>
      <c r="G10" s="63">
        <v>360</v>
      </c>
      <c r="H10" s="63">
        <v>360</v>
      </c>
      <c r="I10" s="63">
        <v>1</v>
      </c>
      <c r="J10" s="63">
        <v>1800</v>
      </c>
      <c r="K10" s="63">
        <v>1</v>
      </c>
      <c r="L10" s="63">
        <v>6</v>
      </c>
      <c r="M10" s="63">
        <v>511</v>
      </c>
      <c r="N10" s="37" t="s">
        <v>159</v>
      </c>
      <c r="O10" s="37" t="s">
        <v>159</v>
      </c>
      <c r="P10" s="37" t="s">
        <v>159</v>
      </c>
      <c r="Q10" s="37" t="s">
        <v>159</v>
      </c>
      <c r="R10" s="37" t="s">
        <v>159</v>
      </c>
      <c r="S10" s="37" t="s">
        <v>159</v>
      </c>
      <c r="T10" s="37" t="s">
        <v>159</v>
      </c>
      <c r="U10" s="37" t="s">
        <v>159</v>
      </c>
      <c r="V10" s="46">
        <v>34</v>
      </c>
      <c r="W10" s="46">
        <v>360</v>
      </c>
      <c r="X10" s="46">
        <v>360</v>
      </c>
      <c r="Y10" s="46">
        <v>1</v>
      </c>
      <c r="Z10" s="46">
        <v>6</v>
      </c>
      <c r="AA10" s="46">
        <v>1</v>
      </c>
      <c r="AB10" s="46">
        <v>1</v>
      </c>
      <c r="AC10" s="46">
        <v>1</v>
      </c>
      <c r="AD10" s="50" t="s">
        <v>159</v>
      </c>
      <c r="AE10" s="37"/>
      <c r="AF10" s="38"/>
    </row>
    <row r="11" spans="1:32" ht="15" customHeight="1" thickBot="1" x14ac:dyDescent="0.3">
      <c r="A11" s="39">
        <v>8</v>
      </c>
      <c r="B11" s="47" t="s">
        <v>439</v>
      </c>
      <c r="C11" s="67">
        <v>0</v>
      </c>
      <c r="D11" s="67">
        <v>0</v>
      </c>
      <c r="E11" s="67">
        <v>0</v>
      </c>
      <c r="F11" s="67">
        <v>0</v>
      </c>
      <c r="G11" s="67">
        <v>0</v>
      </c>
      <c r="H11" s="67">
        <v>0</v>
      </c>
      <c r="I11" s="67">
        <v>0</v>
      </c>
      <c r="J11" s="67">
        <v>0</v>
      </c>
      <c r="K11" s="67">
        <v>0</v>
      </c>
      <c r="L11" s="67">
        <v>0</v>
      </c>
      <c r="M11" s="67">
        <v>0</v>
      </c>
      <c r="N11" s="40" t="s">
        <v>159</v>
      </c>
      <c r="O11" s="40" t="s">
        <v>159</v>
      </c>
      <c r="P11" s="40" t="s">
        <v>159</v>
      </c>
      <c r="Q11" s="40" t="s">
        <v>159</v>
      </c>
      <c r="R11" s="40" t="s">
        <v>159</v>
      </c>
      <c r="S11" s="40" t="s">
        <v>159</v>
      </c>
      <c r="T11" s="40" t="s">
        <v>159</v>
      </c>
      <c r="U11" s="40" t="s">
        <v>159</v>
      </c>
      <c r="V11" s="47">
        <v>0</v>
      </c>
      <c r="W11" s="47">
        <v>-180</v>
      </c>
      <c r="X11" s="47">
        <v>-180</v>
      </c>
      <c r="Y11" s="47">
        <v>1</v>
      </c>
      <c r="Z11" s="47">
        <v>6</v>
      </c>
      <c r="AA11" s="47">
        <v>1</v>
      </c>
      <c r="AB11" s="47">
        <v>1</v>
      </c>
      <c r="AC11" s="47">
        <v>1</v>
      </c>
      <c r="AD11" s="51" t="s">
        <v>159</v>
      </c>
      <c r="AE11" s="40"/>
      <c r="AF11" s="41"/>
    </row>
    <row r="12" spans="1:3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  <row r="16" spans="1:3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</row>
    <row r="17" spans="1:3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</row>
    <row r="18" spans="1:3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</row>
    <row r="19" spans="1:3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</row>
    <row r="20" spans="1:3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</row>
  </sheetData>
  <sheetProtection sheet="1" objects="1" scenarios="1"/>
  <mergeCells count="2">
    <mergeCell ref="A1:B1"/>
    <mergeCell ref="A2:B2"/>
  </mergeCells>
  <hyperlinks>
    <hyperlink ref="A1" location="'DigColPs_SCom_NxtSetTrim'!A1" display="'DigColPs_SCom_NxtSetTrim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F3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" bestFit="1" customWidth="1"/>
    <col min="3" max="4" width="3.28515625" bestFit="1" customWidth="1"/>
    <col min="5" max="6" width="6" bestFit="1" customWidth="1"/>
    <col min="7" max="8" width="4.7109375" bestFit="1" customWidth="1"/>
    <col min="9" max="9" width="5" bestFit="1" customWidth="1"/>
    <col min="10" max="10" width="6" bestFit="1" customWidth="1"/>
    <col min="11" max="11" width="5" bestFit="1" customWidth="1"/>
    <col min="12" max="12" width="3.28515625" bestFit="1" customWidth="1"/>
    <col min="13" max="14" width="7.28515625" bestFit="1" customWidth="1"/>
    <col min="15" max="18" width="4.140625" bestFit="1" customWidth="1"/>
    <col min="19" max="29" width="7.2851562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79" t="s">
        <v>403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203"/>
      <c r="N1" s="45" t="s">
        <v>160</v>
      </c>
      <c r="O1" s="45"/>
      <c r="P1" s="45"/>
      <c r="Q1" s="45"/>
      <c r="R1" s="45"/>
      <c r="S1" s="45"/>
      <c r="T1" s="45"/>
      <c r="U1" s="45"/>
      <c r="V1" s="45" t="s">
        <v>159</v>
      </c>
      <c r="W1" s="45"/>
      <c r="X1" s="45"/>
      <c r="Y1" s="45"/>
      <c r="Z1" s="45"/>
      <c r="AA1" s="45"/>
      <c r="AB1" s="45"/>
      <c r="AC1" s="45"/>
      <c r="AD1" s="43"/>
      <c r="AE1" s="43"/>
      <c r="AF1" s="44"/>
    </row>
    <row r="2" spans="1:32" ht="60" customHeight="1" x14ac:dyDescent="0.25">
      <c r="A2" s="281" t="s">
        <v>147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64" t="s">
        <v>239</v>
      </c>
      <c r="N2" s="60" t="s">
        <v>170</v>
      </c>
      <c r="O2" s="60" t="s">
        <v>151</v>
      </c>
      <c r="P2" s="60" t="s">
        <v>151</v>
      </c>
      <c r="Q2" s="60" t="s">
        <v>151</v>
      </c>
      <c r="R2" s="60" t="s">
        <v>151</v>
      </c>
      <c r="S2" s="60" t="s">
        <v>152</v>
      </c>
      <c r="T2" s="60" t="s">
        <v>152</v>
      </c>
      <c r="U2" s="60" t="s">
        <v>152</v>
      </c>
      <c r="V2" s="28" t="s">
        <v>171</v>
      </c>
      <c r="W2" s="28" t="s">
        <v>153</v>
      </c>
      <c r="X2" s="28" t="s">
        <v>153</v>
      </c>
      <c r="Y2" s="28" t="s">
        <v>153</v>
      </c>
      <c r="Z2" s="28" t="s">
        <v>153</v>
      </c>
      <c r="AA2" s="28" t="s">
        <v>154</v>
      </c>
      <c r="AB2" s="28" t="s">
        <v>154</v>
      </c>
      <c r="AC2" s="28" t="s">
        <v>154</v>
      </c>
      <c r="AD2" s="29" t="s">
        <v>21</v>
      </c>
      <c r="AE2" s="29" t="s">
        <v>156</v>
      </c>
      <c r="AF2" s="30" t="s">
        <v>158</v>
      </c>
    </row>
    <row r="3" spans="1:32" s="103" customFormat="1" ht="170.25" x14ac:dyDescent="0.2">
      <c r="A3" s="31" t="s">
        <v>148</v>
      </c>
      <c r="B3" s="32" t="s">
        <v>149</v>
      </c>
      <c r="C3" s="33" t="s">
        <v>566</v>
      </c>
      <c r="D3" s="33" t="s">
        <v>567</v>
      </c>
      <c r="E3" s="33" t="s">
        <v>285</v>
      </c>
      <c r="F3" s="33" t="s">
        <v>286</v>
      </c>
      <c r="G3" s="33" t="s">
        <v>380</v>
      </c>
      <c r="H3" s="33" t="s">
        <v>381</v>
      </c>
      <c r="I3" s="33" t="s">
        <v>382</v>
      </c>
      <c r="J3" s="33" t="s">
        <v>422</v>
      </c>
      <c r="K3" s="33" t="s">
        <v>274</v>
      </c>
      <c r="L3" s="33" t="s">
        <v>424</v>
      </c>
      <c r="M3" s="33" t="s">
        <v>425</v>
      </c>
      <c r="N3" s="34" t="s">
        <v>403</v>
      </c>
      <c r="O3" s="34" t="s">
        <v>380</v>
      </c>
      <c r="P3" s="34" t="s">
        <v>381</v>
      </c>
      <c r="Q3" s="34" t="s">
        <v>382</v>
      </c>
      <c r="R3" s="34" t="s">
        <v>424</v>
      </c>
      <c r="S3" s="34" t="s">
        <v>272</v>
      </c>
      <c r="T3" s="34" t="s">
        <v>273</v>
      </c>
      <c r="U3" s="34" t="s">
        <v>425</v>
      </c>
      <c r="V3" s="35" t="s">
        <v>403</v>
      </c>
      <c r="W3" s="35" t="s">
        <v>380</v>
      </c>
      <c r="X3" s="35" t="s">
        <v>381</v>
      </c>
      <c r="Y3" s="35" t="s">
        <v>382</v>
      </c>
      <c r="Z3" s="35" t="s">
        <v>424</v>
      </c>
      <c r="AA3" s="35" t="s">
        <v>272</v>
      </c>
      <c r="AB3" s="35" t="s">
        <v>273</v>
      </c>
      <c r="AC3" s="35" t="s">
        <v>425</v>
      </c>
      <c r="AD3" s="105" t="s">
        <v>155</v>
      </c>
      <c r="AE3" s="105" t="s">
        <v>157</v>
      </c>
      <c r="AF3" s="104"/>
    </row>
    <row r="4" spans="1:32" x14ac:dyDescent="0.25">
      <c r="A4" s="36">
        <v>1</v>
      </c>
      <c r="B4" s="46" t="s">
        <v>161</v>
      </c>
      <c r="C4" s="56">
        <v>0</v>
      </c>
      <c r="D4" s="56">
        <v>0</v>
      </c>
      <c r="E4" s="56">
        <v>0</v>
      </c>
      <c r="F4" s="56">
        <v>0</v>
      </c>
      <c r="G4" s="56">
        <v>-360</v>
      </c>
      <c r="H4" s="56">
        <v>-360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37" t="s">
        <v>159</v>
      </c>
      <c r="O4" s="37" t="s">
        <v>159</v>
      </c>
      <c r="P4" s="37" t="s">
        <v>159</v>
      </c>
      <c r="Q4" s="37" t="s">
        <v>159</v>
      </c>
      <c r="R4" s="37" t="s">
        <v>159</v>
      </c>
      <c r="S4" s="37" t="s">
        <v>159</v>
      </c>
      <c r="T4" s="37" t="s">
        <v>159</v>
      </c>
      <c r="U4" s="37" t="s">
        <v>159</v>
      </c>
      <c r="V4" s="46">
        <v>0</v>
      </c>
      <c r="W4" s="46">
        <v>-180</v>
      </c>
      <c r="X4" s="46">
        <v>-180</v>
      </c>
      <c r="Y4" s="46">
        <v>1</v>
      </c>
      <c r="Z4" s="46">
        <v>6</v>
      </c>
      <c r="AA4" s="46">
        <v>1</v>
      </c>
      <c r="AB4" s="46">
        <v>1</v>
      </c>
      <c r="AC4" s="46">
        <v>1</v>
      </c>
      <c r="AD4" s="50" t="s">
        <v>159</v>
      </c>
      <c r="AE4" s="37"/>
      <c r="AF4" s="38"/>
    </row>
    <row r="5" spans="1:32" x14ac:dyDescent="0.25">
      <c r="A5" s="36">
        <v>2</v>
      </c>
      <c r="B5" s="46" t="s">
        <v>162</v>
      </c>
      <c r="C5" s="56">
        <v>1</v>
      </c>
      <c r="D5" s="56">
        <v>1</v>
      </c>
      <c r="E5" s="56">
        <v>360</v>
      </c>
      <c r="F5" s="56">
        <v>360</v>
      </c>
      <c r="G5" s="56">
        <v>360</v>
      </c>
      <c r="H5" s="56">
        <v>360</v>
      </c>
      <c r="I5" s="56">
        <v>4488</v>
      </c>
      <c r="J5" s="56">
        <v>1800</v>
      </c>
      <c r="K5" s="56">
        <v>4488</v>
      </c>
      <c r="L5" s="56">
        <v>6</v>
      </c>
      <c r="M5" s="56">
        <v>511</v>
      </c>
      <c r="N5" s="37" t="s">
        <v>159</v>
      </c>
      <c r="O5" s="37" t="s">
        <v>159</v>
      </c>
      <c r="P5" s="37" t="s">
        <v>159</v>
      </c>
      <c r="Q5" s="37" t="s">
        <v>159</v>
      </c>
      <c r="R5" s="37" t="s">
        <v>159</v>
      </c>
      <c r="S5" s="37" t="s">
        <v>159</v>
      </c>
      <c r="T5" s="37" t="s">
        <v>159</v>
      </c>
      <c r="U5" s="37" t="s">
        <v>159</v>
      </c>
      <c r="V5" s="46">
        <v>34</v>
      </c>
      <c r="W5" s="46">
        <v>360</v>
      </c>
      <c r="X5" s="46">
        <v>360</v>
      </c>
      <c r="Y5" s="46">
        <v>4488</v>
      </c>
      <c r="Z5" s="46">
        <v>6</v>
      </c>
      <c r="AA5" s="46">
        <v>1</v>
      </c>
      <c r="AB5" s="46">
        <v>1</v>
      </c>
      <c r="AC5" s="46">
        <v>1</v>
      </c>
      <c r="AD5" s="50" t="s">
        <v>159</v>
      </c>
      <c r="AE5" s="37"/>
      <c r="AF5" s="38"/>
    </row>
    <row r="6" spans="1:32" x14ac:dyDescent="0.25">
      <c r="A6" s="36">
        <v>3</v>
      </c>
      <c r="B6" s="46" t="s">
        <v>406</v>
      </c>
      <c r="C6" s="56">
        <v>0</v>
      </c>
      <c r="D6" s="46">
        <v>0</v>
      </c>
      <c r="E6" s="46">
        <v>24.4</v>
      </c>
      <c r="F6" s="46">
        <v>64.5</v>
      </c>
      <c r="G6" s="46">
        <v>12</v>
      </c>
      <c r="H6" s="46">
        <v>54</v>
      </c>
      <c r="I6" s="46">
        <v>100</v>
      </c>
      <c r="J6" s="46">
        <v>156.1</v>
      </c>
      <c r="K6" s="46">
        <v>1854</v>
      </c>
      <c r="L6" s="46">
        <v>0</v>
      </c>
      <c r="M6" s="46">
        <v>12</v>
      </c>
      <c r="N6" s="37" t="s">
        <v>159</v>
      </c>
      <c r="O6" s="37" t="s">
        <v>159</v>
      </c>
      <c r="P6" s="37" t="s">
        <v>159</v>
      </c>
      <c r="Q6" s="37" t="s">
        <v>159</v>
      </c>
      <c r="R6" s="37" t="s">
        <v>159</v>
      </c>
      <c r="S6" s="37" t="s">
        <v>159</v>
      </c>
      <c r="T6" s="37" t="s">
        <v>159</v>
      </c>
      <c r="U6" s="37" t="s">
        <v>159</v>
      </c>
      <c r="V6" s="46">
        <v>0</v>
      </c>
      <c r="W6" s="46">
        <v>312.2</v>
      </c>
      <c r="X6" s="46">
        <v>163.41999999999999</v>
      </c>
      <c r="Y6" s="46">
        <v>1</v>
      </c>
      <c r="Z6" s="46">
        <v>6</v>
      </c>
      <c r="AA6" s="46">
        <v>1</v>
      </c>
      <c r="AB6" s="46">
        <v>1</v>
      </c>
      <c r="AC6" s="46">
        <v>1</v>
      </c>
      <c r="AD6" s="50" t="s">
        <v>159</v>
      </c>
      <c r="AE6" s="37"/>
      <c r="AF6" s="38"/>
    </row>
    <row r="7" spans="1:32" x14ac:dyDescent="0.25">
      <c r="A7" s="36">
        <v>4</v>
      </c>
      <c r="B7" s="46" t="s">
        <v>407</v>
      </c>
      <c r="C7" s="56">
        <v>1</v>
      </c>
      <c r="D7" s="46">
        <v>1</v>
      </c>
      <c r="E7" s="46">
        <v>68.599999999999994</v>
      </c>
      <c r="F7" s="46">
        <v>63.7</v>
      </c>
      <c r="G7" s="46">
        <v>24</v>
      </c>
      <c r="H7" s="46">
        <v>65</v>
      </c>
      <c r="I7" s="46">
        <v>200</v>
      </c>
      <c r="J7" s="46">
        <v>199.2</v>
      </c>
      <c r="K7" s="46">
        <v>2456</v>
      </c>
      <c r="L7" s="46">
        <v>1</v>
      </c>
      <c r="M7" s="46">
        <v>44</v>
      </c>
      <c r="N7" s="37" t="s">
        <v>159</v>
      </c>
      <c r="O7" s="37" t="s">
        <v>159</v>
      </c>
      <c r="P7" s="37" t="s">
        <v>159</v>
      </c>
      <c r="Q7" s="37" t="s">
        <v>159</v>
      </c>
      <c r="R7" s="37" t="s">
        <v>159</v>
      </c>
      <c r="S7" s="37" t="s">
        <v>159</v>
      </c>
      <c r="T7" s="37" t="s">
        <v>159</v>
      </c>
      <c r="U7" s="37" t="s">
        <v>159</v>
      </c>
      <c r="V7" s="46">
        <v>34</v>
      </c>
      <c r="W7" s="46">
        <v>24</v>
      </c>
      <c r="X7" s="46">
        <v>65</v>
      </c>
      <c r="Y7" s="46">
        <v>200</v>
      </c>
      <c r="Z7" s="46">
        <v>1</v>
      </c>
      <c r="AA7" s="46">
        <v>1</v>
      </c>
      <c r="AB7" s="46">
        <v>1</v>
      </c>
      <c r="AC7" s="46">
        <v>1</v>
      </c>
      <c r="AD7" s="50" t="s">
        <v>159</v>
      </c>
      <c r="AE7" s="37"/>
      <c r="AF7" s="38"/>
    </row>
    <row r="8" spans="1:32" x14ac:dyDescent="0.25">
      <c r="A8" s="36">
        <v>5</v>
      </c>
      <c r="B8" s="46" t="s">
        <v>408</v>
      </c>
      <c r="C8" s="46">
        <v>0</v>
      </c>
      <c r="D8" s="56">
        <v>0</v>
      </c>
      <c r="E8" s="46">
        <v>89.1</v>
      </c>
      <c r="F8" s="46">
        <v>82.4</v>
      </c>
      <c r="G8" s="46">
        <v>48</v>
      </c>
      <c r="H8" s="46">
        <v>41</v>
      </c>
      <c r="I8" s="46">
        <v>300</v>
      </c>
      <c r="J8" s="46">
        <v>242.1</v>
      </c>
      <c r="K8" s="46">
        <v>3058</v>
      </c>
      <c r="L8" s="46">
        <v>2</v>
      </c>
      <c r="M8" s="46">
        <v>76</v>
      </c>
      <c r="N8" s="37" t="s">
        <v>159</v>
      </c>
      <c r="O8" s="37" t="s">
        <v>159</v>
      </c>
      <c r="P8" s="37" t="s">
        <v>159</v>
      </c>
      <c r="Q8" s="37" t="s">
        <v>159</v>
      </c>
      <c r="R8" s="37" t="s">
        <v>159</v>
      </c>
      <c r="S8" s="37" t="s">
        <v>159</v>
      </c>
      <c r="T8" s="37" t="s">
        <v>159</v>
      </c>
      <c r="U8" s="37" t="s">
        <v>159</v>
      </c>
      <c r="V8" s="46">
        <v>0</v>
      </c>
      <c r="W8" s="46">
        <v>124.2</v>
      </c>
      <c r="X8" s="46">
        <v>352.62</v>
      </c>
      <c r="Y8" s="46">
        <v>1</v>
      </c>
      <c r="Z8" s="46">
        <v>6</v>
      </c>
      <c r="AA8" s="46">
        <v>1</v>
      </c>
      <c r="AB8" s="46">
        <v>1</v>
      </c>
      <c r="AC8" s="46">
        <v>1</v>
      </c>
      <c r="AD8" s="50" t="s">
        <v>159</v>
      </c>
      <c r="AE8" s="37"/>
      <c r="AF8" s="38"/>
    </row>
    <row r="9" spans="1:32" x14ac:dyDescent="0.25">
      <c r="A9" s="36">
        <v>6</v>
      </c>
      <c r="B9" s="46" t="s">
        <v>409</v>
      </c>
      <c r="C9" s="46">
        <v>1</v>
      </c>
      <c r="D9" s="56">
        <v>1</v>
      </c>
      <c r="E9" s="46">
        <v>154</v>
      </c>
      <c r="F9" s="46">
        <v>182.4</v>
      </c>
      <c r="G9" s="46">
        <v>96</v>
      </c>
      <c r="H9" s="46">
        <v>121</v>
      </c>
      <c r="I9" s="46">
        <v>451</v>
      </c>
      <c r="J9" s="46">
        <v>285.39999999999998</v>
      </c>
      <c r="K9" s="46">
        <v>3660</v>
      </c>
      <c r="L9" s="46">
        <v>3</v>
      </c>
      <c r="M9" s="46">
        <v>108</v>
      </c>
      <c r="N9" s="37" t="s">
        <v>159</v>
      </c>
      <c r="O9" s="37" t="s">
        <v>159</v>
      </c>
      <c r="P9" s="37" t="s">
        <v>159</v>
      </c>
      <c r="Q9" s="37" t="s">
        <v>159</v>
      </c>
      <c r="R9" s="37" t="s">
        <v>159</v>
      </c>
      <c r="S9" s="37" t="s">
        <v>159</v>
      </c>
      <c r="T9" s="37" t="s">
        <v>159</v>
      </c>
      <c r="U9" s="37" t="s">
        <v>159</v>
      </c>
      <c r="V9" s="46">
        <v>34</v>
      </c>
      <c r="W9" s="46">
        <v>96</v>
      </c>
      <c r="X9" s="46">
        <v>121</v>
      </c>
      <c r="Y9" s="46">
        <v>451</v>
      </c>
      <c r="Z9" s="46">
        <v>3</v>
      </c>
      <c r="AA9" s="46">
        <v>1</v>
      </c>
      <c r="AB9" s="46">
        <v>1</v>
      </c>
      <c r="AC9" s="46">
        <v>1</v>
      </c>
      <c r="AD9" s="50" t="s">
        <v>159</v>
      </c>
      <c r="AE9" s="37"/>
      <c r="AF9" s="38"/>
    </row>
    <row r="10" spans="1:32" x14ac:dyDescent="0.25">
      <c r="A10" s="36">
        <v>7</v>
      </c>
      <c r="B10" s="46" t="s">
        <v>410</v>
      </c>
      <c r="C10" s="46">
        <v>0</v>
      </c>
      <c r="D10" s="46">
        <v>0</v>
      </c>
      <c r="E10" s="56">
        <v>0</v>
      </c>
      <c r="F10" s="46">
        <v>1.5</v>
      </c>
      <c r="G10" s="46">
        <v>192</v>
      </c>
      <c r="H10" s="46">
        <v>204</v>
      </c>
      <c r="I10" s="46">
        <v>620</v>
      </c>
      <c r="J10" s="46">
        <v>328.2</v>
      </c>
      <c r="K10" s="46">
        <v>4262</v>
      </c>
      <c r="L10" s="46">
        <v>4</v>
      </c>
      <c r="M10" s="46">
        <v>140</v>
      </c>
      <c r="N10" s="37" t="s">
        <v>159</v>
      </c>
      <c r="O10" s="37" t="s">
        <v>159</v>
      </c>
      <c r="P10" s="37" t="s">
        <v>159</v>
      </c>
      <c r="Q10" s="37" t="s">
        <v>159</v>
      </c>
      <c r="R10" s="37" t="s">
        <v>159</v>
      </c>
      <c r="S10" s="37" t="s">
        <v>159</v>
      </c>
      <c r="T10" s="37" t="s">
        <v>159</v>
      </c>
      <c r="U10" s="37" t="s">
        <v>159</v>
      </c>
      <c r="V10" s="46">
        <v>0</v>
      </c>
      <c r="W10" s="46">
        <v>296.39999999999998</v>
      </c>
      <c r="X10" s="46">
        <v>182.04</v>
      </c>
      <c r="Y10" s="46">
        <v>1</v>
      </c>
      <c r="Z10" s="46">
        <v>6</v>
      </c>
      <c r="AA10" s="46">
        <v>1</v>
      </c>
      <c r="AB10" s="46">
        <v>1</v>
      </c>
      <c r="AC10" s="46">
        <v>1</v>
      </c>
      <c r="AD10" s="50" t="s">
        <v>159</v>
      </c>
      <c r="AE10" s="37"/>
      <c r="AF10" s="38"/>
    </row>
    <row r="11" spans="1:32" x14ac:dyDescent="0.25">
      <c r="A11" s="36">
        <v>8</v>
      </c>
      <c r="B11" s="46" t="s">
        <v>411</v>
      </c>
      <c r="C11" s="46">
        <v>1</v>
      </c>
      <c r="D11" s="46">
        <v>0</v>
      </c>
      <c r="E11" s="56">
        <v>360</v>
      </c>
      <c r="F11" s="46">
        <v>244.8</v>
      </c>
      <c r="G11" s="46">
        <v>218</v>
      </c>
      <c r="H11" s="46">
        <v>14</v>
      </c>
      <c r="I11" s="46">
        <v>780</v>
      </c>
      <c r="J11" s="46">
        <v>371.5</v>
      </c>
      <c r="K11" s="46">
        <v>4464</v>
      </c>
      <c r="L11" s="46">
        <v>5</v>
      </c>
      <c r="M11" s="46">
        <v>172</v>
      </c>
      <c r="N11" s="37" t="s">
        <v>159</v>
      </c>
      <c r="O11" s="37" t="s">
        <v>159</v>
      </c>
      <c r="P11" s="37" t="s">
        <v>159</v>
      </c>
      <c r="Q11" s="37" t="s">
        <v>159</v>
      </c>
      <c r="R11" s="37" t="s">
        <v>159</v>
      </c>
      <c r="S11" s="37" t="s">
        <v>159</v>
      </c>
      <c r="T11" s="37" t="s">
        <v>159</v>
      </c>
      <c r="U11" s="37" t="s">
        <v>159</v>
      </c>
      <c r="V11" s="46">
        <v>34</v>
      </c>
      <c r="W11" s="46">
        <v>218</v>
      </c>
      <c r="X11" s="46">
        <v>14</v>
      </c>
      <c r="Y11" s="46">
        <v>780</v>
      </c>
      <c r="Z11" s="46">
        <v>5</v>
      </c>
      <c r="AA11" s="46">
        <v>1</v>
      </c>
      <c r="AB11" s="46">
        <v>1</v>
      </c>
      <c r="AC11" s="46">
        <v>1</v>
      </c>
      <c r="AD11" s="50" t="s">
        <v>159</v>
      </c>
      <c r="AE11" s="37"/>
      <c r="AF11" s="38"/>
    </row>
    <row r="12" spans="1:32" x14ac:dyDescent="0.25">
      <c r="A12" s="36">
        <v>9</v>
      </c>
      <c r="B12" s="46" t="s">
        <v>412</v>
      </c>
      <c r="C12" s="46">
        <v>0</v>
      </c>
      <c r="D12" s="46">
        <v>1</v>
      </c>
      <c r="E12" s="56">
        <v>180.4</v>
      </c>
      <c r="F12" s="46">
        <v>78.8</v>
      </c>
      <c r="G12" s="46">
        <v>8</v>
      </c>
      <c r="H12" s="46">
        <v>117</v>
      </c>
      <c r="I12" s="46">
        <v>54</v>
      </c>
      <c r="J12" s="46">
        <v>414.4</v>
      </c>
      <c r="K12" s="46">
        <v>4466</v>
      </c>
      <c r="L12" s="46">
        <v>6</v>
      </c>
      <c r="M12" s="46">
        <v>204</v>
      </c>
      <c r="N12" s="37" t="s">
        <v>159</v>
      </c>
      <c r="O12" s="37" t="s">
        <v>159</v>
      </c>
      <c r="P12" s="37" t="s">
        <v>159</v>
      </c>
      <c r="Q12" s="37" t="s">
        <v>159</v>
      </c>
      <c r="R12" s="37" t="s">
        <v>159</v>
      </c>
      <c r="S12" s="37" t="s">
        <v>159</v>
      </c>
      <c r="T12" s="37" t="s">
        <v>159</v>
      </c>
      <c r="U12" s="37" t="s">
        <v>159</v>
      </c>
      <c r="V12" s="46">
        <v>34</v>
      </c>
      <c r="W12" s="46">
        <v>8</v>
      </c>
      <c r="X12" s="46">
        <v>117</v>
      </c>
      <c r="Y12" s="46">
        <v>54</v>
      </c>
      <c r="Z12" s="46">
        <v>6</v>
      </c>
      <c r="AA12" s="46">
        <v>1</v>
      </c>
      <c r="AB12" s="46">
        <v>1</v>
      </c>
      <c r="AC12" s="46">
        <v>1</v>
      </c>
      <c r="AD12" s="50" t="s">
        <v>159</v>
      </c>
      <c r="AE12" s="37"/>
      <c r="AF12" s="38"/>
    </row>
    <row r="13" spans="1:32" x14ac:dyDescent="0.25">
      <c r="A13" s="36">
        <v>10</v>
      </c>
      <c r="B13" s="46" t="s">
        <v>413</v>
      </c>
      <c r="C13" s="46">
        <v>1</v>
      </c>
      <c r="D13" s="46">
        <v>0</v>
      </c>
      <c r="E13" s="46">
        <v>296.5</v>
      </c>
      <c r="F13" s="56">
        <v>0</v>
      </c>
      <c r="G13" s="46">
        <v>16</v>
      </c>
      <c r="H13" s="46">
        <v>46</v>
      </c>
      <c r="I13" s="46">
        <v>946</v>
      </c>
      <c r="J13" s="46">
        <v>457.1</v>
      </c>
      <c r="K13" s="46">
        <v>4068</v>
      </c>
      <c r="L13" s="46">
        <v>0</v>
      </c>
      <c r="M13" s="46">
        <v>236</v>
      </c>
      <c r="N13" s="37" t="s">
        <v>159</v>
      </c>
      <c r="O13" s="37" t="s">
        <v>159</v>
      </c>
      <c r="P13" s="37" t="s">
        <v>159</v>
      </c>
      <c r="Q13" s="37" t="s">
        <v>159</v>
      </c>
      <c r="R13" s="37" t="s">
        <v>159</v>
      </c>
      <c r="S13" s="37" t="s">
        <v>159</v>
      </c>
      <c r="T13" s="37" t="s">
        <v>159</v>
      </c>
      <c r="U13" s="37" t="s">
        <v>159</v>
      </c>
      <c r="V13" s="46">
        <v>34</v>
      </c>
      <c r="W13" s="46">
        <v>16</v>
      </c>
      <c r="X13" s="46">
        <v>46</v>
      </c>
      <c r="Y13" s="46">
        <v>946</v>
      </c>
      <c r="Z13" s="46">
        <v>0</v>
      </c>
      <c r="AA13" s="46">
        <v>1</v>
      </c>
      <c r="AB13" s="46">
        <v>1</v>
      </c>
      <c r="AC13" s="46">
        <v>1</v>
      </c>
      <c r="AD13" s="50" t="s">
        <v>159</v>
      </c>
      <c r="AE13" s="37"/>
      <c r="AF13" s="38"/>
    </row>
    <row r="14" spans="1:32" x14ac:dyDescent="0.25">
      <c r="A14" s="36">
        <v>11</v>
      </c>
      <c r="B14" s="46" t="s">
        <v>414</v>
      </c>
      <c r="C14" s="46">
        <v>0</v>
      </c>
      <c r="D14" s="46">
        <v>1</v>
      </c>
      <c r="E14" s="46">
        <v>176.3</v>
      </c>
      <c r="F14" s="56">
        <v>360</v>
      </c>
      <c r="G14" s="46">
        <v>57</v>
      </c>
      <c r="H14" s="46">
        <v>94</v>
      </c>
      <c r="I14" s="46">
        <v>1122</v>
      </c>
      <c r="J14" s="46">
        <v>500.1</v>
      </c>
      <c r="K14" s="46">
        <v>3670</v>
      </c>
      <c r="L14" s="46">
        <v>1</v>
      </c>
      <c r="M14" s="46">
        <v>268</v>
      </c>
      <c r="N14" s="37" t="s">
        <v>159</v>
      </c>
      <c r="O14" s="37" t="s">
        <v>159</v>
      </c>
      <c r="P14" s="37" t="s">
        <v>159</v>
      </c>
      <c r="Q14" s="37" t="s">
        <v>159</v>
      </c>
      <c r="R14" s="37" t="s">
        <v>159</v>
      </c>
      <c r="S14" s="37" t="s">
        <v>159</v>
      </c>
      <c r="T14" s="37" t="s">
        <v>159</v>
      </c>
      <c r="U14" s="37" t="s">
        <v>159</v>
      </c>
      <c r="V14" s="46">
        <v>34</v>
      </c>
      <c r="W14" s="46">
        <v>57</v>
      </c>
      <c r="X14" s="46">
        <v>94</v>
      </c>
      <c r="Y14" s="46">
        <v>1122</v>
      </c>
      <c r="Z14" s="46">
        <v>1</v>
      </c>
      <c r="AA14" s="46">
        <v>1</v>
      </c>
      <c r="AB14" s="46">
        <v>1</v>
      </c>
      <c r="AC14" s="46">
        <v>1</v>
      </c>
      <c r="AD14" s="50" t="s">
        <v>159</v>
      </c>
      <c r="AE14" s="37"/>
      <c r="AF14" s="38"/>
    </row>
    <row r="15" spans="1:32" x14ac:dyDescent="0.25">
      <c r="A15" s="36">
        <v>12</v>
      </c>
      <c r="B15" s="46" t="s">
        <v>415</v>
      </c>
      <c r="C15" s="46">
        <v>1</v>
      </c>
      <c r="D15" s="46">
        <v>0</v>
      </c>
      <c r="E15" s="46">
        <v>184.4</v>
      </c>
      <c r="F15" s="56">
        <v>180.4</v>
      </c>
      <c r="G15" s="46">
        <v>39</v>
      </c>
      <c r="H15" s="46">
        <v>23</v>
      </c>
      <c r="I15" s="46">
        <v>846</v>
      </c>
      <c r="J15" s="46">
        <v>543.5</v>
      </c>
      <c r="K15" s="46">
        <v>4272</v>
      </c>
      <c r="L15" s="46">
        <v>2</v>
      </c>
      <c r="M15" s="46">
        <v>300</v>
      </c>
      <c r="N15" s="37" t="s">
        <v>159</v>
      </c>
      <c r="O15" s="37" t="s">
        <v>159</v>
      </c>
      <c r="P15" s="37" t="s">
        <v>159</v>
      </c>
      <c r="Q15" s="37" t="s">
        <v>159</v>
      </c>
      <c r="R15" s="37" t="s">
        <v>159</v>
      </c>
      <c r="S15" s="37" t="s">
        <v>159</v>
      </c>
      <c r="T15" s="37" t="s">
        <v>159</v>
      </c>
      <c r="U15" s="37" t="s">
        <v>159</v>
      </c>
      <c r="V15" s="46">
        <v>34</v>
      </c>
      <c r="W15" s="46">
        <v>39</v>
      </c>
      <c r="X15" s="46">
        <v>23</v>
      </c>
      <c r="Y15" s="46">
        <v>846</v>
      </c>
      <c r="Z15" s="46">
        <v>2</v>
      </c>
      <c r="AA15" s="46">
        <v>1</v>
      </c>
      <c r="AB15" s="46">
        <v>1</v>
      </c>
      <c r="AC15" s="46">
        <v>1</v>
      </c>
      <c r="AD15" s="50" t="s">
        <v>159</v>
      </c>
      <c r="AE15" s="37"/>
      <c r="AF15" s="38"/>
    </row>
    <row r="16" spans="1:32" x14ac:dyDescent="0.25">
      <c r="A16" s="36">
        <v>13</v>
      </c>
      <c r="B16" s="46" t="s">
        <v>426</v>
      </c>
      <c r="C16" s="46">
        <v>0</v>
      </c>
      <c r="D16" s="46">
        <v>1</v>
      </c>
      <c r="E16" s="46">
        <v>192.5</v>
      </c>
      <c r="F16" s="46">
        <v>101.1</v>
      </c>
      <c r="G16" s="46">
        <v>48</v>
      </c>
      <c r="H16" s="46">
        <v>46</v>
      </c>
      <c r="I16" s="46">
        <v>300</v>
      </c>
      <c r="J16" s="56">
        <v>0</v>
      </c>
      <c r="K16" s="46">
        <v>3874</v>
      </c>
      <c r="L16" s="46">
        <v>3</v>
      </c>
      <c r="M16" s="46">
        <v>332</v>
      </c>
      <c r="N16" s="37" t="s">
        <v>159</v>
      </c>
      <c r="O16" s="37" t="s">
        <v>159</v>
      </c>
      <c r="P16" s="37" t="s">
        <v>159</v>
      </c>
      <c r="Q16" s="37" t="s">
        <v>159</v>
      </c>
      <c r="R16" s="37" t="s">
        <v>159</v>
      </c>
      <c r="S16" s="37" t="s">
        <v>159</v>
      </c>
      <c r="T16" s="37" t="s">
        <v>159</v>
      </c>
      <c r="U16" s="37" t="s">
        <v>159</v>
      </c>
      <c r="V16" s="46">
        <v>34</v>
      </c>
      <c r="W16" s="46">
        <v>48</v>
      </c>
      <c r="X16" s="46">
        <v>46</v>
      </c>
      <c r="Y16" s="46">
        <v>300</v>
      </c>
      <c r="Z16" s="46">
        <v>3</v>
      </c>
      <c r="AA16" s="46">
        <v>1</v>
      </c>
      <c r="AB16" s="46">
        <v>1</v>
      </c>
      <c r="AC16" s="46">
        <v>1</v>
      </c>
      <c r="AD16" s="50" t="s">
        <v>159</v>
      </c>
      <c r="AE16" s="37"/>
      <c r="AF16" s="38"/>
    </row>
    <row r="17" spans="1:32" x14ac:dyDescent="0.25">
      <c r="A17" s="36">
        <v>14</v>
      </c>
      <c r="B17" s="46" t="s">
        <v>427</v>
      </c>
      <c r="C17" s="46">
        <v>1</v>
      </c>
      <c r="D17" s="46">
        <v>0</v>
      </c>
      <c r="E17" s="46">
        <v>200.6</v>
      </c>
      <c r="F17" s="46">
        <v>119.8</v>
      </c>
      <c r="G17" s="46">
        <v>96</v>
      </c>
      <c r="H17" s="46">
        <v>94</v>
      </c>
      <c r="I17" s="46">
        <v>451</v>
      </c>
      <c r="J17" s="56">
        <v>1800</v>
      </c>
      <c r="K17" s="46">
        <v>4476</v>
      </c>
      <c r="L17" s="46">
        <v>4</v>
      </c>
      <c r="M17" s="46">
        <v>364</v>
      </c>
      <c r="N17" s="37" t="s">
        <v>159</v>
      </c>
      <c r="O17" s="37" t="s">
        <v>159</v>
      </c>
      <c r="P17" s="37" t="s">
        <v>159</v>
      </c>
      <c r="Q17" s="37" t="s">
        <v>159</v>
      </c>
      <c r="R17" s="37" t="s">
        <v>159</v>
      </c>
      <c r="S17" s="37" t="s">
        <v>159</v>
      </c>
      <c r="T17" s="37" t="s">
        <v>159</v>
      </c>
      <c r="U17" s="37" t="s">
        <v>159</v>
      </c>
      <c r="V17" s="46">
        <v>34</v>
      </c>
      <c r="W17" s="46">
        <v>96</v>
      </c>
      <c r="X17" s="46">
        <v>94</v>
      </c>
      <c r="Y17" s="46">
        <v>451</v>
      </c>
      <c r="Z17" s="46">
        <v>4</v>
      </c>
      <c r="AA17" s="46">
        <v>1</v>
      </c>
      <c r="AB17" s="46">
        <v>1</v>
      </c>
      <c r="AC17" s="46">
        <v>1</v>
      </c>
      <c r="AD17" s="50" t="s">
        <v>159</v>
      </c>
      <c r="AE17" s="37"/>
      <c r="AF17" s="38"/>
    </row>
    <row r="18" spans="1:32" x14ac:dyDescent="0.25">
      <c r="A18" s="36">
        <v>15</v>
      </c>
      <c r="B18" s="46" t="s">
        <v>428</v>
      </c>
      <c r="C18" s="46">
        <v>0</v>
      </c>
      <c r="D18" s="46">
        <v>1</v>
      </c>
      <c r="E18" s="46">
        <v>208.7</v>
      </c>
      <c r="F18" s="46">
        <v>138.5</v>
      </c>
      <c r="G18" s="46">
        <v>144</v>
      </c>
      <c r="H18" s="46">
        <v>142</v>
      </c>
      <c r="I18" s="46">
        <v>602</v>
      </c>
      <c r="J18" s="56">
        <v>900.6</v>
      </c>
      <c r="K18" s="46">
        <v>4078</v>
      </c>
      <c r="L18" s="46">
        <v>5</v>
      </c>
      <c r="M18" s="46">
        <v>396</v>
      </c>
      <c r="N18" s="37" t="s">
        <v>159</v>
      </c>
      <c r="O18" s="37" t="s">
        <v>159</v>
      </c>
      <c r="P18" s="37" t="s">
        <v>159</v>
      </c>
      <c r="Q18" s="37" t="s">
        <v>159</v>
      </c>
      <c r="R18" s="37" t="s">
        <v>159</v>
      </c>
      <c r="S18" s="37" t="s">
        <v>159</v>
      </c>
      <c r="T18" s="37" t="s">
        <v>159</v>
      </c>
      <c r="U18" s="37" t="s">
        <v>159</v>
      </c>
      <c r="V18" s="46">
        <v>34</v>
      </c>
      <c r="W18" s="46">
        <v>144</v>
      </c>
      <c r="X18" s="46">
        <v>142</v>
      </c>
      <c r="Y18" s="46">
        <v>602</v>
      </c>
      <c r="Z18" s="46">
        <v>5</v>
      </c>
      <c r="AA18" s="46">
        <v>1</v>
      </c>
      <c r="AB18" s="46">
        <v>1</v>
      </c>
      <c r="AC18" s="46">
        <v>1</v>
      </c>
      <c r="AD18" s="50" t="s">
        <v>159</v>
      </c>
      <c r="AE18" s="37"/>
      <c r="AF18" s="38"/>
    </row>
    <row r="19" spans="1:32" x14ac:dyDescent="0.25">
      <c r="A19" s="36">
        <v>16</v>
      </c>
      <c r="B19" s="46" t="s">
        <v>429</v>
      </c>
      <c r="C19" s="46">
        <v>1</v>
      </c>
      <c r="D19" s="46">
        <v>0</v>
      </c>
      <c r="E19" s="46">
        <v>216.8</v>
      </c>
      <c r="F19" s="46">
        <v>157.19999999999999</v>
      </c>
      <c r="G19" s="46">
        <v>192</v>
      </c>
      <c r="H19" s="46">
        <v>190</v>
      </c>
      <c r="I19" s="46">
        <v>753</v>
      </c>
      <c r="J19" s="46">
        <v>586.70000000000005</v>
      </c>
      <c r="K19" s="56">
        <v>0</v>
      </c>
      <c r="L19" s="46">
        <v>6</v>
      </c>
      <c r="M19" s="46">
        <v>428</v>
      </c>
      <c r="N19" s="37" t="s">
        <v>159</v>
      </c>
      <c r="O19" s="37" t="s">
        <v>159</v>
      </c>
      <c r="P19" s="37" t="s">
        <v>159</v>
      </c>
      <c r="Q19" s="37" t="s">
        <v>159</v>
      </c>
      <c r="R19" s="37" t="s">
        <v>159</v>
      </c>
      <c r="S19" s="37" t="s">
        <v>159</v>
      </c>
      <c r="T19" s="37" t="s">
        <v>159</v>
      </c>
      <c r="U19" s="37" t="s">
        <v>159</v>
      </c>
      <c r="V19" s="46">
        <v>34</v>
      </c>
      <c r="W19" s="46">
        <v>192</v>
      </c>
      <c r="X19" s="46">
        <v>190</v>
      </c>
      <c r="Y19" s="46">
        <v>753</v>
      </c>
      <c r="Z19" s="46">
        <v>6</v>
      </c>
      <c r="AA19" s="46">
        <v>1</v>
      </c>
      <c r="AB19" s="46">
        <v>1</v>
      </c>
      <c r="AC19" s="46">
        <v>1</v>
      </c>
      <c r="AD19" s="50" t="s">
        <v>159</v>
      </c>
      <c r="AE19" s="37"/>
      <c r="AF19" s="38"/>
    </row>
    <row r="20" spans="1:32" x14ac:dyDescent="0.25">
      <c r="A20" s="36">
        <v>17</v>
      </c>
      <c r="B20" s="46" t="s">
        <v>430</v>
      </c>
      <c r="C20" s="46">
        <v>0</v>
      </c>
      <c r="D20" s="46">
        <v>1</v>
      </c>
      <c r="E20" s="46">
        <v>224.9</v>
      </c>
      <c r="F20" s="46">
        <v>175.9</v>
      </c>
      <c r="G20" s="46">
        <v>240</v>
      </c>
      <c r="H20" s="46">
        <v>238</v>
      </c>
      <c r="I20" s="46">
        <v>904</v>
      </c>
      <c r="J20" s="46">
        <v>629.79999999999995</v>
      </c>
      <c r="K20" s="56">
        <v>4488</v>
      </c>
      <c r="L20" s="46">
        <v>0</v>
      </c>
      <c r="M20" s="46">
        <v>460</v>
      </c>
      <c r="N20" s="37" t="s">
        <v>159</v>
      </c>
      <c r="O20" s="37" t="s">
        <v>159</v>
      </c>
      <c r="P20" s="37" t="s">
        <v>159</v>
      </c>
      <c r="Q20" s="37" t="s">
        <v>159</v>
      </c>
      <c r="R20" s="37" t="s">
        <v>159</v>
      </c>
      <c r="S20" s="37" t="s">
        <v>159</v>
      </c>
      <c r="T20" s="37" t="s">
        <v>159</v>
      </c>
      <c r="U20" s="37" t="s">
        <v>159</v>
      </c>
      <c r="V20" s="46">
        <v>34</v>
      </c>
      <c r="W20" s="46">
        <v>240</v>
      </c>
      <c r="X20" s="46">
        <v>238</v>
      </c>
      <c r="Y20" s="46">
        <v>904</v>
      </c>
      <c r="Z20" s="46">
        <v>0</v>
      </c>
      <c r="AA20" s="46">
        <v>1</v>
      </c>
      <c r="AB20" s="46">
        <v>1</v>
      </c>
      <c r="AC20" s="46">
        <v>1</v>
      </c>
      <c r="AD20" s="50" t="s">
        <v>159</v>
      </c>
      <c r="AE20" s="37"/>
      <c r="AF20" s="38"/>
    </row>
    <row r="21" spans="1:32" x14ac:dyDescent="0.25">
      <c r="A21" s="36">
        <v>18</v>
      </c>
      <c r="B21" s="46" t="s">
        <v>431</v>
      </c>
      <c r="C21" s="46">
        <v>1</v>
      </c>
      <c r="D21" s="46">
        <v>0</v>
      </c>
      <c r="E21" s="46">
        <v>233</v>
      </c>
      <c r="F21" s="46">
        <v>194.6</v>
      </c>
      <c r="G21" s="46">
        <v>288</v>
      </c>
      <c r="H21" s="46">
        <v>286</v>
      </c>
      <c r="I21" s="46">
        <v>1055</v>
      </c>
      <c r="J21" s="46">
        <v>672.5</v>
      </c>
      <c r="K21" s="56">
        <v>2244</v>
      </c>
      <c r="L21" s="46">
        <v>1</v>
      </c>
      <c r="M21" s="46">
        <v>492</v>
      </c>
      <c r="N21" s="37" t="s">
        <v>159</v>
      </c>
      <c r="O21" s="37" t="s">
        <v>159</v>
      </c>
      <c r="P21" s="37" t="s">
        <v>159</v>
      </c>
      <c r="Q21" s="37" t="s">
        <v>159</v>
      </c>
      <c r="R21" s="37" t="s">
        <v>159</v>
      </c>
      <c r="S21" s="37" t="s">
        <v>159</v>
      </c>
      <c r="T21" s="37" t="s">
        <v>159</v>
      </c>
      <c r="U21" s="37" t="s">
        <v>159</v>
      </c>
      <c r="V21" s="46">
        <v>34</v>
      </c>
      <c r="W21" s="46">
        <v>288</v>
      </c>
      <c r="X21" s="46">
        <v>286</v>
      </c>
      <c r="Y21" s="46">
        <v>1055</v>
      </c>
      <c r="Z21" s="46">
        <v>1</v>
      </c>
      <c r="AA21" s="46">
        <v>1</v>
      </c>
      <c r="AB21" s="46">
        <v>1</v>
      </c>
      <c r="AC21" s="46">
        <v>1</v>
      </c>
      <c r="AD21" s="50" t="s">
        <v>159</v>
      </c>
      <c r="AE21" s="37"/>
      <c r="AF21" s="38"/>
    </row>
    <row r="22" spans="1:32" x14ac:dyDescent="0.25">
      <c r="A22" s="36">
        <v>19</v>
      </c>
      <c r="B22" s="46" t="s">
        <v>432</v>
      </c>
      <c r="C22" s="46">
        <v>0</v>
      </c>
      <c r="D22" s="46">
        <v>1</v>
      </c>
      <c r="E22" s="46">
        <v>241.1</v>
      </c>
      <c r="F22" s="46">
        <v>213.3</v>
      </c>
      <c r="G22" s="46">
        <v>336</v>
      </c>
      <c r="H22" s="46">
        <v>334</v>
      </c>
      <c r="I22" s="46">
        <v>1206</v>
      </c>
      <c r="J22" s="46">
        <v>715.5</v>
      </c>
      <c r="K22" s="46">
        <v>3680</v>
      </c>
      <c r="L22" s="46">
        <v>2</v>
      </c>
      <c r="M22" s="56">
        <v>0</v>
      </c>
      <c r="N22" s="37" t="s">
        <v>159</v>
      </c>
      <c r="O22" s="37" t="s">
        <v>159</v>
      </c>
      <c r="P22" s="37" t="s">
        <v>159</v>
      </c>
      <c r="Q22" s="37" t="s">
        <v>159</v>
      </c>
      <c r="R22" s="37" t="s">
        <v>159</v>
      </c>
      <c r="S22" s="37" t="s">
        <v>159</v>
      </c>
      <c r="T22" s="37" t="s">
        <v>159</v>
      </c>
      <c r="U22" s="37" t="s">
        <v>159</v>
      </c>
      <c r="V22" s="46">
        <v>34</v>
      </c>
      <c r="W22" s="46">
        <v>336</v>
      </c>
      <c r="X22" s="46">
        <v>334</v>
      </c>
      <c r="Y22" s="46">
        <v>1206</v>
      </c>
      <c r="Z22" s="46">
        <v>2</v>
      </c>
      <c r="AA22" s="46">
        <v>1</v>
      </c>
      <c r="AB22" s="46">
        <v>1</v>
      </c>
      <c r="AC22" s="46">
        <v>1</v>
      </c>
      <c r="AD22" s="50" t="s">
        <v>159</v>
      </c>
      <c r="AE22" s="37"/>
      <c r="AF22" s="38"/>
    </row>
    <row r="23" spans="1:32" x14ac:dyDescent="0.25">
      <c r="A23" s="36">
        <v>20</v>
      </c>
      <c r="B23" s="46" t="s">
        <v>433</v>
      </c>
      <c r="C23" s="46">
        <v>1</v>
      </c>
      <c r="D23" s="46">
        <v>0</v>
      </c>
      <c r="E23" s="46">
        <v>249.2</v>
      </c>
      <c r="F23" s="46">
        <v>232</v>
      </c>
      <c r="G23" s="46">
        <v>192</v>
      </c>
      <c r="H23" s="46">
        <v>121</v>
      </c>
      <c r="I23" s="46">
        <v>1357</v>
      </c>
      <c r="J23" s="46">
        <v>758.6</v>
      </c>
      <c r="K23" s="46">
        <v>1028</v>
      </c>
      <c r="L23" s="46">
        <v>3</v>
      </c>
      <c r="M23" s="56">
        <v>511</v>
      </c>
      <c r="N23" s="37" t="s">
        <v>159</v>
      </c>
      <c r="O23" s="37" t="s">
        <v>159</v>
      </c>
      <c r="P23" s="37" t="s">
        <v>159</v>
      </c>
      <c r="Q23" s="37" t="s">
        <v>159</v>
      </c>
      <c r="R23" s="37" t="s">
        <v>159</v>
      </c>
      <c r="S23" s="37" t="s">
        <v>159</v>
      </c>
      <c r="T23" s="37" t="s">
        <v>159</v>
      </c>
      <c r="U23" s="37" t="s">
        <v>159</v>
      </c>
      <c r="V23" s="46">
        <v>34</v>
      </c>
      <c r="W23" s="46">
        <v>192</v>
      </c>
      <c r="X23" s="46">
        <v>121</v>
      </c>
      <c r="Y23" s="46">
        <v>1357</v>
      </c>
      <c r="Z23" s="46">
        <v>3</v>
      </c>
      <c r="AA23" s="46">
        <v>1</v>
      </c>
      <c r="AB23" s="46">
        <v>1</v>
      </c>
      <c r="AC23" s="46">
        <v>1</v>
      </c>
      <c r="AD23" s="50" t="s">
        <v>159</v>
      </c>
      <c r="AE23" s="37"/>
      <c r="AF23" s="38"/>
    </row>
    <row r="24" spans="1:32" ht="15.75" thickBot="1" x14ac:dyDescent="0.3">
      <c r="A24" s="39">
        <v>21</v>
      </c>
      <c r="B24" s="47" t="s">
        <v>434</v>
      </c>
      <c r="C24" s="47">
        <v>0</v>
      </c>
      <c r="D24" s="47">
        <v>1</v>
      </c>
      <c r="E24" s="47">
        <v>257.3</v>
      </c>
      <c r="F24" s="47">
        <v>250.7</v>
      </c>
      <c r="G24" s="47">
        <v>218</v>
      </c>
      <c r="H24" s="47">
        <v>204</v>
      </c>
      <c r="I24" s="47">
        <v>1508</v>
      </c>
      <c r="J24" s="47">
        <v>801.1</v>
      </c>
      <c r="K24" s="47">
        <v>1088</v>
      </c>
      <c r="L24" s="47">
        <v>4</v>
      </c>
      <c r="M24" s="57">
        <v>365</v>
      </c>
      <c r="N24" s="40" t="s">
        <v>159</v>
      </c>
      <c r="O24" s="40" t="s">
        <v>159</v>
      </c>
      <c r="P24" s="40" t="s">
        <v>159</v>
      </c>
      <c r="Q24" s="40" t="s">
        <v>159</v>
      </c>
      <c r="R24" s="40" t="s">
        <v>159</v>
      </c>
      <c r="S24" s="40" t="s">
        <v>159</v>
      </c>
      <c r="T24" s="40" t="s">
        <v>159</v>
      </c>
      <c r="U24" s="40" t="s">
        <v>159</v>
      </c>
      <c r="V24" s="47">
        <v>34</v>
      </c>
      <c r="W24" s="47">
        <v>218</v>
      </c>
      <c r="X24" s="47">
        <v>204</v>
      </c>
      <c r="Y24" s="47">
        <v>1508</v>
      </c>
      <c r="Z24" s="47">
        <v>4</v>
      </c>
      <c r="AA24" s="47">
        <v>1</v>
      </c>
      <c r="AB24" s="47">
        <v>1</v>
      </c>
      <c r="AC24" s="47">
        <v>1</v>
      </c>
      <c r="AD24" s="51" t="s">
        <v>159</v>
      </c>
      <c r="AE24" s="40"/>
      <c r="AF24" s="41"/>
    </row>
    <row r="25" spans="1:3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</row>
    <row r="26" spans="1:3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</row>
    <row r="27" spans="1:3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</row>
    <row r="28" spans="1:3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</row>
    <row r="29" spans="1:3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</row>
    <row r="30" spans="1:3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</row>
    <row r="31" spans="1:3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</row>
  </sheetData>
  <sheetProtection sheet="1" objects="1" scenarios="1"/>
  <mergeCells count="2">
    <mergeCell ref="A1:B1"/>
    <mergeCell ref="A2:B2"/>
  </mergeCells>
  <hyperlinks>
    <hyperlink ref="A1" location="'DigColPs_SCom_NxtSetTrim'!A1" display="'DigColPs_SCom_NxtSetTrim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95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2" t="s">
        <v>402</v>
      </c>
      <c r="B17" s="15" t="s">
        <v>718</v>
      </c>
      <c r="C17" s="16">
        <v>1</v>
      </c>
      <c r="D17" s="17"/>
      <c r="E17" s="18" t="s">
        <v>380</v>
      </c>
      <c r="F17" s="19"/>
    </row>
    <row r="18" spans="1:6" x14ac:dyDescent="0.25">
      <c r="A18" s="15"/>
      <c r="B18" s="15"/>
      <c r="C18" s="16"/>
      <c r="D18" s="17"/>
      <c r="E18" s="18" t="s">
        <v>381</v>
      </c>
      <c r="F18" s="19"/>
    </row>
    <row r="19" spans="1:6" x14ac:dyDescent="0.25">
      <c r="A19" s="15"/>
      <c r="B19" s="15"/>
      <c r="C19" s="16"/>
      <c r="D19" s="17"/>
      <c r="E19" s="18" t="s">
        <v>382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ColPs_SCom_NxtClrTrim() R'!A1" display="'DigColPs_SCom_NxtClrTrim() R'!A1"/>
  </hyperlink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K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.85546875" bestFit="1" customWidth="1"/>
    <col min="3" max="5" width="3.28515625" bestFit="1" customWidth="1"/>
    <col min="6" max="8" width="7.2851562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79" t="s">
        <v>402</v>
      </c>
      <c r="B1" s="280"/>
      <c r="C1" s="45" t="s">
        <v>160</v>
      </c>
      <c r="D1" s="58" t="s">
        <v>159</v>
      </c>
      <c r="E1" s="96"/>
      <c r="F1" s="96"/>
      <c r="G1" s="96"/>
      <c r="H1" s="96"/>
      <c r="I1" s="45" t="s">
        <v>159</v>
      </c>
      <c r="J1" s="43"/>
      <c r="K1" s="44"/>
    </row>
    <row r="2" spans="1:11" ht="60" customHeight="1" x14ac:dyDescent="0.25">
      <c r="A2" s="281" t="s">
        <v>147</v>
      </c>
      <c r="B2" s="282"/>
      <c r="C2" s="49" t="s">
        <v>151</v>
      </c>
      <c r="D2" s="26" t="s">
        <v>151</v>
      </c>
      <c r="E2" s="26" t="s">
        <v>151</v>
      </c>
      <c r="F2" s="28" t="s">
        <v>153</v>
      </c>
      <c r="G2" s="28" t="s">
        <v>153</v>
      </c>
      <c r="H2" s="28" t="s">
        <v>153</v>
      </c>
      <c r="I2" s="29" t="s">
        <v>21</v>
      </c>
      <c r="J2" s="29" t="s">
        <v>156</v>
      </c>
      <c r="K2" s="30" t="s">
        <v>158</v>
      </c>
    </row>
    <row r="3" spans="1:11" ht="143.25" x14ac:dyDescent="0.25">
      <c r="A3" s="31" t="s">
        <v>148</v>
      </c>
      <c r="B3" s="32" t="s">
        <v>149</v>
      </c>
      <c r="C3" s="34" t="s">
        <v>380</v>
      </c>
      <c r="D3" s="34" t="s">
        <v>381</v>
      </c>
      <c r="E3" s="34" t="s">
        <v>382</v>
      </c>
      <c r="F3" s="35" t="s">
        <v>380</v>
      </c>
      <c r="G3" s="35" t="s">
        <v>381</v>
      </c>
      <c r="H3" s="35" t="s">
        <v>382</v>
      </c>
      <c r="I3" s="29" t="s">
        <v>155</v>
      </c>
      <c r="J3" s="29" t="s">
        <v>157</v>
      </c>
      <c r="K3" s="30"/>
    </row>
    <row r="4" spans="1:11" ht="15.75" thickBot="1" x14ac:dyDescent="0.3">
      <c r="A4" s="39">
        <v>1</v>
      </c>
      <c r="B4" s="47" t="s">
        <v>416</v>
      </c>
      <c r="C4" s="47" t="s">
        <v>159</v>
      </c>
      <c r="D4" s="47" t="s">
        <v>159</v>
      </c>
      <c r="E4" s="47" t="s">
        <v>159</v>
      </c>
      <c r="F4" s="47">
        <v>0</v>
      </c>
      <c r="G4" s="47">
        <v>0</v>
      </c>
      <c r="H4" s="47">
        <v>4488</v>
      </c>
      <c r="I4" s="51" t="s">
        <v>159</v>
      </c>
      <c r="J4" s="40"/>
      <c r="K4" s="41"/>
    </row>
    <row r="5" spans="1:1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</sheetData>
  <sheetProtection sheet="1" objects="1" scenarios="1"/>
  <mergeCells count="2">
    <mergeCell ref="A1:B1"/>
    <mergeCell ref="A2:B2"/>
  </mergeCells>
  <hyperlinks>
    <hyperlink ref="A1" location="'DigColPs_SCom_NxtClrTrim'!A1" display="'DigColPs_SCom_NxtClrTrim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192" t="s">
        <v>43</v>
      </c>
    </row>
    <row r="16" spans="1:6" x14ac:dyDescent="0.25">
      <c r="A16" s="197" t="s">
        <v>44</v>
      </c>
      <c r="B16" s="198" t="s">
        <v>45</v>
      </c>
      <c r="C16" s="199" t="s">
        <v>46</v>
      </c>
      <c r="D16" s="201" t="s">
        <v>47</v>
      </c>
      <c r="E16" s="200" t="s">
        <v>48</v>
      </c>
      <c r="F16" s="14" t="s">
        <v>44</v>
      </c>
    </row>
    <row r="17" spans="1:6" x14ac:dyDescent="0.25">
      <c r="A17" s="52" t="s">
        <v>617</v>
      </c>
      <c r="B17" s="15" t="s">
        <v>99</v>
      </c>
      <c r="C17" s="16">
        <v>2</v>
      </c>
      <c r="D17" s="17" t="s">
        <v>274</v>
      </c>
      <c r="E17" s="18" t="s">
        <v>123</v>
      </c>
      <c r="F17" s="19" t="s">
        <v>55</v>
      </c>
    </row>
    <row r="18" spans="1:6" x14ac:dyDescent="0.25">
      <c r="A18" s="52" t="s">
        <v>617</v>
      </c>
      <c r="B18" s="15" t="s">
        <v>718</v>
      </c>
      <c r="C18" s="16">
        <v>3</v>
      </c>
      <c r="D18" s="17"/>
      <c r="E18" s="18" t="s">
        <v>124</v>
      </c>
      <c r="F18" s="19"/>
    </row>
    <row r="19" spans="1:6" x14ac:dyDescent="0.25">
      <c r="A19" s="52" t="s">
        <v>617</v>
      </c>
      <c r="B19" s="15" t="s">
        <v>193</v>
      </c>
      <c r="C19" s="16">
        <v>2</v>
      </c>
      <c r="D19" s="17"/>
      <c r="E19" s="18" t="s">
        <v>125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18"/>
      <c r="F1017" s="19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_Per3() M'!A1" display="'DigColPs_Per3() M'!A1"/>
    <hyperlink ref="A18" location="'DigColPs_Per3() R'!A1" display="'DigColPs_Per3() R'!A1"/>
    <hyperlink ref="A19" location="'DigColPs_Per3() P'!A1" display="'DigColPs_Per3() P'!A1"/>
  </hyperlink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N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2.7109375" customWidth="1"/>
    <col min="3" max="3" width="5" bestFit="1" customWidth="1"/>
    <col min="4" max="6" width="3.28515625" bestFit="1" customWidth="1"/>
    <col min="7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79" t="s">
        <v>617</v>
      </c>
      <c r="B1" s="280"/>
      <c r="C1" s="45" t="s">
        <v>160</v>
      </c>
      <c r="D1" s="58" t="s">
        <v>159</v>
      </c>
      <c r="E1" s="193"/>
      <c r="F1" s="193"/>
      <c r="G1" s="193"/>
      <c r="H1" s="193"/>
      <c r="I1" s="193"/>
      <c r="J1" s="193"/>
      <c r="K1" s="193"/>
      <c r="L1" s="43"/>
      <c r="M1" s="43"/>
      <c r="N1" s="44"/>
    </row>
    <row r="2" spans="1:14" ht="60" customHeight="1" x14ac:dyDescent="0.25">
      <c r="A2" s="281" t="s">
        <v>99</v>
      </c>
      <c r="B2" s="282"/>
      <c r="C2" s="48" t="s">
        <v>150</v>
      </c>
      <c r="D2" s="49" t="s">
        <v>151</v>
      </c>
      <c r="E2" s="26" t="s">
        <v>151</v>
      </c>
      <c r="F2" s="26" t="s">
        <v>151</v>
      </c>
      <c r="G2" s="27" t="s">
        <v>152</v>
      </c>
      <c r="H2" s="28" t="s">
        <v>153</v>
      </c>
      <c r="I2" s="28" t="s">
        <v>153</v>
      </c>
      <c r="J2" s="28" t="s">
        <v>153</v>
      </c>
      <c r="K2" s="28" t="s">
        <v>154</v>
      </c>
      <c r="L2" s="29" t="s">
        <v>21</v>
      </c>
      <c r="M2" s="29" t="s">
        <v>156</v>
      </c>
      <c r="N2" s="30" t="s">
        <v>158</v>
      </c>
    </row>
    <row r="3" spans="1:14" ht="159.75" x14ac:dyDescent="0.25">
      <c r="A3" s="31" t="s">
        <v>148</v>
      </c>
      <c r="B3" s="32" t="s">
        <v>149</v>
      </c>
      <c r="C3" s="33" t="s">
        <v>274</v>
      </c>
      <c r="D3" s="34" t="s">
        <v>123</v>
      </c>
      <c r="E3" s="34" t="s">
        <v>124</v>
      </c>
      <c r="F3" s="34" t="s">
        <v>125</v>
      </c>
      <c r="G3" s="34" t="s">
        <v>55</v>
      </c>
      <c r="H3" s="35" t="s">
        <v>123</v>
      </c>
      <c r="I3" s="35" t="s">
        <v>124</v>
      </c>
      <c r="J3" s="35" t="s">
        <v>125</v>
      </c>
      <c r="K3" s="35" t="s">
        <v>55</v>
      </c>
      <c r="L3" s="29" t="s">
        <v>155</v>
      </c>
      <c r="M3" s="29" t="s">
        <v>157</v>
      </c>
      <c r="N3" s="30"/>
    </row>
    <row r="4" spans="1:14" x14ac:dyDescent="0.25">
      <c r="A4" s="36">
        <v>1</v>
      </c>
      <c r="B4" s="46" t="s">
        <v>626</v>
      </c>
      <c r="C4" s="46">
        <v>4488</v>
      </c>
      <c r="D4" s="37" t="s">
        <v>159</v>
      </c>
      <c r="E4" s="37" t="s">
        <v>159</v>
      </c>
      <c r="F4" s="37" t="s">
        <v>159</v>
      </c>
      <c r="G4" s="37" t="s">
        <v>159</v>
      </c>
      <c r="H4" s="46">
        <v>504</v>
      </c>
      <c r="I4" s="46">
        <v>1</v>
      </c>
      <c r="J4" s="46">
        <v>1</v>
      </c>
      <c r="K4" s="46">
        <v>1</v>
      </c>
      <c r="L4" s="50" t="s">
        <v>159</v>
      </c>
      <c r="M4" s="37">
        <v>514</v>
      </c>
      <c r="N4" s="38"/>
    </row>
    <row r="5" spans="1:14" ht="15.75" thickBot="1" x14ac:dyDescent="0.3">
      <c r="A5" s="39">
        <v>2</v>
      </c>
      <c r="B5" s="47" t="s">
        <v>627</v>
      </c>
      <c r="C5" s="47">
        <v>1</v>
      </c>
      <c r="D5" s="40" t="s">
        <v>159</v>
      </c>
      <c r="E5" s="40" t="s">
        <v>159</v>
      </c>
      <c r="F5" s="40" t="s">
        <v>159</v>
      </c>
      <c r="G5" s="40" t="s">
        <v>159</v>
      </c>
      <c r="H5" s="47">
        <v>504</v>
      </c>
      <c r="I5" s="47">
        <v>0</v>
      </c>
      <c r="J5" s="47">
        <v>0</v>
      </c>
      <c r="K5" s="47">
        <v>1</v>
      </c>
      <c r="L5" s="51" t="s">
        <v>159</v>
      </c>
      <c r="M5" s="40">
        <v>559</v>
      </c>
      <c r="N5" s="41"/>
    </row>
    <row r="6" spans="1:1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</sheetData>
  <mergeCells count="2">
    <mergeCell ref="A1:B1"/>
    <mergeCell ref="A2:B2"/>
  </mergeCells>
  <hyperlinks>
    <hyperlink ref="A1" location="'DigColPs_Per3'!A1" display="'DigColPs_Per3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5703125" bestFit="1" customWidth="1"/>
    <col min="3" max="3" width="5" bestFit="1" customWidth="1"/>
    <col min="4" max="6" width="3.28515625" bestFit="1" customWidth="1"/>
    <col min="7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79" t="s">
        <v>617</v>
      </c>
      <c r="B1" s="280"/>
      <c r="C1" s="45" t="s">
        <v>160</v>
      </c>
      <c r="D1" s="58" t="s">
        <v>159</v>
      </c>
      <c r="E1" s="193"/>
      <c r="F1" s="193"/>
      <c r="G1" s="193"/>
      <c r="H1" s="193"/>
      <c r="I1" s="193"/>
      <c r="J1" s="193"/>
      <c r="K1" s="193"/>
      <c r="L1" s="43"/>
      <c r="M1" s="43"/>
      <c r="N1" s="44"/>
    </row>
    <row r="2" spans="1:14" ht="60" customHeight="1" x14ac:dyDescent="0.25">
      <c r="A2" s="281" t="s">
        <v>147</v>
      </c>
      <c r="B2" s="282"/>
      <c r="C2" s="48" t="s">
        <v>150</v>
      </c>
      <c r="D2" s="49" t="s">
        <v>151</v>
      </c>
      <c r="E2" s="26" t="s">
        <v>151</v>
      </c>
      <c r="F2" s="26" t="s">
        <v>151</v>
      </c>
      <c r="G2" s="27" t="s">
        <v>152</v>
      </c>
      <c r="H2" s="28" t="s">
        <v>153</v>
      </c>
      <c r="I2" s="28" t="s">
        <v>153</v>
      </c>
      <c r="J2" s="28" t="s">
        <v>153</v>
      </c>
      <c r="K2" s="28" t="s">
        <v>154</v>
      </c>
      <c r="L2" s="29" t="s">
        <v>21</v>
      </c>
      <c r="M2" s="29" t="s">
        <v>156</v>
      </c>
      <c r="N2" s="30" t="s">
        <v>158</v>
      </c>
    </row>
    <row r="3" spans="1:14" ht="159.75" x14ac:dyDescent="0.25">
      <c r="A3" s="31" t="s">
        <v>148</v>
      </c>
      <c r="B3" s="32" t="s">
        <v>149</v>
      </c>
      <c r="C3" s="33" t="s">
        <v>274</v>
      </c>
      <c r="D3" s="34" t="s">
        <v>123</v>
      </c>
      <c r="E3" s="34" t="s">
        <v>124</v>
      </c>
      <c r="F3" s="34" t="s">
        <v>125</v>
      </c>
      <c r="G3" s="34" t="s">
        <v>55</v>
      </c>
      <c r="H3" s="35" t="s">
        <v>123</v>
      </c>
      <c r="I3" s="35" t="s">
        <v>124</v>
      </c>
      <c r="J3" s="35" t="s">
        <v>125</v>
      </c>
      <c r="K3" s="35" t="s">
        <v>55</v>
      </c>
      <c r="L3" s="29" t="s">
        <v>155</v>
      </c>
      <c r="M3" s="29" t="s">
        <v>157</v>
      </c>
      <c r="N3" s="30"/>
    </row>
    <row r="4" spans="1:14" x14ac:dyDescent="0.25">
      <c r="A4" s="36">
        <v>1</v>
      </c>
      <c r="B4" s="46" t="s">
        <v>621</v>
      </c>
      <c r="C4" s="46">
        <v>0</v>
      </c>
      <c r="D4" s="37" t="s">
        <v>159</v>
      </c>
      <c r="E4" s="37" t="s">
        <v>159</v>
      </c>
      <c r="F4" s="37" t="s">
        <v>159</v>
      </c>
      <c r="G4" s="37" t="s">
        <v>159</v>
      </c>
      <c r="H4" s="46">
        <v>504</v>
      </c>
      <c r="I4" s="46">
        <v>1</v>
      </c>
      <c r="J4" s="46">
        <v>1</v>
      </c>
      <c r="K4" s="46">
        <v>1</v>
      </c>
      <c r="L4" s="50" t="s">
        <v>159</v>
      </c>
      <c r="M4" s="37"/>
      <c r="N4" s="38"/>
    </row>
    <row r="5" spans="1:14" x14ac:dyDescent="0.25">
      <c r="A5" s="36">
        <v>2</v>
      </c>
      <c r="B5" s="46" t="s">
        <v>622</v>
      </c>
      <c r="C5" s="46">
        <v>4488</v>
      </c>
      <c r="D5" s="37" t="s">
        <v>159</v>
      </c>
      <c r="E5" s="37" t="s">
        <v>159</v>
      </c>
      <c r="F5" s="37" t="s">
        <v>159</v>
      </c>
      <c r="G5" s="37" t="s">
        <v>159</v>
      </c>
      <c r="H5" s="46">
        <v>504</v>
      </c>
      <c r="I5" s="46">
        <v>1</v>
      </c>
      <c r="J5" s="46">
        <v>1</v>
      </c>
      <c r="K5" s="46">
        <v>1</v>
      </c>
      <c r="L5" s="50" t="s">
        <v>159</v>
      </c>
      <c r="M5" s="37"/>
      <c r="N5" s="38"/>
    </row>
    <row r="6" spans="1:14" ht="15.75" thickBot="1" x14ac:dyDescent="0.3">
      <c r="A6" s="39">
        <v>3</v>
      </c>
      <c r="B6" s="47" t="s">
        <v>623</v>
      </c>
      <c r="C6" s="47">
        <v>1</v>
      </c>
      <c r="D6" s="40" t="s">
        <v>159</v>
      </c>
      <c r="E6" s="40" t="s">
        <v>159</v>
      </c>
      <c r="F6" s="40" t="s">
        <v>159</v>
      </c>
      <c r="G6" s="40" t="s">
        <v>159</v>
      </c>
      <c r="H6" s="47">
        <v>504</v>
      </c>
      <c r="I6" s="47">
        <v>0</v>
      </c>
      <c r="J6" s="47">
        <v>0</v>
      </c>
      <c r="K6" s="47">
        <v>1</v>
      </c>
      <c r="L6" s="51" t="s">
        <v>159</v>
      </c>
      <c r="M6" s="40"/>
      <c r="N6" s="41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</row>
  </sheetData>
  <sheetProtection sheet="1" objects="1" scenarios="1"/>
  <mergeCells count="2">
    <mergeCell ref="A1:B1"/>
    <mergeCell ref="A2:B2"/>
  </mergeCells>
  <hyperlinks>
    <hyperlink ref="A1" location="'DigColPs_Per3'!A1" display="'DigColPs_Per3'!A1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N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9.42578125" bestFit="1" customWidth="1"/>
    <col min="3" max="3" width="5" bestFit="1" customWidth="1"/>
    <col min="4" max="6" width="3.28515625" bestFit="1" customWidth="1"/>
    <col min="7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79" t="s">
        <v>617</v>
      </c>
      <c r="B1" s="280"/>
      <c r="C1" s="45" t="s">
        <v>160</v>
      </c>
      <c r="D1" s="58" t="s">
        <v>159</v>
      </c>
      <c r="E1" s="193"/>
      <c r="F1" s="193"/>
      <c r="G1" s="193"/>
      <c r="H1" s="193"/>
      <c r="I1" s="193"/>
      <c r="J1" s="193"/>
      <c r="K1" s="193"/>
      <c r="L1" s="43"/>
      <c r="M1" s="43"/>
      <c r="N1" s="44"/>
    </row>
    <row r="2" spans="1:14" ht="60" customHeight="1" x14ac:dyDescent="0.25">
      <c r="A2" s="281" t="s">
        <v>193</v>
      </c>
      <c r="B2" s="282"/>
      <c r="C2" s="48" t="s">
        <v>150</v>
      </c>
      <c r="D2" s="49" t="s">
        <v>151</v>
      </c>
      <c r="E2" s="26" t="s">
        <v>151</v>
      </c>
      <c r="F2" s="26" t="s">
        <v>151</v>
      </c>
      <c r="G2" s="27" t="s">
        <v>152</v>
      </c>
      <c r="H2" s="28" t="s">
        <v>153</v>
      </c>
      <c r="I2" s="28" t="s">
        <v>153</v>
      </c>
      <c r="J2" s="28" t="s">
        <v>153</v>
      </c>
      <c r="K2" s="28" t="s">
        <v>154</v>
      </c>
      <c r="L2" s="29" t="s">
        <v>21</v>
      </c>
      <c r="M2" s="29" t="s">
        <v>156</v>
      </c>
      <c r="N2" s="30" t="s">
        <v>158</v>
      </c>
    </row>
    <row r="3" spans="1:14" ht="159.75" x14ac:dyDescent="0.25">
      <c r="A3" s="31" t="s">
        <v>148</v>
      </c>
      <c r="B3" s="32" t="s">
        <v>149</v>
      </c>
      <c r="C3" s="33" t="s">
        <v>274</v>
      </c>
      <c r="D3" s="34" t="s">
        <v>123</v>
      </c>
      <c r="E3" s="34" t="s">
        <v>124</v>
      </c>
      <c r="F3" s="34" t="s">
        <v>125</v>
      </c>
      <c r="G3" s="34" t="s">
        <v>55</v>
      </c>
      <c r="H3" s="35" t="s">
        <v>123</v>
      </c>
      <c r="I3" s="35" t="s">
        <v>124</v>
      </c>
      <c r="J3" s="35" t="s">
        <v>125</v>
      </c>
      <c r="K3" s="35" t="s">
        <v>55</v>
      </c>
      <c r="L3" s="29" t="s">
        <v>155</v>
      </c>
      <c r="M3" s="29" t="s">
        <v>157</v>
      </c>
      <c r="N3" s="30"/>
    </row>
    <row r="4" spans="1:14" x14ac:dyDescent="0.25">
      <c r="A4" s="36">
        <v>1</v>
      </c>
      <c r="B4" s="46" t="s">
        <v>624</v>
      </c>
      <c r="C4" s="46">
        <v>4488</v>
      </c>
      <c r="D4" s="37" t="s">
        <v>159</v>
      </c>
      <c r="E4" s="37" t="s">
        <v>159</v>
      </c>
      <c r="F4" s="37" t="s">
        <v>159</v>
      </c>
      <c r="G4" s="37" t="s">
        <v>159</v>
      </c>
      <c r="H4" s="46">
        <v>504</v>
      </c>
      <c r="I4" s="46">
        <v>1</v>
      </c>
      <c r="J4" s="46">
        <v>1</v>
      </c>
      <c r="K4" s="46">
        <v>1</v>
      </c>
      <c r="L4" s="50" t="s">
        <v>159</v>
      </c>
      <c r="M4" s="37"/>
      <c r="N4" s="38"/>
    </row>
    <row r="5" spans="1:14" ht="15.75" thickBot="1" x14ac:dyDescent="0.3">
      <c r="A5" s="39">
        <v>2</v>
      </c>
      <c r="B5" s="47" t="s">
        <v>625</v>
      </c>
      <c r="C5" s="47">
        <v>1</v>
      </c>
      <c r="D5" s="40" t="s">
        <v>159</v>
      </c>
      <c r="E5" s="40" t="s">
        <v>159</v>
      </c>
      <c r="F5" s="40" t="s">
        <v>159</v>
      </c>
      <c r="G5" s="40" t="s">
        <v>159</v>
      </c>
      <c r="H5" s="47">
        <v>504</v>
      </c>
      <c r="I5" s="47">
        <v>0</v>
      </c>
      <c r="J5" s="47">
        <v>0</v>
      </c>
      <c r="K5" s="47">
        <v>1</v>
      </c>
      <c r="L5" s="51" t="s">
        <v>159</v>
      </c>
      <c r="M5" s="40"/>
      <c r="N5" s="41"/>
    </row>
    <row r="6" spans="1:1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</sheetData>
  <sheetProtection sheet="1" objects="1" scenarios="1"/>
  <mergeCells count="2">
    <mergeCell ref="A1:B1"/>
    <mergeCell ref="A2:B2"/>
  </mergeCells>
  <hyperlinks>
    <hyperlink ref="A1" location="'DigColPs_Per3'!A1" display="'DigColPs_Per3'!A1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195" t="s">
        <v>43</v>
      </c>
    </row>
    <row r="16" spans="1:6" x14ac:dyDescent="0.25">
      <c r="A16" s="204" t="s">
        <v>44</v>
      </c>
      <c r="B16" s="205" t="s">
        <v>45</v>
      </c>
      <c r="C16" s="206" t="s">
        <v>46</v>
      </c>
      <c r="D16" s="208" t="s">
        <v>47</v>
      </c>
      <c r="E16" s="207" t="s">
        <v>48</v>
      </c>
      <c r="F16" s="14" t="s">
        <v>44</v>
      </c>
    </row>
    <row r="17" spans="1:6" x14ac:dyDescent="0.25">
      <c r="A17" s="52" t="s">
        <v>609</v>
      </c>
      <c r="B17" s="15" t="s">
        <v>718</v>
      </c>
      <c r="C17" s="16">
        <v>22</v>
      </c>
      <c r="D17" s="17" t="s">
        <v>277</v>
      </c>
      <c r="E17" s="18" t="s">
        <v>277</v>
      </c>
      <c r="F17" s="19"/>
    </row>
    <row r="18" spans="1:6" x14ac:dyDescent="0.25">
      <c r="A18" s="52" t="s">
        <v>609</v>
      </c>
      <c r="B18" s="15" t="s">
        <v>193</v>
      </c>
      <c r="C18" s="16">
        <v>4</v>
      </c>
      <c r="D18" s="17" t="s">
        <v>210</v>
      </c>
      <c r="E18" s="18"/>
      <c r="F18" s="19"/>
    </row>
    <row r="19" spans="1:6" x14ac:dyDescent="0.25">
      <c r="A19" s="52" t="s">
        <v>609</v>
      </c>
      <c r="B19" s="15" t="s">
        <v>99</v>
      </c>
      <c r="C19" s="16">
        <v>2</v>
      </c>
      <c r="D19" s="17" t="s">
        <v>212</v>
      </c>
      <c r="E19" s="18"/>
      <c r="F19" s="19"/>
    </row>
    <row r="20" spans="1:6" x14ac:dyDescent="0.25">
      <c r="A20" s="15"/>
      <c r="B20" s="15"/>
      <c r="C20" s="16"/>
      <c r="D20" s="17" t="s">
        <v>234</v>
      </c>
      <c r="E20" s="18"/>
      <c r="F20" s="19"/>
    </row>
    <row r="21" spans="1:6" x14ac:dyDescent="0.25">
      <c r="A21" s="15"/>
      <c r="B21" s="15"/>
      <c r="C21" s="16"/>
      <c r="D21" s="17" t="s">
        <v>279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18"/>
      <c r="F1017" s="19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ChkSkipStepError() R'!A1" display="'ChkSkipStepError() R'!A1"/>
    <hyperlink ref="A18" location="'ChkSkipStepError() P'!A1" display="'ChkSkipStepError() P'!A1"/>
    <hyperlink ref="A19" location="'ChkSkipStepError() M'!A1" display="'ChkSkipStepError() M'!A1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P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99.28515625" bestFit="1" customWidth="1"/>
    <col min="3" max="4" width="4.140625" bestFit="1" customWidth="1"/>
    <col min="5" max="6" width="4" bestFit="1" customWidth="1"/>
    <col min="7" max="8" width="3.28515625" bestFit="1" customWidth="1"/>
    <col min="9" max="9" width="4" bestFit="1" customWidth="1"/>
    <col min="10" max="10" width="7.28515625" bestFit="1" customWidth="1"/>
    <col min="11" max="11" width="4.140625" bestFit="1" customWidth="1"/>
    <col min="12" max="13" width="7.2851562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79" t="s">
        <v>609</v>
      </c>
      <c r="B1" s="280"/>
      <c r="C1" s="45" t="s">
        <v>160</v>
      </c>
      <c r="D1" s="58" t="s">
        <v>159</v>
      </c>
      <c r="E1" s="196"/>
      <c r="F1" s="196"/>
      <c r="G1" s="196"/>
      <c r="H1" s="196"/>
      <c r="I1" s="196"/>
      <c r="J1" s="196"/>
      <c r="K1" s="196"/>
      <c r="L1" s="196"/>
      <c r="M1" s="196"/>
      <c r="N1" s="43"/>
      <c r="O1" s="43"/>
      <c r="P1" s="44"/>
    </row>
    <row r="2" spans="1:16" ht="60" customHeight="1" x14ac:dyDescent="0.25">
      <c r="A2" s="281" t="s">
        <v>99</v>
      </c>
      <c r="B2" s="282"/>
      <c r="C2" s="48" t="s">
        <v>169</v>
      </c>
      <c r="D2" s="48" t="s">
        <v>169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60" t="s">
        <v>170</v>
      </c>
      <c r="K2" s="27" t="s">
        <v>151</v>
      </c>
      <c r="L2" s="28" t="s">
        <v>171</v>
      </c>
      <c r="M2" s="28" t="s">
        <v>153</v>
      </c>
      <c r="N2" s="29" t="s">
        <v>21</v>
      </c>
      <c r="O2" s="29" t="s">
        <v>156</v>
      </c>
      <c r="P2" s="30" t="s">
        <v>158</v>
      </c>
    </row>
    <row r="3" spans="1:16" ht="162.75" x14ac:dyDescent="0.25">
      <c r="A3" s="31" t="s">
        <v>148</v>
      </c>
      <c r="B3" s="32" t="s">
        <v>149</v>
      </c>
      <c r="C3" s="59" t="s">
        <v>612</v>
      </c>
      <c r="D3" s="59" t="s">
        <v>614</v>
      </c>
      <c r="E3" s="33" t="s">
        <v>277</v>
      </c>
      <c r="F3" s="33" t="s">
        <v>210</v>
      </c>
      <c r="G3" s="33" t="s">
        <v>212</v>
      </c>
      <c r="H3" s="33" t="s">
        <v>234</v>
      </c>
      <c r="I3" s="33" t="s">
        <v>279</v>
      </c>
      <c r="J3" s="34" t="s">
        <v>609</v>
      </c>
      <c r="K3" s="34" t="s">
        <v>277</v>
      </c>
      <c r="L3" s="35" t="s">
        <v>609</v>
      </c>
      <c r="M3" s="35" t="s">
        <v>277</v>
      </c>
      <c r="N3" s="29" t="s">
        <v>155</v>
      </c>
      <c r="O3" s="29" t="s">
        <v>157</v>
      </c>
      <c r="P3" s="30"/>
    </row>
    <row r="4" spans="1:16" ht="30" x14ac:dyDescent="0.25">
      <c r="A4" s="36">
        <v>1</v>
      </c>
      <c r="B4" s="69" t="s">
        <v>946</v>
      </c>
      <c r="C4" s="46">
        <v>0</v>
      </c>
      <c r="D4" s="46">
        <v>0</v>
      </c>
      <c r="E4" s="46">
        <v>12</v>
      </c>
      <c r="F4" s="46">
        <v>21</v>
      </c>
      <c r="G4" s="46">
        <v>20</v>
      </c>
      <c r="H4" s="46">
        <v>1</v>
      </c>
      <c r="I4" s="46">
        <v>5</v>
      </c>
      <c r="J4" s="37" t="s">
        <v>159</v>
      </c>
      <c r="K4" s="37" t="s">
        <v>159</v>
      </c>
      <c r="L4" s="46">
        <v>0</v>
      </c>
      <c r="M4" s="46">
        <v>16</v>
      </c>
      <c r="N4" s="50" t="s">
        <v>159</v>
      </c>
      <c r="O4" s="37"/>
      <c r="P4" s="38"/>
    </row>
    <row r="5" spans="1:16" ht="30.75" thickBot="1" x14ac:dyDescent="0.3">
      <c r="A5" s="39">
        <v>2</v>
      </c>
      <c r="B5" s="68" t="s">
        <v>947</v>
      </c>
      <c r="C5" s="47">
        <v>22</v>
      </c>
      <c r="D5" s="47">
        <v>1</v>
      </c>
      <c r="E5" s="47">
        <v>255</v>
      </c>
      <c r="F5" s="47">
        <v>255</v>
      </c>
      <c r="G5" s="47">
        <v>50</v>
      </c>
      <c r="H5" s="47">
        <v>50</v>
      </c>
      <c r="I5" s="47">
        <v>100</v>
      </c>
      <c r="J5" s="40" t="s">
        <v>159</v>
      </c>
      <c r="K5" s="40" t="s">
        <v>159</v>
      </c>
      <c r="L5" s="47">
        <v>1</v>
      </c>
      <c r="M5" s="47">
        <v>255</v>
      </c>
      <c r="N5" s="51" t="s">
        <v>159</v>
      </c>
      <c r="O5" s="40"/>
      <c r="P5" s="41"/>
    </row>
    <row r="6" spans="1:1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1:1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</row>
    <row r="8" spans="1:1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</row>
    <row r="9" spans="1:1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</row>
    <row r="10" spans="1:1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  <row r="11" spans="1:1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</row>
    <row r="12" spans="1:1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</row>
    <row r="13" spans="1:1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</row>
    <row r="14" spans="1:1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</row>
    <row r="15" spans="1:1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</row>
  </sheetData>
  <mergeCells count="2">
    <mergeCell ref="A1:B1"/>
    <mergeCell ref="A2:B2"/>
  </mergeCells>
  <hyperlinks>
    <hyperlink ref="A1" location="'ChkSkipStepError'!A1" display="'ChkSkipStepError'!A1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P3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28515625" bestFit="1" customWidth="1"/>
    <col min="3" max="4" width="4.140625" bestFit="1" customWidth="1"/>
    <col min="5" max="6" width="4" bestFit="1" customWidth="1"/>
    <col min="7" max="8" width="3.28515625" bestFit="1" customWidth="1"/>
    <col min="9" max="9" width="4" bestFit="1" customWidth="1"/>
    <col min="10" max="10" width="7.28515625" bestFit="1" customWidth="1"/>
    <col min="11" max="11" width="4.140625" bestFit="1" customWidth="1"/>
    <col min="12" max="13" width="7.2851562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79" t="s">
        <v>609</v>
      </c>
      <c r="B1" s="280"/>
      <c r="C1" s="45" t="s">
        <v>160</v>
      </c>
      <c r="D1" s="58" t="s">
        <v>159</v>
      </c>
      <c r="E1" s="196"/>
      <c r="F1" s="196"/>
      <c r="G1" s="196"/>
      <c r="H1" s="196"/>
      <c r="I1" s="196"/>
      <c r="J1" s="196"/>
      <c r="K1" s="196"/>
      <c r="L1" s="196"/>
      <c r="M1" s="196"/>
      <c r="N1" s="43"/>
      <c r="O1" s="43"/>
      <c r="P1" s="44"/>
    </row>
    <row r="2" spans="1:16" ht="60" customHeight="1" x14ac:dyDescent="0.25">
      <c r="A2" s="281" t="s">
        <v>147</v>
      </c>
      <c r="B2" s="282"/>
      <c r="C2" s="48" t="s">
        <v>169</v>
      </c>
      <c r="D2" s="48" t="s">
        <v>169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60" t="s">
        <v>170</v>
      </c>
      <c r="K2" s="27" t="s">
        <v>151</v>
      </c>
      <c r="L2" s="28" t="s">
        <v>171</v>
      </c>
      <c r="M2" s="28" t="s">
        <v>153</v>
      </c>
      <c r="N2" s="29" t="s">
        <v>21</v>
      </c>
      <c r="O2" s="29" t="s">
        <v>156</v>
      </c>
      <c r="P2" s="30" t="s">
        <v>158</v>
      </c>
    </row>
    <row r="3" spans="1:16" ht="162.75" x14ac:dyDescent="0.25">
      <c r="A3" s="31" t="s">
        <v>148</v>
      </c>
      <c r="B3" s="32" t="s">
        <v>149</v>
      </c>
      <c r="C3" s="59" t="s">
        <v>612</v>
      </c>
      <c r="D3" s="59" t="s">
        <v>614</v>
      </c>
      <c r="E3" s="33" t="s">
        <v>277</v>
      </c>
      <c r="F3" s="33" t="s">
        <v>210</v>
      </c>
      <c r="G3" s="33" t="s">
        <v>212</v>
      </c>
      <c r="H3" s="33" t="s">
        <v>234</v>
      </c>
      <c r="I3" s="33" t="s">
        <v>279</v>
      </c>
      <c r="J3" s="34" t="s">
        <v>609</v>
      </c>
      <c r="K3" s="34" t="s">
        <v>277</v>
      </c>
      <c r="L3" s="35" t="s">
        <v>609</v>
      </c>
      <c r="M3" s="35" t="s">
        <v>277</v>
      </c>
      <c r="N3" s="29" t="s">
        <v>155</v>
      </c>
      <c r="O3" s="29" t="s">
        <v>157</v>
      </c>
      <c r="P3" s="30"/>
    </row>
    <row r="4" spans="1:16" x14ac:dyDescent="0.25">
      <c r="A4" s="36">
        <v>1</v>
      </c>
      <c r="B4" s="46" t="s">
        <v>161</v>
      </c>
      <c r="C4" s="56">
        <v>0</v>
      </c>
      <c r="D4" s="56">
        <v>0</v>
      </c>
      <c r="E4" s="56">
        <v>0</v>
      </c>
      <c r="F4" s="56">
        <v>0</v>
      </c>
      <c r="G4" s="56">
        <v>0</v>
      </c>
      <c r="H4" s="56">
        <v>0</v>
      </c>
      <c r="I4" s="56">
        <v>0</v>
      </c>
      <c r="J4" s="37" t="s">
        <v>159</v>
      </c>
      <c r="K4" s="37" t="s">
        <v>159</v>
      </c>
      <c r="L4" s="46">
        <v>1</v>
      </c>
      <c r="M4" s="46">
        <v>0</v>
      </c>
      <c r="N4" s="50" t="s">
        <v>159</v>
      </c>
      <c r="O4" s="37"/>
      <c r="P4" s="38"/>
    </row>
    <row r="5" spans="1:16" x14ac:dyDescent="0.25">
      <c r="A5" s="36">
        <v>2</v>
      </c>
      <c r="B5" s="46" t="s">
        <v>162</v>
      </c>
      <c r="C5" s="56">
        <v>22</v>
      </c>
      <c r="D5" s="56">
        <v>1</v>
      </c>
      <c r="E5" s="56">
        <v>255</v>
      </c>
      <c r="F5" s="56">
        <v>255</v>
      </c>
      <c r="G5" s="56">
        <v>50</v>
      </c>
      <c r="H5" s="56">
        <v>50</v>
      </c>
      <c r="I5" s="56">
        <v>100</v>
      </c>
      <c r="J5" s="37" t="s">
        <v>159</v>
      </c>
      <c r="K5" s="37" t="s">
        <v>159</v>
      </c>
      <c r="L5" s="46">
        <v>1</v>
      </c>
      <c r="M5" s="46">
        <v>255</v>
      </c>
      <c r="N5" s="50" t="s">
        <v>159</v>
      </c>
      <c r="O5" s="37"/>
      <c r="P5" s="38"/>
    </row>
    <row r="6" spans="1:16" x14ac:dyDescent="0.25">
      <c r="A6" s="36">
        <v>3</v>
      </c>
      <c r="B6" s="46" t="s">
        <v>612</v>
      </c>
      <c r="C6" s="56">
        <v>0</v>
      </c>
      <c r="D6" s="46">
        <v>0</v>
      </c>
      <c r="E6" s="46">
        <v>12</v>
      </c>
      <c r="F6" s="46">
        <v>21</v>
      </c>
      <c r="G6" s="46">
        <v>20</v>
      </c>
      <c r="H6" s="46">
        <v>1</v>
      </c>
      <c r="I6" s="46">
        <v>5</v>
      </c>
      <c r="J6" s="37" t="s">
        <v>159</v>
      </c>
      <c r="K6" s="37" t="s">
        <v>159</v>
      </c>
      <c r="L6" s="46">
        <v>0</v>
      </c>
      <c r="M6" s="46">
        <v>16</v>
      </c>
      <c r="N6" s="50" t="s">
        <v>159</v>
      </c>
      <c r="O6" s="37"/>
      <c r="P6" s="38"/>
    </row>
    <row r="7" spans="1:16" x14ac:dyDescent="0.25">
      <c r="A7" s="36">
        <v>4</v>
      </c>
      <c r="B7" s="46" t="s">
        <v>612</v>
      </c>
      <c r="C7" s="56">
        <v>22</v>
      </c>
      <c r="D7" s="46">
        <v>1</v>
      </c>
      <c r="E7" s="46">
        <v>24</v>
      </c>
      <c r="F7" s="46">
        <v>33</v>
      </c>
      <c r="G7" s="46">
        <v>27</v>
      </c>
      <c r="H7" s="46">
        <v>13</v>
      </c>
      <c r="I7" s="46">
        <v>10</v>
      </c>
      <c r="J7" s="37" t="s">
        <v>159</v>
      </c>
      <c r="K7" s="37" t="s">
        <v>159</v>
      </c>
      <c r="L7" s="46">
        <v>1</v>
      </c>
      <c r="M7" s="46">
        <v>33</v>
      </c>
      <c r="N7" s="50" t="s">
        <v>159</v>
      </c>
      <c r="O7" s="37"/>
      <c r="P7" s="38"/>
    </row>
    <row r="8" spans="1:16" x14ac:dyDescent="0.25">
      <c r="A8" s="36">
        <v>5</v>
      </c>
      <c r="B8" s="46" t="s">
        <v>612</v>
      </c>
      <c r="C8" s="56">
        <v>7</v>
      </c>
      <c r="D8" s="46">
        <v>0</v>
      </c>
      <c r="E8" s="46">
        <v>36</v>
      </c>
      <c r="F8" s="46">
        <v>45</v>
      </c>
      <c r="G8" s="46">
        <v>34</v>
      </c>
      <c r="H8" s="46">
        <v>22</v>
      </c>
      <c r="I8" s="46">
        <v>15</v>
      </c>
      <c r="J8" s="37" t="s">
        <v>159</v>
      </c>
      <c r="K8" s="37" t="s">
        <v>159</v>
      </c>
      <c r="L8" s="46">
        <v>0</v>
      </c>
      <c r="M8" s="46">
        <v>29</v>
      </c>
      <c r="N8" s="50" t="s">
        <v>159</v>
      </c>
      <c r="O8" s="37"/>
      <c r="P8" s="38"/>
    </row>
    <row r="9" spans="1:16" x14ac:dyDescent="0.25">
      <c r="A9" s="36">
        <v>6</v>
      </c>
      <c r="B9" s="46" t="s">
        <v>614</v>
      </c>
      <c r="C9" s="46">
        <v>1</v>
      </c>
      <c r="D9" s="56">
        <v>0</v>
      </c>
      <c r="E9" s="46">
        <v>48</v>
      </c>
      <c r="F9" s="46">
        <v>57</v>
      </c>
      <c r="G9" s="46">
        <v>41</v>
      </c>
      <c r="H9" s="46">
        <v>31</v>
      </c>
      <c r="I9" s="46">
        <v>20</v>
      </c>
      <c r="J9" s="37" t="s">
        <v>159</v>
      </c>
      <c r="K9" s="37" t="s">
        <v>159</v>
      </c>
      <c r="L9" s="46">
        <v>0</v>
      </c>
      <c r="M9" s="46">
        <v>37</v>
      </c>
      <c r="N9" s="50" t="s">
        <v>159</v>
      </c>
      <c r="O9" s="37"/>
      <c r="P9" s="38"/>
    </row>
    <row r="10" spans="1:16" x14ac:dyDescent="0.25">
      <c r="A10" s="36">
        <v>7</v>
      </c>
      <c r="B10" s="46" t="s">
        <v>614</v>
      </c>
      <c r="C10" s="46">
        <v>12</v>
      </c>
      <c r="D10" s="56">
        <v>1</v>
      </c>
      <c r="E10" s="46">
        <v>60</v>
      </c>
      <c r="F10" s="46">
        <v>69</v>
      </c>
      <c r="G10" s="46">
        <v>48</v>
      </c>
      <c r="H10" s="46">
        <v>40</v>
      </c>
      <c r="I10" s="46">
        <v>25</v>
      </c>
      <c r="J10" s="37" t="s">
        <v>159</v>
      </c>
      <c r="K10" s="37" t="s">
        <v>159</v>
      </c>
      <c r="L10" s="46">
        <v>1</v>
      </c>
      <c r="M10" s="46">
        <v>69</v>
      </c>
      <c r="N10" s="50" t="s">
        <v>159</v>
      </c>
      <c r="O10" s="37"/>
      <c r="P10" s="38"/>
    </row>
    <row r="11" spans="1:16" x14ac:dyDescent="0.25">
      <c r="A11" s="36">
        <v>8</v>
      </c>
      <c r="B11" s="46" t="s">
        <v>277</v>
      </c>
      <c r="C11" s="46">
        <v>3</v>
      </c>
      <c r="D11" s="46">
        <v>0</v>
      </c>
      <c r="E11" s="56">
        <v>0</v>
      </c>
      <c r="F11" s="46">
        <v>81</v>
      </c>
      <c r="G11" s="46">
        <v>5</v>
      </c>
      <c r="H11" s="46">
        <v>49</v>
      </c>
      <c r="I11" s="46">
        <v>30</v>
      </c>
      <c r="J11" s="37" t="s">
        <v>159</v>
      </c>
      <c r="K11" s="37" t="s">
        <v>159</v>
      </c>
      <c r="L11" s="46">
        <v>0</v>
      </c>
      <c r="M11" s="46">
        <v>30</v>
      </c>
      <c r="N11" s="50" t="s">
        <v>159</v>
      </c>
      <c r="O11" s="37"/>
      <c r="P11" s="38"/>
    </row>
    <row r="12" spans="1:16" x14ac:dyDescent="0.25">
      <c r="A12" s="36">
        <v>9</v>
      </c>
      <c r="B12" s="46" t="s">
        <v>277</v>
      </c>
      <c r="C12" s="46">
        <v>4</v>
      </c>
      <c r="D12" s="46">
        <v>0</v>
      </c>
      <c r="E12" s="56">
        <v>255</v>
      </c>
      <c r="F12" s="46">
        <v>93</v>
      </c>
      <c r="G12" s="46">
        <v>11</v>
      </c>
      <c r="H12" s="46">
        <v>4</v>
      </c>
      <c r="I12" s="46">
        <v>35</v>
      </c>
      <c r="J12" s="37" t="s">
        <v>159</v>
      </c>
      <c r="K12" s="37" t="s">
        <v>159</v>
      </c>
      <c r="L12" s="46">
        <v>1</v>
      </c>
      <c r="M12" s="46">
        <v>93</v>
      </c>
      <c r="N12" s="50" t="s">
        <v>159</v>
      </c>
      <c r="O12" s="37"/>
      <c r="P12" s="38"/>
    </row>
    <row r="13" spans="1:16" x14ac:dyDescent="0.25">
      <c r="A13" s="36">
        <v>10</v>
      </c>
      <c r="B13" s="46" t="s">
        <v>277</v>
      </c>
      <c r="C13" s="46">
        <v>15</v>
      </c>
      <c r="D13" s="46">
        <v>1</v>
      </c>
      <c r="E13" s="56">
        <v>121</v>
      </c>
      <c r="F13" s="46">
        <v>105</v>
      </c>
      <c r="G13" s="46">
        <v>17</v>
      </c>
      <c r="H13" s="46">
        <v>7</v>
      </c>
      <c r="I13" s="46">
        <v>40</v>
      </c>
      <c r="J13" s="37" t="s">
        <v>159</v>
      </c>
      <c r="K13" s="37" t="s">
        <v>159</v>
      </c>
      <c r="L13" s="46">
        <v>1</v>
      </c>
      <c r="M13" s="46">
        <v>105</v>
      </c>
      <c r="N13" s="50" t="s">
        <v>159</v>
      </c>
      <c r="O13" s="37"/>
      <c r="P13" s="38"/>
    </row>
    <row r="14" spans="1:16" x14ac:dyDescent="0.25">
      <c r="A14" s="36">
        <v>11</v>
      </c>
      <c r="B14" s="46" t="s">
        <v>210</v>
      </c>
      <c r="C14" s="46">
        <v>6</v>
      </c>
      <c r="D14" s="46">
        <v>1</v>
      </c>
      <c r="E14" s="46">
        <v>133</v>
      </c>
      <c r="F14" s="56">
        <v>0</v>
      </c>
      <c r="G14" s="46">
        <v>23</v>
      </c>
      <c r="H14" s="46">
        <v>10</v>
      </c>
      <c r="I14" s="46">
        <v>45</v>
      </c>
      <c r="J14" s="37" t="s">
        <v>159</v>
      </c>
      <c r="K14" s="37" t="s">
        <v>159</v>
      </c>
      <c r="L14" s="46">
        <v>1</v>
      </c>
      <c r="M14" s="46">
        <v>0</v>
      </c>
      <c r="N14" s="50" t="s">
        <v>159</v>
      </c>
      <c r="O14" s="37"/>
      <c r="P14" s="38"/>
    </row>
    <row r="15" spans="1:16" x14ac:dyDescent="0.25">
      <c r="A15" s="36">
        <v>12</v>
      </c>
      <c r="B15" s="46" t="s">
        <v>210</v>
      </c>
      <c r="C15" s="46">
        <v>7</v>
      </c>
      <c r="D15" s="46">
        <v>0</v>
      </c>
      <c r="E15" s="46">
        <v>110</v>
      </c>
      <c r="F15" s="56">
        <v>255</v>
      </c>
      <c r="G15" s="46">
        <v>29</v>
      </c>
      <c r="H15" s="46">
        <v>13</v>
      </c>
      <c r="I15" s="46">
        <v>50</v>
      </c>
      <c r="J15" s="37" t="s">
        <v>159</v>
      </c>
      <c r="K15" s="37" t="s">
        <v>159</v>
      </c>
      <c r="L15" s="46">
        <v>0</v>
      </c>
      <c r="M15" s="46">
        <v>147</v>
      </c>
      <c r="N15" s="50" t="s">
        <v>159</v>
      </c>
      <c r="O15" s="37"/>
      <c r="P15" s="38"/>
    </row>
    <row r="16" spans="1:16" x14ac:dyDescent="0.25">
      <c r="A16" s="36">
        <v>13</v>
      </c>
      <c r="B16" s="46" t="s">
        <v>630</v>
      </c>
      <c r="C16" s="46">
        <v>8</v>
      </c>
      <c r="D16" s="46">
        <v>1</v>
      </c>
      <c r="E16" s="46">
        <v>87</v>
      </c>
      <c r="F16" s="56">
        <v>21</v>
      </c>
      <c r="G16" s="46">
        <v>35</v>
      </c>
      <c r="H16" s="46">
        <v>16</v>
      </c>
      <c r="I16" s="46">
        <v>55</v>
      </c>
      <c r="J16" s="37" t="s">
        <v>159</v>
      </c>
      <c r="K16" s="37" t="s">
        <v>159</v>
      </c>
      <c r="L16" s="46">
        <v>1</v>
      </c>
      <c r="M16" s="46">
        <v>21</v>
      </c>
      <c r="N16" s="50" t="s">
        <v>159</v>
      </c>
      <c r="O16" s="37"/>
      <c r="P16" s="38"/>
    </row>
    <row r="17" spans="1:16" x14ac:dyDescent="0.25">
      <c r="A17" s="36">
        <v>14</v>
      </c>
      <c r="B17" s="46" t="s">
        <v>212</v>
      </c>
      <c r="C17" s="46">
        <v>9</v>
      </c>
      <c r="D17" s="46">
        <v>1</v>
      </c>
      <c r="E17" s="46">
        <v>64</v>
      </c>
      <c r="F17" s="46">
        <v>4</v>
      </c>
      <c r="G17" s="56">
        <v>0</v>
      </c>
      <c r="H17" s="46">
        <v>19</v>
      </c>
      <c r="I17" s="46">
        <v>60</v>
      </c>
      <c r="J17" s="37" t="s">
        <v>159</v>
      </c>
      <c r="K17" s="37" t="s">
        <v>159</v>
      </c>
      <c r="L17" s="46">
        <v>1</v>
      </c>
      <c r="M17" s="46">
        <v>4</v>
      </c>
      <c r="N17" s="50" t="s">
        <v>159</v>
      </c>
      <c r="O17" s="37"/>
      <c r="P17" s="38"/>
    </row>
    <row r="18" spans="1:16" x14ac:dyDescent="0.25">
      <c r="A18" s="36">
        <v>15</v>
      </c>
      <c r="B18" s="46" t="s">
        <v>212</v>
      </c>
      <c r="C18" s="46">
        <v>10</v>
      </c>
      <c r="D18" s="46">
        <v>1</v>
      </c>
      <c r="E18" s="46">
        <v>41</v>
      </c>
      <c r="F18" s="46">
        <v>32</v>
      </c>
      <c r="G18" s="56">
        <v>50</v>
      </c>
      <c r="H18" s="46">
        <v>22</v>
      </c>
      <c r="I18" s="46">
        <v>65</v>
      </c>
      <c r="J18" s="37" t="s">
        <v>159</v>
      </c>
      <c r="K18" s="37" t="s">
        <v>159</v>
      </c>
      <c r="L18" s="46">
        <v>1</v>
      </c>
      <c r="M18" s="46">
        <v>32</v>
      </c>
      <c r="N18" s="50" t="s">
        <v>159</v>
      </c>
      <c r="O18" s="37"/>
      <c r="P18" s="38"/>
    </row>
    <row r="19" spans="1:16" x14ac:dyDescent="0.25">
      <c r="A19" s="36">
        <v>16</v>
      </c>
      <c r="B19" s="46" t="s">
        <v>628</v>
      </c>
      <c r="C19" s="46">
        <v>11</v>
      </c>
      <c r="D19" s="46">
        <v>1</v>
      </c>
      <c r="E19" s="46">
        <v>18</v>
      </c>
      <c r="F19" s="46">
        <v>60</v>
      </c>
      <c r="G19" s="56">
        <v>20</v>
      </c>
      <c r="H19" s="46">
        <v>25</v>
      </c>
      <c r="I19" s="46">
        <v>70</v>
      </c>
      <c r="J19" s="37" t="s">
        <v>159</v>
      </c>
      <c r="K19" s="37" t="s">
        <v>159</v>
      </c>
      <c r="L19" s="46">
        <v>1</v>
      </c>
      <c r="M19" s="46">
        <v>60</v>
      </c>
      <c r="N19" s="50" t="s">
        <v>159</v>
      </c>
      <c r="O19" s="37"/>
      <c r="P19" s="38"/>
    </row>
    <row r="20" spans="1:16" x14ac:dyDescent="0.25">
      <c r="A20" s="36">
        <v>17</v>
      </c>
      <c r="B20" s="46" t="s">
        <v>234</v>
      </c>
      <c r="C20" s="46">
        <v>20</v>
      </c>
      <c r="D20" s="46">
        <v>0</v>
      </c>
      <c r="E20" s="46">
        <v>44</v>
      </c>
      <c r="F20" s="46">
        <v>88</v>
      </c>
      <c r="G20" s="46">
        <v>3</v>
      </c>
      <c r="H20" s="56">
        <v>0</v>
      </c>
      <c r="I20" s="46">
        <v>75</v>
      </c>
      <c r="J20" s="37" t="s">
        <v>159</v>
      </c>
      <c r="K20" s="37" t="s">
        <v>159</v>
      </c>
      <c r="L20" s="46">
        <v>1</v>
      </c>
      <c r="M20" s="46">
        <v>88</v>
      </c>
      <c r="N20" s="50" t="s">
        <v>159</v>
      </c>
      <c r="O20" s="37"/>
      <c r="P20" s="38"/>
    </row>
    <row r="21" spans="1:16" x14ac:dyDescent="0.25">
      <c r="A21" s="36">
        <v>18</v>
      </c>
      <c r="B21" s="46" t="s">
        <v>234</v>
      </c>
      <c r="C21" s="46">
        <v>17</v>
      </c>
      <c r="D21" s="46">
        <v>0</v>
      </c>
      <c r="E21" s="46">
        <v>86</v>
      </c>
      <c r="F21" s="46">
        <v>116</v>
      </c>
      <c r="G21" s="46">
        <v>7</v>
      </c>
      <c r="H21" s="56">
        <v>50</v>
      </c>
      <c r="I21" s="46">
        <v>80</v>
      </c>
      <c r="J21" s="37" t="s">
        <v>159</v>
      </c>
      <c r="K21" s="37" t="s">
        <v>159</v>
      </c>
      <c r="L21" s="46">
        <v>1</v>
      </c>
      <c r="M21" s="46">
        <v>116</v>
      </c>
      <c r="N21" s="50" t="s">
        <v>159</v>
      </c>
      <c r="O21" s="37"/>
      <c r="P21" s="38"/>
    </row>
    <row r="22" spans="1:16" x14ac:dyDescent="0.25">
      <c r="A22" s="36">
        <v>19</v>
      </c>
      <c r="B22" s="46" t="s">
        <v>629</v>
      </c>
      <c r="C22" s="46">
        <v>19</v>
      </c>
      <c r="D22" s="46">
        <v>0</v>
      </c>
      <c r="E22" s="46">
        <v>128</v>
      </c>
      <c r="F22" s="46">
        <v>144</v>
      </c>
      <c r="G22" s="46">
        <v>11</v>
      </c>
      <c r="H22" s="56">
        <v>1</v>
      </c>
      <c r="I22" s="46">
        <v>85</v>
      </c>
      <c r="J22" s="37" t="s">
        <v>159</v>
      </c>
      <c r="K22" s="37" t="s">
        <v>159</v>
      </c>
      <c r="L22" s="46">
        <v>1</v>
      </c>
      <c r="M22" s="46">
        <v>144</v>
      </c>
      <c r="N22" s="50" t="s">
        <v>159</v>
      </c>
      <c r="O22" s="37"/>
      <c r="P22" s="38"/>
    </row>
    <row r="23" spans="1:16" x14ac:dyDescent="0.25">
      <c r="A23" s="36">
        <v>20</v>
      </c>
      <c r="B23" s="46" t="s">
        <v>279</v>
      </c>
      <c r="C23" s="46">
        <v>5</v>
      </c>
      <c r="D23" s="46">
        <v>0</v>
      </c>
      <c r="E23" s="46">
        <v>170</v>
      </c>
      <c r="F23" s="46">
        <v>172</v>
      </c>
      <c r="G23" s="46">
        <v>15</v>
      </c>
      <c r="H23" s="46">
        <v>33</v>
      </c>
      <c r="I23" s="56">
        <v>0</v>
      </c>
      <c r="J23" s="37" t="s">
        <v>159</v>
      </c>
      <c r="K23" s="37" t="s">
        <v>159</v>
      </c>
      <c r="L23" s="46">
        <v>0</v>
      </c>
      <c r="M23" s="46">
        <v>137</v>
      </c>
      <c r="N23" s="50" t="s">
        <v>159</v>
      </c>
      <c r="O23" s="37"/>
      <c r="P23" s="38"/>
    </row>
    <row r="24" spans="1:16" x14ac:dyDescent="0.25">
      <c r="A24" s="36">
        <v>21</v>
      </c>
      <c r="B24" s="46" t="s">
        <v>279</v>
      </c>
      <c r="C24" s="46">
        <v>20</v>
      </c>
      <c r="D24" s="46">
        <v>1</v>
      </c>
      <c r="E24" s="46">
        <v>212</v>
      </c>
      <c r="F24" s="46">
        <v>200</v>
      </c>
      <c r="G24" s="46">
        <v>19</v>
      </c>
      <c r="H24" s="46">
        <v>44</v>
      </c>
      <c r="I24" s="56">
        <v>100</v>
      </c>
      <c r="J24" s="37" t="s">
        <v>159</v>
      </c>
      <c r="K24" s="37" t="s">
        <v>159</v>
      </c>
      <c r="L24" s="46">
        <v>1</v>
      </c>
      <c r="M24" s="46">
        <v>200</v>
      </c>
      <c r="N24" s="50" t="s">
        <v>159</v>
      </c>
      <c r="O24" s="37"/>
      <c r="P24" s="38"/>
    </row>
    <row r="25" spans="1:16" ht="15.75" thickBot="1" x14ac:dyDescent="0.3">
      <c r="A25" s="39">
        <v>22</v>
      </c>
      <c r="B25" s="47" t="s">
        <v>279</v>
      </c>
      <c r="C25" s="47">
        <v>18</v>
      </c>
      <c r="D25" s="47">
        <v>0</v>
      </c>
      <c r="E25" s="47">
        <v>7</v>
      </c>
      <c r="F25" s="47">
        <v>245</v>
      </c>
      <c r="G25" s="47">
        <v>41</v>
      </c>
      <c r="H25" s="47">
        <v>27</v>
      </c>
      <c r="I25" s="57">
        <v>44</v>
      </c>
      <c r="J25" s="40" t="s">
        <v>159</v>
      </c>
      <c r="K25" s="40" t="s">
        <v>159</v>
      </c>
      <c r="L25" s="47">
        <v>0</v>
      </c>
      <c r="M25" s="47">
        <v>44</v>
      </c>
      <c r="N25" s="51" t="s">
        <v>159</v>
      </c>
      <c r="O25" s="40"/>
      <c r="P25" s="41"/>
    </row>
    <row r="26" spans="1:1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</row>
    <row r="27" spans="1:1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</row>
    <row r="28" spans="1:1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</row>
    <row r="29" spans="1:1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</row>
    <row r="30" spans="1:1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</row>
    <row r="31" spans="1:1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</row>
    <row r="32" spans="1:1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</row>
    <row r="33" spans="1:1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</row>
    <row r="34" spans="1:1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</row>
    <row r="35" spans="1:1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</row>
  </sheetData>
  <mergeCells count="2">
    <mergeCell ref="A1:B1"/>
    <mergeCell ref="A2:B2"/>
  </mergeCells>
  <hyperlinks>
    <hyperlink ref="A1" location="'ChkSkipStepError'!A1" display="'ChkSkipStepError'!A1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P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.5703125" customWidth="1"/>
    <col min="3" max="4" width="4.140625" bestFit="1" customWidth="1"/>
    <col min="5" max="6" width="4" bestFit="1" customWidth="1"/>
    <col min="7" max="8" width="3.28515625" bestFit="1" customWidth="1"/>
    <col min="9" max="9" width="4" bestFit="1" customWidth="1"/>
    <col min="10" max="10" width="7.28515625" bestFit="1" customWidth="1"/>
    <col min="11" max="11" width="4.140625" bestFit="1" customWidth="1"/>
    <col min="12" max="13" width="7.2851562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79" t="s">
        <v>609</v>
      </c>
      <c r="B1" s="280"/>
      <c r="C1" s="45" t="s">
        <v>160</v>
      </c>
      <c r="D1" s="58" t="s">
        <v>159</v>
      </c>
      <c r="E1" s="196"/>
      <c r="F1" s="196"/>
      <c r="G1" s="196"/>
      <c r="H1" s="196"/>
      <c r="I1" s="196"/>
      <c r="J1" s="196"/>
      <c r="K1" s="196"/>
      <c r="L1" s="196"/>
      <c r="M1" s="196"/>
      <c r="N1" s="43"/>
      <c r="O1" s="43"/>
      <c r="P1" s="44"/>
    </row>
    <row r="2" spans="1:16" ht="60" customHeight="1" x14ac:dyDescent="0.25">
      <c r="A2" s="281" t="s">
        <v>193</v>
      </c>
      <c r="B2" s="282"/>
      <c r="C2" s="48" t="s">
        <v>169</v>
      </c>
      <c r="D2" s="48" t="s">
        <v>169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60" t="s">
        <v>170</v>
      </c>
      <c r="K2" s="27" t="s">
        <v>151</v>
      </c>
      <c r="L2" s="28" t="s">
        <v>171</v>
      </c>
      <c r="M2" s="28" t="s">
        <v>153</v>
      </c>
      <c r="N2" s="29" t="s">
        <v>21</v>
      </c>
      <c r="O2" s="29" t="s">
        <v>156</v>
      </c>
      <c r="P2" s="30" t="s">
        <v>158</v>
      </c>
    </row>
    <row r="3" spans="1:16" ht="162.75" x14ac:dyDescent="0.25">
      <c r="A3" s="31" t="s">
        <v>148</v>
      </c>
      <c r="B3" s="32" t="s">
        <v>149</v>
      </c>
      <c r="C3" s="59" t="s">
        <v>612</v>
      </c>
      <c r="D3" s="59" t="s">
        <v>614</v>
      </c>
      <c r="E3" s="33" t="s">
        <v>277</v>
      </c>
      <c r="F3" s="33" t="s">
        <v>210</v>
      </c>
      <c r="G3" s="33" t="s">
        <v>212</v>
      </c>
      <c r="H3" s="33" t="s">
        <v>234</v>
      </c>
      <c r="I3" s="33" t="s">
        <v>279</v>
      </c>
      <c r="J3" s="34" t="s">
        <v>609</v>
      </c>
      <c r="K3" s="34" t="s">
        <v>277</v>
      </c>
      <c r="L3" s="35" t="s">
        <v>609</v>
      </c>
      <c r="M3" s="35" t="s">
        <v>277</v>
      </c>
      <c r="N3" s="29" t="s">
        <v>155</v>
      </c>
      <c r="O3" s="29" t="s">
        <v>157</v>
      </c>
      <c r="P3" s="30"/>
    </row>
    <row r="4" spans="1:16" x14ac:dyDescent="0.25">
      <c r="A4" s="36">
        <v>1</v>
      </c>
      <c r="B4" s="46" t="s">
        <v>926</v>
      </c>
      <c r="C4" s="46">
        <v>0</v>
      </c>
      <c r="D4" s="46">
        <v>0</v>
      </c>
      <c r="E4" s="46">
        <v>0</v>
      </c>
      <c r="F4" s="46">
        <v>0</v>
      </c>
      <c r="G4" s="46">
        <v>0</v>
      </c>
      <c r="H4" s="46">
        <v>0</v>
      </c>
      <c r="I4" s="46">
        <v>0</v>
      </c>
      <c r="J4" s="37" t="s">
        <v>159</v>
      </c>
      <c r="K4" s="37" t="s">
        <v>159</v>
      </c>
      <c r="L4" s="46">
        <v>1</v>
      </c>
      <c r="M4" s="46">
        <v>0</v>
      </c>
      <c r="N4" s="50" t="s">
        <v>159</v>
      </c>
      <c r="O4" s="37"/>
      <c r="P4" s="38"/>
    </row>
    <row r="5" spans="1:16" x14ac:dyDescent="0.25">
      <c r="A5" s="36">
        <v>2</v>
      </c>
      <c r="B5" s="46" t="s">
        <v>927</v>
      </c>
      <c r="C5" s="46">
        <v>22</v>
      </c>
      <c r="D5" s="46">
        <v>1</v>
      </c>
      <c r="E5" s="46">
        <v>255</v>
      </c>
      <c r="F5" s="46">
        <v>255</v>
      </c>
      <c r="G5" s="46">
        <v>50</v>
      </c>
      <c r="H5" s="46">
        <v>50</v>
      </c>
      <c r="I5" s="46">
        <v>100</v>
      </c>
      <c r="J5" s="37" t="s">
        <v>159</v>
      </c>
      <c r="K5" s="37" t="s">
        <v>159</v>
      </c>
      <c r="L5" s="46">
        <v>1</v>
      </c>
      <c r="M5" s="46">
        <v>255</v>
      </c>
      <c r="N5" s="50" t="s">
        <v>159</v>
      </c>
      <c r="O5" s="37"/>
      <c r="P5" s="38"/>
    </row>
    <row r="6" spans="1:16" x14ac:dyDescent="0.25">
      <c r="A6" s="36">
        <v>3</v>
      </c>
      <c r="B6" s="46" t="s">
        <v>928</v>
      </c>
      <c r="C6" s="46">
        <v>7</v>
      </c>
      <c r="D6" s="46">
        <v>0</v>
      </c>
      <c r="E6" s="46">
        <v>36</v>
      </c>
      <c r="F6" s="46">
        <v>45</v>
      </c>
      <c r="G6" s="46">
        <v>34</v>
      </c>
      <c r="H6" s="46">
        <v>22</v>
      </c>
      <c r="I6" s="46">
        <v>15</v>
      </c>
      <c r="J6" s="37" t="s">
        <v>159</v>
      </c>
      <c r="K6" s="37" t="s">
        <v>159</v>
      </c>
      <c r="L6" s="46">
        <v>0</v>
      </c>
      <c r="M6" s="46">
        <v>29</v>
      </c>
      <c r="N6" s="50" t="s">
        <v>159</v>
      </c>
      <c r="O6" s="37"/>
      <c r="P6" s="38"/>
    </row>
    <row r="7" spans="1:16" ht="15.75" thickBot="1" x14ac:dyDescent="0.3">
      <c r="A7" s="39">
        <v>4</v>
      </c>
      <c r="B7" s="47" t="s">
        <v>929</v>
      </c>
      <c r="C7" s="47">
        <v>11</v>
      </c>
      <c r="D7" s="47">
        <v>1</v>
      </c>
      <c r="E7" s="47">
        <v>18</v>
      </c>
      <c r="F7" s="47">
        <v>60</v>
      </c>
      <c r="G7" s="47">
        <v>20</v>
      </c>
      <c r="H7" s="47">
        <v>25</v>
      </c>
      <c r="I7" s="47">
        <v>70</v>
      </c>
      <c r="J7" s="40" t="s">
        <v>159</v>
      </c>
      <c r="K7" s="40" t="s">
        <v>159</v>
      </c>
      <c r="L7" s="47">
        <v>1</v>
      </c>
      <c r="M7" s="47">
        <v>60</v>
      </c>
      <c r="N7" s="51" t="s">
        <v>159</v>
      </c>
      <c r="O7" s="40"/>
      <c r="P7" s="41"/>
    </row>
    <row r="8" spans="1:1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</row>
    <row r="9" spans="1:1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</row>
    <row r="10" spans="1:1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  <row r="11" spans="1:1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</row>
    <row r="12" spans="1:1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</row>
    <row r="13" spans="1:1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</row>
    <row r="14" spans="1:1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</row>
    <row r="15" spans="1:1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</row>
    <row r="16" spans="1:1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</row>
    <row r="17" spans="1:1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</row>
  </sheetData>
  <mergeCells count="2">
    <mergeCell ref="A1:B1"/>
    <mergeCell ref="A2:B2"/>
  </mergeCells>
  <hyperlinks>
    <hyperlink ref="A1" location="'ChkSkipStepError'!A1" display="'ChkSkipStepError'!A1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195" t="s">
        <v>43</v>
      </c>
    </row>
    <row r="16" spans="1:6" x14ac:dyDescent="0.25">
      <c r="A16" s="204" t="s">
        <v>44</v>
      </c>
      <c r="B16" s="205" t="s">
        <v>45</v>
      </c>
      <c r="C16" s="206" t="s">
        <v>46</v>
      </c>
      <c r="D16" s="208" t="s">
        <v>47</v>
      </c>
      <c r="E16" s="207" t="s">
        <v>48</v>
      </c>
      <c r="F16" s="14" t="s">
        <v>44</v>
      </c>
    </row>
    <row r="17" spans="1:6" x14ac:dyDescent="0.25">
      <c r="A17" s="52" t="s">
        <v>608</v>
      </c>
      <c r="B17" s="15" t="s">
        <v>718</v>
      </c>
      <c r="C17" s="16">
        <v>27</v>
      </c>
      <c r="D17" s="17" t="s">
        <v>132</v>
      </c>
      <c r="E17" s="18" t="s">
        <v>279</v>
      </c>
      <c r="F17" s="19"/>
    </row>
    <row r="18" spans="1:6" x14ac:dyDescent="0.25">
      <c r="A18" s="52" t="s">
        <v>608</v>
      </c>
      <c r="B18" s="15" t="s">
        <v>193</v>
      </c>
      <c r="C18" s="16">
        <v>2</v>
      </c>
      <c r="D18" s="17" t="s">
        <v>230</v>
      </c>
      <c r="E18" s="18"/>
      <c r="F18" s="19"/>
    </row>
    <row r="19" spans="1:6" x14ac:dyDescent="0.25">
      <c r="A19" s="52" t="s">
        <v>608</v>
      </c>
      <c r="B19" s="15" t="s">
        <v>99</v>
      </c>
      <c r="C19" s="16">
        <v>2</v>
      </c>
      <c r="D19" s="17" t="s">
        <v>231</v>
      </c>
      <c r="E19" s="18"/>
      <c r="F19" s="19"/>
    </row>
    <row r="20" spans="1:6" x14ac:dyDescent="0.25">
      <c r="A20" s="15"/>
      <c r="B20" s="15"/>
      <c r="C20" s="16"/>
      <c r="D20" s="17" t="s">
        <v>233</v>
      </c>
      <c r="E20" s="18"/>
      <c r="F20" s="19"/>
    </row>
    <row r="21" spans="1:6" x14ac:dyDescent="0.25">
      <c r="A21" s="15"/>
      <c r="B21" s="15"/>
      <c r="C21" s="16"/>
      <c r="D21" s="17" t="s">
        <v>279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18"/>
      <c r="F1017" s="19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ChkVernCorrlnError() R'!A1" display="'ChkVernCorrlnError() R'!A1"/>
    <hyperlink ref="A18" location="'ChkVernCorrlnError() P'!A1" display="'ChkVernCorrlnError() P'!A1"/>
    <hyperlink ref="A19" location="'ChkVernCorrlnError() M'!A1" display="'ChkVernCorrlnError() M'!A1"/>
  </hyperlink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Q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4.140625" bestFit="1" customWidth="1"/>
    <col min="4" max="4" width="5.7109375" bestFit="1" customWidth="1"/>
    <col min="5" max="5" width="4.140625" bestFit="1" customWidth="1"/>
    <col min="6" max="7" width="4" bestFit="1" customWidth="1"/>
    <col min="8" max="9" width="3.28515625" bestFit="1" customWidth="1"/>
    <col min="10" max="10" width="4" bestFit="1" customWidth="1"/>
    <col min="11" max="11" width="7.28515625" bestFit="1" customWidth="1"/>
    <col min="12" max="12" width="4.140625" bestFit="1" customWidth="1"/>
    <col min="13" max="14" width="7.2851562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279" t="s">
        <v>608</v>
      </c>
      <c r="B1" s="280"/>
      <c r="C1" s="45" t="s">
        <v>160</v>
      </c>
      <c r="D1" s="58" t="s">
        <v>159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43"/>
      <c r="P1" s="43"/>
      <c r="Q1" s="44"/>
    </row>
    <row r="2" spans="1:17" ht="60" customHeight="1" x14ac:dyDescent="0.25">
      <c r="A2" s="281" t="s">
        <v>99</v>
      </c>
      <c r="B2" s="282"/>
      <c r="C2" s="48" t="s">
        <v>169</v>
      </c>
      <c r="D2" s="48" t="s">
        <v>169</v>
      </c>
      <c r="E2" s="48" t="s">
        <v>169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60" t="s">
        <v>170</v>
      </c>
      <c r="L2" s="27" t="s">
        <v>151</v>
      </c>
      <c r="M2" s="28" t="s">
        <v>171</v>
      </c>
      <c r="N2" s="28" t="s">
        <v>153</v>
      </c>
      <c r="O2" s="29" t="s">
        <v>21</v>
      </c>
      <c r="P2" s="29" t="s">
        <v>156</v>
      </c>
      <c r="Q2" s="30" t="s">
        <v>158</v>
      </c>
    </row>
    <row r="3" spans="1:17" ht="153.75" x14ac:dyDescent="0.25">
      <c r="A3" s="31" t="s">
        <v>148</v>
      </c>
      <c r="B3" s="32" t="s">
        <v>149</v>
      </c>
      <c r="C3" s="59" t="s">
        <v>616</v>
      </c>
      <c r="D3" s="59" t="s">
        <v>610</v>
      </c>
      <c r="E3" s="59" t="s">
        <v>611</v>
      </c>
      <c r="F3" s="33" t="s">
        <v>132</v>
      </c>
      <c r="G3" s="33" t="s">
        <v>230</v>
      </c>
      <c r="H3" s="33" t="s">
        <v>231</v>
      </c>
      <c r="I3" s="33" t="s">
        <v>233</v>
      </c>
      <c r="J3" s="33" t="s">
        <v>279</v>
      </c>
      <c r="K3" s="34" t="s">
        <v>608</v>
      </c>
      <c r="L3" s="34" t="s">
        <v>279</v>
      </c>
      <c r="M3" s="35" t="s">
        <v>608</v>
      </c>
      <c r="N3" s="35" t="s">
        <v>279</v>
      </c>
      <c r="O3" s="29" t="s">
        <v>155</v>
      </c>
      <c r="P3" s="29" t="s">
        <v>157</v>
      </c>
      <c r="Q3" s="30"/>
    </row>
    <row r="4" spans="1:17" x14ac:dyDescent="0.25">
      <c r="A4" s="36">
        <v>1</v>
      </c>
      <c r="B4" s="46" t="s">
        <v>950</v>
      </c>
      <c r="C4" s="46">
        <v>1</v>
      </c>
      <c r="D4" s="46">
        <v>-1800</v>
      </c>
      <c r="E4" s="46">
        <v>0</v>
      </c>
      <c r="F4" s="46">
        <v>1</v>
      </c>
      <c r="G4" s="46">
        <v>0</v>
      </c>
      <c r="H4" s="46">
        <v>0</v>
      </c>
      <c r="I4" s="46">
        <v>0</v>
      </c>
      <c r="J4" s="46">
        <v>0</v>
      </c>
      <c r="K4" s="37" t="s">
        <v>159</v>
      </c>
      <c r="L4" s="37" t="s">
        <v>159</v>
      </c>
      <c r="M4" s="46">
        <v>0</v>
      </c>
      <c r="N4" s="46">
        <v>0</v>
      </c>
      <c r="O4" s="50" t="s">
        <v>159</v>
      </c>
      <c r="P4" s="37"/>
      <c r="Q4" s="38"/>
    </row>
    <row r="5" spans="1:17" ht="15.75" thickBot="1" x14ac:dyDescent="0.3">
      <c r="A5" s="39">
        <v>2</v>
      </c>
      <c r="B5" s="47" t="s">
        <v>951</v>
      </c>
      <c r="C5" s="47">
        <v>22</v>
      </c>
      <c r="D5" s="47">
        <v>1800</v>
      </c>
      <c r="E5" s="47">
        <v>1</v>
      </c>
      <c r="F5" s="47">
        <v>100</v>
      </c>
      <c r="G5" s="47">
        <v>100</v>
      </c>
      <c r="H5" s="47">
        <v>50</v>
      </c>
      <c r="I5" s="47">
        <v>50</v>
      </c>
      <c r="J5" s="47">
        <v>100</v>
      </c>
      <c r="K5" s="40" t="s">
        <v>159</v>
      </c>
      <c r="L5" s="40" t="s">
        <v>159</v>
      </c>
      <c r="M5" s="47">
        <v>1</v>
      </c>
      <c r="N5" s="47">
        <v>100</v>
      </c>
      <c r="O5" s="51" t="s">
        <v>159</v>
      </c>
      <c r="P5" s="40"/>
      <c r="Q5" s="41"/>
    </row>
    <row r="6" spans="1:1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</row>
    <row r="7" spans="1:17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</row>
    <row r="8" spans="1:17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</row>
    <row r="9" spans="1:17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</row>
    <row r="10" spans="1:17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</row>
    <row r="11" spans="1:17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</row>
    <row r="12" spans="1:17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</row>
    <row r="13" spans="1:17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</row>
    <row r="14" spans="1:17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</row>
    <row r="15" spans="1:17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</sheetData>
  <sheetProtection sheet="1" objects="1" scenarios="1"/>
  <mergeCells count="2">
    <mergeCell ref="A1:B1"/>
    <mergeCell ref="A2:B2"/>
  </mergeCells>
  <hyperlinks>
    <hyperlink ref="A1" location="'ChkVernCorrlnError'!A1" display="'ChkVernCorrlnError'!A1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Q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4.140625" bestFit="1" customWidth="1"/>
    <col min="4" max="4" width="5.7109375" bestFit="1" customWidth="1"/>
    <col min="5" max="5" width="4.140625" bestFit="1" customWidth="1"/>
    <col min="6" max="7" width="4" bestFit="1" customWidth="1"/>
    <col min="8" max="9" width="3.28515625" bestFit="1" customWidth="1"/>
    <col min="10" max="10" width="4" bestFit="1" customWidth="1"/>
    <col min="11" max="11" width="7.28515625" bestFit="1" customWidth="1"/>
    <col min="12" max="12" width="4.140625" bestFit="1" customWidth="1"/>
    <col min="13" max="14" width="7.2851562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279" t="s">
        <v>608</v>
      </c>
      <c r="B1" s="280"/>
      <c r="C1" s="45" t="s">
        <v>160</v>
      </c>
      <c r="D1" s="58" t="s">
        <v>159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43"/>
      <c r="P1" s="43"/>
      <c r="Q1" s="44"/>
    </row>
    <row r="2" spans="1:17" ht="60" customHeight="1" x14ac:dyDescent="0.25">
      <c r="A2" s="281" t="s">
        <v>193</v>
      </c>
      <c r="B2" s="282"/>
      <c r="C2" s="48" t="s">
        <v>169</v>
      </c>
      <c r="D2" s="48" t="s">
        <v>169</v>
      </c>
      <c r="E2" s="48" t="s">
        <v>169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60" t="s">
        <v>170</v>
      </c>
      <c r="L2" s="27" t="s">
        <v>151</v>
      </c>
      <c r="M2" s="28" t="s">
        <v>171</v>
      </c>
      <c r="N2" s="28" t="s">
        <v>153</v>
      </c>
      <c r="O2" s="29" t="s">
        <v>21</v>
      </c>
      <c r="P2" s="29" t="s">
        <v>156</v>
      </c>
      <c r="Q2" s="30" t="s">
        <v>158</v>
      </c>
    </row>
    <row r="3" spans="1:17" ht="153.75" x14ac:dyDescent="0.25">
      <c r="A3" s="31" t="s">
        <v>148</v>
      </c>
      <c r="B3" s="32" t="s">
        <v>149</v>
      </c>
      <c r="C3" s="59" t="s">
        <v>616</v>
      </c>
      <c r="D3" s="59" t="s">
        <v>610</v>
      </c>
      <c r="E3" s="59" t="s">
        <v>611</v>
      </c>
      <c r="F3" s="33" t="s">
        <v>132</v>
      </c>
      <c r="G3" s="33" t="s">
        <v>230</v>
      </c>
      <c r="H3" s="33" t="s">
        <v>231</v>
      </c>
      <c r="I3" s="33" t="s">
        <v>233</v>
      </c>
      <c r="J3" s="33" t="s">
        <v>279</v>
      </c>
      <c r="K3" s="34" t="s">
        <v>608</v>
      </c>
      <c r="L3" s="34" t="s">
        <v>279</v>
      </c>
      <c r="M3" s="35" t="s">
        <v>608</v>
      </c>
      <c r="N3" s="35" t="s">
        <v>279</v>
      </c>
      <c r="O3" s="29" t="s">
        <v>155</v>
      </c>
      <c r="P3" s="29" t="s">
        <v>157</v>
      </c>
      <c r="Q3" s="30"/>
    </row>
    <row r="4" spans="1:17" x14ac:dyDescent="0.25">
      <c r="A4" s="36">
        <v>1</v>
      </c>
      <c r="B4" s="46" t="s">
        <v>948</v>
      </c>
      <c r="C4" s="46">
        <v>1</v>
      </c>
      <c r="D4" s="46">
        <v>-1800</v>
      </c>
      <c r="E4" s="46">
        <v>0</v>
      </c>
      <c r="F4" s="46">
        <v>1</v>
      </c>
      <c r="G4" s="46">
        <v>0</v>
      </c>
      <c r="H4" s="46">
        <v>0</v>
      </c>
      <c r="I4" s="46">
        <v>0</v>
      </c>
      <c r="J4" s="46">
        <v>0</v>
      </c>
      <c r="K4" s="37" t="s">
        <v>159</v>
      </c>
      <c r="L4" s="37" t="s">
        <v>159</v>
      </c>
      <c r="M4" s="46">
        <v>0</v>
      </c>
      <c r="N4" s="46">
        <v>0</v>
      </c>
      <c r="O4" s="50" t="s">
        <v>159</v>
      </c>
      <c r="P4" s="37"/>
      <c r="Q4" s="38"/>
    </row>
    <row r="5" spans="1:17" ht="15.75" thickBot="1" x14ac:dyDescent="0.3">
      <c r="A5" s="39">
        <v>2</v>
      </c>
      <c r="B5" s="47" t="s">
        <v>949</v>
      </c>
      <c r="C5" s="47">
        <v>22</v>
      </c>
      <c r="D5" s="47">
        <v>1800</v>
      </c>
      <c r="E5" s="47">
        <v>1</v>
      </c>
      <c r="F5" s="47">
        <v>100</v>
      </c>
      <c r="G5" s="47">
        <v>100</v>
      </c>
      <c r="H5" s="47">
        <v>50</v>
      </c>
      <c r="I5" s="47">
        <v>50</v>
      </c>
      <c r="J5" s="47">
        <v>100</v>
      </c>
      <c r="K5" s="40" t="s">
        <v>159</v>
      </c>
      <c r="L5" s="40" t="s">
        <v>159</v>
      </c>
      <c r="M5" s="47">
        <v>1</v>
      </c>
      <c r="N5" s="47">
        <v>100</v>
      </c>
      <c r="O5" s="51" t="s">
        <v>159</v>
      </c>
      <c r="P5" s="40"/>
      <c r="Q5" s="41"/>
    </row>
    <row r="6" spans="1:1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</row>
    <row r="7" spans="1:17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</row>
    <row r="8" spans="1:17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</row>
    <row r="9" spans="1:17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</row>
    <row r="10" spans="1:17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</row>
    <row r="11" spans="1:17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</row>
    <row r="12" spans="1:17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</row>
    <row r="13" spans="1:17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</row>
    <row r="14" spans="1:17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</row>
    <row r="15" spans="1:17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</sheetData>
  <sheetProtection sheet="1" objects="1" scenarios="1"/>
  <mergeCells count="2">
    <mergeCell ref="A1:B1"/>
    <mergeCell ref="A2:B2"/>
  </mergeCells>
  <hyperlinks>
    <hyperlink ref="A1" location="'ChkVernCorrlnError'!A1" display="'ChkVernCorrlnError'!A1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Q4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0.85546875" bestFit="1" customWidth="1"/>
    <col min="3" max="3" width="4.140625" bestFit="1" customWidth="1"/>
    <col min="4" max="4" width="8.7109375" bestFit="1" customWidth="1"/>
    <col min="5" max="5" width="4.140625" bestFit="1" customWidth="1"/>
    <col min="6" max="6" width="8" bestFit="1" customWidth="1"/>
    <col min="7" max="7" width="4" bestFit="1" customWidth="1"/>
    <col min="8" max="9" width="3.28515625" bestFit="1" customWidth="1"/>
    <col min="10" max="10" width="4" bestFit="1" customWidth="1"/>
    <col min="11" max="11" width="7.28515625" bestFit="1" customWidth="1"/>
    <col min="12" max="12" width="4.140625" bestFit="1" customWidth="1"/>
    <col min="13" max="14" width="7.2851562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279" t="s">
        <v>608</v>
      </c>
      <c r="B1" s="280"/>
      <c r="C1" s="45" t="s">
        <v>160</v>
      </c>
      <c r="D1" s="58" t="s">
        <v>159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43"/>
      <c r="P1" s="43"/>
      <c r="Q1" s="44"/>
    </row>
    <row r="2" spans="1:17" ht="60" customHeight="1" x14ac:dyDescent="0.25">
      <c r="A2" s="281" t="s">
        <v>147</v>
      </c>
      <c r="B2" s="282"/>
      <c r="C2" s="48" t="s">
        <v>169</v>
      </c>
      <c r="D2" s="48" t="s">
        <v>169</v>
      </c>
      <c r="E2" s="48" t="s">
        <v>169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60" t="s">
        <v>170</v>
      </c>
      <c r="L2" s="27" t="s">
        <v>151</v>
      </c>
      <c r="M2" s="28" t="s">
        <v>171</v>
      </c>
      <c r="N2" s="28" t="s">
        <v>153</v>
      </c>
      <c r="O2" s="29" t="s">
        <v>21</v>
      </c>
      <c r="P2" s="29" t="s">
        <v>156</v>
      </c>
      <c r="Q2" s="30" t="s">
        <v>158</v>
      </c>
    </row>
    <row r="3" spans="1:17" ht="153.75" x14ac:dyDescent="0.25">
      <c r="A3" s="31" t="s">
        <v>148</v>
      </c>
      <c r="B3" s="32" t="s">
        <v>149</v>
      </c>
      <c r="C3" s="59" t="s">
        <v>616</v>
      </c>
      <c r="D3" s="59" t="s">
        <v>610</v>
      </c>
      <c r="E3" s="59" t="s">
        <v>611</v>
      </c>
      <c r="F3" s="33" t="s">
        <v>132</v>
      </c>
      <c r="G3" s="33" t="s">
        <v>230</v>
      </c>
      <c r="H3" s="33" t="s">
        <v>231</v>
      </c>
      <c r="I3" s="33" t="s">
        <v>233</v>
      </c>
      <c r="J3" s="33" t="s">
        <v>279</v>
      </c>
      <c r="K3" s="34" t="s">
        <v>608</v>
      </c>
      <c r="L3" s="34" t="s">
        <v>279</v>
      </c>
      <c r="M3" s="35" t="s">
        <v>608</v>
      </c>
      <c r="N3" s="35" t="s">
        <v>279</v>
      </c>
      <c r="O3" s="29" t="s">
        <v>155</v>
      </c>
      <c r="P3" s="29" t="s">
        <v>157</v>
      </c>
      <c r="Q3" s="30"/>
    </row>
    <row r="4" spans="1:17" x14ac:dyDescent="0.25">
      <c r="A4" s="36">
        <v>1</v>
      </c>
      <c r="B4" s="46" t="s">
        <v>161</v>
      </c>
      <c r="C4" s="56">
        <v>1</v>
      </c>
      <c r="D4" s="56">
        <v>-1800</v>
      </c>
      <c r="E4" s="56">
        <v>0</v>
      </c>
      <c r="F4" s="56">
        <v>1</v>
      </c>
      <c r="G4" s="56">
        <v>0</v>
      </c>
      <c r="H4" s="56">
        <v>0</v>
      </c>
      <c r="I4" s="56">
        <v>0</v>
      </c>
      <c r="J4" s="56">
        <v>0</v>
      </c>
      <c r="K4" s="37" t="s">
        <v>159</v>
      </c>
      <c r="L4" s="37" t="s">
        <v>159</v>
      </c>
      <c r="M4" s="46">
        <v>0</v>
      </c>
      <c r="N4" s="46">
        <v>0</v>
      </c>
      <c r="O4" s="50" t="s">
        <v>159</v>
      </c>
      <c r="P4" s="37"/>
      <c r="Q4" s="38"/>
    </row>
    <row r="5" spans="1:17" x14ac:dyDescent="0.25">
      <c r="A5" s="36">
        <v>2</v>
      </c>
      <c r="B5" s="46" t="s">
        <v>162</v>
      </c>
      <c r="C5" s="56">
        <v>22</v>
      </c>
      <c r="D5" s="56">
        <v>1800</v>
      </c>
      <c r="E5" s="56">
        <v>1</v>
      </c>
      <c r="F5" s="56">
        <v>100</v>
      </c>
      <c r="G5" s="56">
        <v>100</v>
      </c>
      <c r="H5" s="56">
        <v>50</v>
      </c>
      <c r="I5" s="56">
        <v>50</v>
      </c>
      <c r="J5" s="56">
        <v>100</v>
      </c>
      <c r="K5" s="37" t="s">
        <v>159</v>
      </c>
      <c r="L5" s="37" t="s">
        <v>159</v>
      </c>
      <c r="M5" s="46">
        <v>1</v>
      </c>
      <c r="N5" s="46">
        <v>100</v>
      </c>
      <c r="O5" s="50" t="s">
        <v>159</v>
      </c>
      <c r="P5" s="37"/>
      <c r="Q5" s="38"/>
    </row>
    <row r="6" spans="1:17" x14ac:dyDescent="0.25">
      <c r="A6" s="36">
        <v>3</v>
      </c>
      <c r="B6" s="46" t="s">
        <v>631</v>
      </c>
      <c r="C6" s="56">
        <v>1</v>
      </c>
      <c r="D6" s="46">
        <v>1200.4000000000001</v>
      </c>
      <c r="E6" s="46">
        <v>0</v>
      </c>
      <c r="F6" s="46">
        <v>4.8</v>
      </c>
      <c r="G6" s="46">
        <v>20</v>
      </c>
      <c r="H6" s="46">
        <v>4</v>
      </c>
      <c r="I6" s="46">
        <v>16</v>
      </c>
      <c r="J6" s="46">
        <v>20</v>
      </c>
      <c r="K6" s="37" t="s">
        <v>159</v>
      </c>
      <c r="L6" s="37" t="s">
        <v>159</v>
      </c>
      <c r="M6" s="46">
        <v>0</v>
      </c>
      <c r="N6" s="46">
        <v>4</v>
      </c>
      <c r="O6" s="50" t="s">
        <v>159</v>
      </c>
      <c r="P6" s="37"/>
      <c r="Q6" s="38"/>
    </row>
    <row r="7" spans="1:17" x14ac:dyDescent="0.25">
      <c r="A7" s="36">
        <v>4</v>
      </c>
      <c r="B7" s="46" t="s">
        <v>632</v>
      </c>
      <c r="C7" s="56">
        <v>22</v>
      </c>
      <c r="D7" s="46">
        <v>-444.1</v>
      </c>
      <c r="E7" s="46">
        <v>1</v>
      </c>
      <c r="F7" s="46">
        <v>79.521199999999993</v>
      </c>
      <c r="G7" s="46">
        <v>24</v>
      </c>
      <c r="H7" s="46">
        <v>3</v>
      </c>
      <c r="I7" s="46">
        <v>4</v>
      </c>
      <c r="J7" s="46">
        <v>87</v>
      </c>
      <c r="K7" s="37" t="s">
        <v>159</v>
      </c>
      <c r="L7" s="37" t="s">
        <v>159</v>
      </c>
      <c r="M7" s="46">
        <v>1</v>
      </c>
      <c r="N7" s="46">
        <v>24</v>
      </c>
      <c r="O7" s="50" t="s">
        <v>159</v>
      </c>
      <c r="P7" s="37"/>
      <c r="Q7" s="38"/>
    </row>
    <row r="8" spans="1:17" x14ac:dyDescent="0.25">
      <c r="A8" s="36">
        <v>5</v>
      </c>
      <c r="B8" s="46" t="s">
        <v>633</v>
      </c>
      <c r="C8" s="56">
        <v>11</v>
      </c>
      <c r="D8" s="46">
        <v>-5</v>
      </c>
      <c r="E8" s="46">
        <v>0</v>
      </c>
      <c r="F8" s="46">
        <v>38.890300000000003</v>
      </c>
      <c r="G8" s="46">
        <v>98</v>
      </c>
      <c r="H8" s="46">
        <v>5</v>
      </c>
      <c r="I8" s="46">
        <v>30</v>
      </c>
      <c r="J8" s="46">
        <v>59</v>
      </c>
      <c r="K8" s="37" t="s">
        <v>159</v>
      </c>
      <c r="L8" s="37" t="s">
        <v>159</v>
      </c>
      <c r="M8" s="46">
        <v>0</v>
      </c>
      <c r="N8" s="46">
        <v>29</v>
      </c>
      <c r="O8" s="50" t="s">
        <v>159</v>
      </c>
      <c r="P8" s="37"/>
      <c r="Q8" s="38"/>
    </row>
    <row r="9" spans="1:17" x14ac:dyDescent="0.25">
      <c r="A9" s="36">
        <v>6</v>
      </c>
      <c r="B9" s="46" t="s">
        <v>634</v>
      </c>
      <c r="C9" s="46">
        <v>2</v>
      </c>
      <c r="D9" s="56">
        <v>-1800</v>
      </c>
      <c r="E9" s="46">
        <v>1</v>
      </c>
      <c r="F9" s="46">
        <v>29.9665</v>
      </c>
      <c r="G9" s="46">
        <v>6</v>
      </c>
      <c r="H9" s="46">
        <v>16</v>
      </c>
      <c r="I9" s="46">
        <v>8</v>
      </c>
      <c r="J9" s="46">
        <v>76</v>
      </c>
      <c r="K9" s="37" t="s">
        <v>159</v>
      </c>
      <c r="L9" s="37" t="s">
        <v>159</v>
      </c>
      <c r="M9" s="46">
        <v>1</v>
      </c>
      <c r="N9" s="46">
        <v>6</v>
      </c>
      <c r="O9" s="50" t="s">
        <v>159</v>
      </c>
      <c r="P9" s="37"/>
      <c r="Q9" s="38"/>
    </row>
    <row r="10" spans="1:17" x14ac:dyDescent="0.25">
      <c r="A10" s="36">
        <v>7</v>
      </c>
      <c r="B10" s="46" t="s">
        <v>635</v>
      </c>
      <c r="C10" s="46">
        <v>4</v>
      </c>
      <c r="D10" s="56">
        <v>1800</v>
      </c>
      <c r="E10" s="46">
        <v>0</v>
      </c>
      <c r="F10" s="46">
        <v>92.937700000000007</v>
      </c>
      <c r="G10" s="46">
        <v>39</v>
      </c>
      <c r="H10" s="46">
        <v>6</v>
      </c>
      <c r="I10" s="46">
        <v>47</v>
      </c>
      <c r="J10" s="46">
        <v>93</v>
      </c>
      <c r="K10" s="37" t="s">
        <v>159</v>
      </c>
      <c r="L10" s="37" t="s">
        <v>159</v>
      </c>
      <c r="M10" s="46">
        <v>0</v>
      </c>
      <c r="N10" s="46">
        <v>46</v>
      </c>
      <c r="O10" s="50" t="s">
        <v>159</v>
      </c>
      <c r="P10" s="37"/>
      <c r="Q10" s="38"/>
    </row>
    <row r="11" spans="1:17" x14ac:dyDescent="0.25">
      <c r="A11" s="36">
        <v>8</v>
      </c>
      <c r="B11" s="46" t="s">
        <v>651</v>
      </c>
      <c r="C11" s="46">
        <v>6</v>
      </c>
      <c r="D11" s="56">
        <v>0</v>
      </c>
      <c r="E11" s="46">
        <v>1</v>
      </c>
      <c r="F11" s="46">
        <v>64.174199999999999</v>
      </c>
      <c r="G11" s="46">
        <v>36</v>
      </c>
      <c r="H11" s="46">
        <v>0</v>
      </c>
      <c r="I11" s="46">
        <v>4</v>
      </c>
      <c r="J11" s="46">
        <v>33</v>
      </c>
      <c r="K11" s="37" t="s">
        <v>159</v>
      </c>
      <c r="L11" s="37" t="s">
        <v>159</v>
      </c>
      <c r="M11" s="46">
        <v>0</v>
      </c>
      <c r="N11" s="46">
        <v>29</v>
      </c>
      <c r="O11" s="50" t="s">
        <v>159</v>
      </c>
      <c r="P11" s="37"/>
      <c r="Q11" s="38"/>
    </row>
    <row r="12" spans="1:17" x14ac:dyDescent="0.25">
      <c r="A12" s="36">
        <v>9</v>
      </c>
      <c r="B12" s="46" t="s">
        <v>652</v>
      </c>
      <c r="C12" s="46">
        <v>8</v>
      </c>
      <c r="D12" s="56">
        <v>-212.4</v>
      </c>
      <c r="E12" s="46">
        <v>0</v>
      </c>
      <c r="F12" s="46">
        <v>63.764200000000002</v>
      </c>
      <c r="G12" s="46">
        <v>49</v>
      </c>
      <c r="H12" s="46">
        <v>27</v>
      </c>
      <c r="I12" s="46">
        <v>22</v>
      </c>
      <c r="J12" s="46">
        <v>54</v>
      </c>
      <c r="K12" s="37" t="s">
        <v>159</v>
      </c>
      <c r="L12" s="37" t="s">
        <v>159</v>
      </c>
      <c r="M12" s="46">
        <v>0</v>
      </c>
      <c r="N12" s="46">
        <v>32</v>
      </c>
      <c r="O12" s="50" t="s">
        <v>159</v>
      </c>
      <c r="P12" s="37"/>
      <c r="Q12" s="38"/>
    </row>
    <row r="13" spans="1:17" x14ac:dyDescent="0.25">
      <c r="A13" s="36">
        <v>10</v>
      </c>
      <c r="B13" s="46" t="s">
        <v>636</v>
      </c>
      <c r="C13" s="46">
        <v>10</v>
      </c>
      <c r="D13" s="56">
        <v>402.5</v>
      </c>
      <c r="E13" s="46">
        <v>1</v>
      </c>
      <c r="F13" s="46">
        <v>43.845599999999997</v>
      </c>
      <c r="G13" s="46">
        <v>15</v>
      </c>
      <c r="H13" s="46">
        <v>33</v>
      </c>
      <c r="I13" s="46">
        <v>13</v>
      </c>
      <c r="J13" s="46">
        <v>8</v>
      </c>
      <c r="K13" s="37" t="s">
        <v>159</v>
      </c>
      <c r="L13" s="37" t="s">
        <v>159</v>
      </c>
      <c r="M13" s="46">
        <v>1</v>
      </c>
      <c r="N13" s="46">
        <v>15</v>
      </c>
      <c r="O13" s="50" t="s">
        <v>159</v>
      </c>
      <c r="P13" s="37"/>
      <c r="Q13" s="38"/>
    </row>
    <row r="14" spans="1:17" x14ac:dyDescent="0.25">
      <c r="A14" s="36">
        <v>11</v>
      </c>
      <c r="B14" s="46" t="s">
        <v>637</v>
      </c>
      <c r="C14" s="46">
        <v>12</v>
      </c>
      <c r="D14" s="46">
        <v>-1705.4</v>
      </c>
      <c r="E14" s="56">
        <v>0</v>
      </c>
      <c r="F14" s="46">
        <v>10.7974</v>
      </c>
      <c r="G14" s="46">
        <v>47</v>
      </c>
      <c r="H14" s="46">
        <v>27</v>
      </c>
      <c r="I14" s="46">
        <v>44</v>
      </c>
      <c r="J14" s="46">
        <v>64</v>
      </c>
      <c r="K14" s="37" t="s">
        <v>159</v>
      </c>
      <c r="L14" s="37" t="s">
        <v>159</v>
      </c>
      <c r="M14" s="46">
        <v>0</v>
      </c>
      <c r="N14" s="46">
        <v>20</v>
      </c>
      <c r="O14" s="50" t="s">
        <v>159</v>
      </c>
      <c r="P14" s="37"/>
      <c r="Q14" s="38"/>
    </row>
    <row r="15" spans="1:17" x14ac:dyDescent="0.25">
      <c r="A15" s="36">
        <v>12</v>
      </c>
      <c r="B15" s="46" t="s">
        <v>638</v>
      </c>
      <c r="C15" s="46">
        <v>14</v>
      </c>
      <c r="D15" s="46">
        <v>-1500.12</v>
      </c>
      <c r="E15" s="56">
        <v>1</v>
      </c>
      <c r="F15" s="46">
        <v>57.103999999999999</v>
      </c>
      <c r="G15" s="46">
        <v>25</v>
      </c>
      <c r="H15" s="46">
        <v>42</v>
      </c>
      <c r="I15" s="46">
        <v>38</v>
      </c>
      <c r="J15" s="46">
        <v>41</v>
      </c>
      <c r="K15" s="37" t="s">
        <v>159</v>
      </c>
      <c r="L15" s="37" t="s">
        <v>159</v>
      </c>
      <c r="M15" s="46">
        <v>1</v>
      </c>
      <c r="N15" s="46">
        <v>25</v>
      </c>
      <c r="O15" s="50" t="s">
        <v>159</v>
      </c>
      <c r="P15" s="37"/>
      <c r="Q15" s="38"/>
    </row>
    <row r="16" spans="1:17" x14ac:dyDescent="0.25">
      <c r="A16" s="36">
        <v>13</v>
      </c>
      <c r="B16" s="46" t="s">
        <v>639</v>
      </c>
      <c r="C16" s="46">
        <v>16</v>
      </c>
      <c r="D16" s="46">
        <v>-1294.8399999999999</v>
      </c>
      <c r="E16" s="46">
        <v>0</v>
      </c>
      <c r="F16" s="56">
        <v>1</v>
      </c>
      <c r="G16" s="46">
        <v>63</v>
      </c>
      <c r="H16" s="46">
        <v>4</v>
      </c>
      <c r="I16" s="46">
        <v>13</v>
      </c>
      <c r="J16" s="46">
        <v>97</v>
      </c>
      <c r="K16" s="37" t="s">
        <v>159</v>
      </c>
      <c r="L16" s="37" t="s">
        <v>159</v>
      </c>
      <c r="M16" s="46">
        <v>0</v>
      </c>
      <c r="N16" s="46">
        <v>84</v>
      </c>
      <c r="O16" s="50" t="s">
        <v>159</v>
      </c>
      <c r="P16" s="37"/>
      <c r="Q16" s="38"/>
    </row>
    <row r="17" spans="1:17" x14ac:dyDescent="0.25">
      <c r="A17" s="36">
        <v>14</v>
      </c>
      <c r="B17" s="46" t="s">
        <v>640</v>
      </c>
      <c r="C17" s="46">
        <v>18</v>
      </c>
      <c r="D17" s="46">
        <v>-1089.56</v>
      </c>
      <c r="E17" s="46">
        <v>1</v>
      </c>
      <c r="F17" s="56">
        <v>100</v>
      </c>
      <c r="G17" s="46">
        <v>54</v>
      </c>
      <c r="H17" s="46">
        <v>9</v>
      </c>
      <c r="I17" s="46">
        <v>34</v>
      </c>
      <c r="J17" s="46">
        <v>11</v>
      </c>
      <c r="K17" s="37" t="s">
        <v>159</v>
      </c>
      <c r="L17" s="37" t="s">
        <v>159</v>
      </c>
      <c r="M17" s="46">
        <v>0</v>
      </c>
      <c r="N17" s="46">
        <v>20</v>
      </c>
      <c r="O17" s="50" t="s">
        <v>159</v>
      </c>
      <c r="P17" s="37"/>
      <c r="Q17" s="38"/>
    </row>
    <row r="18" spans="1:17" x14ac:dyDescent="0.25">
      <c r="A18" s="36">
        <v>15</v>
      </c>
      <c r="B18" s="46" t="s">
        <v>641</v>
      </c>
      <c r="C18" s="46">
        <v>20</v>
      </c>
      <c r="D18" s="46">
        <v>-884.27999999999895</v>
      </c>
      <c r="E18" s="46">
        <v>0</v>
      </c>
      <c r="F18" s="56">
        <v>4.8</v>
      </c>
      <c r="G18" s="46">
        <v>15</v>
      </c>
      <c r="H18" s="46">
        <v>34</v>
      </c>
      <c r="I18" s="46">
        <v>13</v>
      </c>
      <c r="J18" s="46">
        <v>93</v>
      </c>
      <c r="K18" s="37" t="s">
        <v>159</v>
      </c>
      <c r="L18" s="37" t="s">
        <v>159</v>
      </c>
      <c r="M18" s="46">
        <v>0</v>
      </c>
      <c r="N18" s="46">
        <v>80</v>
      </c>
      <c r="O18" s="50" t="s">
        <v>159</v>
      </c>
      <c r="P18" s="37"/>
      <c r="Q18" s="38"/>
    </row>
    <row r="19" spans="1:17" x14ac:dyDescent="0.25">
      <c r="A19" s="36">
        <v>16</v>
      </c>
      <c r="B19" s="46" t="s">
        <v>642</v>
      </c>
      <c r="C19" s="46">
        <v>3</v>
      </c>
      <c r="D19" s="46">
        <v>-679</v>
      </c>
      <c r="E19" s="46">
        <v>1</v>
      </c>
      <c r="F19" s="46">
        <v>55.336100000000002</v>
      </c>
      <c r="G19" s="56">
        <v>0</v>
      </c>
      <c r="H19" s="46">
        <v>23</v>
      </c>
      <c r="I19" s="46">
        <v>4</v>
      </c>
      <c r="J19" s="46">
        <v>62</v>
      </c>
      <c r="K19" s="37" t="s">
        <v>159</v>
      </c>
      <c r="L19" s="37" t="s">
        <v>159</v>
      </c>
      <c r="M19" s="46">
        <v>1</v>
      </c>
      <c r="N19" s="46">
        <v>0</v>
      </c>
      <c r="O19" s="50" t="s">
        <v>159</v>
      </c>
      <c r="P19" s="37"/>
      <c r="Q19" s="38"/>
    </row>
    <row r="20" spans="1:17" x14ac:dyDescent="0.25">
      <c r="A20" s="36">
        <v>17</v>
      </c>
      <c r="B20" s="46" t="s">
        <v>643</v>
      </c>
      <c r="C20" s="46">
        <v>7</v>
      </c>
      <c r="D20" s="46">
        <v>-473.72</v>
      </c>
      <c r="E20" s="46">
        <v>0</v>
      </c>
      <c r="F20" s="46">
        <v>92.616399999999999</v>
      </c>
      <c r="G20" s="56">
        <v>100</v>
      </c>
      <c r="H20" s="46">
        <v>18</v>
      </c>
      <c r="I20" s="46">
        <v>1</v>
      </c>
      <c r="J20" s="46">
        <v>35</v>
      </c>
      <c r="K20" s="37" t="s">
        <v>159</v>
      </c>
      <c r="L20" s="37" t="s">
        <v>159</v>
      </c>
      <c r="M20" s="46">
        <v>0</v>
      </c>
      <c r="N20" s="46">
        <v>34</v>
      </c>
      <c r="O20" s="50" t="s">
        <v>159</v>
      </c>
      <c r="P20" s="37"/>
      <c r="Q20" s="38"/>
    </row>
    <row r="21" spans="1:17" x14ac:dyDescent="0.25">
      <c r="A21" s="36">
        <v>18</v>
      </c>
      <c r="B21" s="46" t="s">
        <v>653</v>
      </c>
      <c r="C21" s="46">
        <v>11</v>
      </c>
      <c r="D21" s="46">
        <v>-268.44</v>
      </c>
      <c r="E21" s="46">
        <v>1</v>
      </c>
      <c r="F21" s="46">
        <v>44.0261</v>
      </c>
      <c r="G21" s="56">
        <v>20</v>
      </c>
      <c r="H21" s="46">
        <v>7</v>
      </c>
      <c r="I21" s="46">
        <v>16</v>
      </c>
      <c r="J21" s="46">
        <v>15</v>
      </c>
      <c r="K21" s="37" t="s">
        <v>159</v>
      </c>
      <c r="L21" s="37" t="s">
        <v>159</v>
      </c>
      <c r="M21" s="46">
        <v>1</v>
      </c>
      <c r="N21" s="46">
        <v>20</v>
      </c>
      <c r="O21" s="50" t="s">
        <v>159</v>
      </c>
      <c r="P21" s="37"/>
      <c r="Q21" s="38"/>
    </row>
    <row r="22" spans="1:17" x14ac:dyDescent="0.25">
      <c r="A22" s="36">
        <v>19</v>
      </c>
      <c r="B22" s="46" t="s">
        <v>644</v>
      </c>
      <c r="C22" s="46">
        <v>15</v>
      </c>
      <c r="D22" s="46">
        <v>-63.160000000000103</v>
      </c>
      <c r="E22" s="46">
        <v>0</v>
      </c>
      <c r="F22" s="46">
        <v>68.794799999999995</v>
      </c>
      <c r="G22" s="46">
        <v>10</v>
      </c>
      <c r="H22" s="56">
        <v>0</v>
      </c>
      <c r="I22" s="46">
        <v>40</v>
      </c>
      <c r="J22" s="46">
        <v>48</v>
      </c>
      <c r="K22" s="37" t="s">
        <v>159</v>
      </c>
      <c r="L22" s="37" t="s">
        <v>159</v>
      </c>
      <c r="M22" s="46">
        <v>0</v>
      </c>
      <c r="N22" s="46">
        <v>8</v>
      </c>
      <c r="O22" s="50" t="s">
        <v>159</v>
      </c>
      <c r="P22" s="37"/>
      <c r="Q22" s="38"/>
    </row>
    <row r="23" spans="1:17" x14ac:dyDescent="0.25">
      <c r="A23" s="36">
        <v>20</v>
      </c>
      <c r="B23" s="46" t="s">
        <v>645</v>
      </c>
      <c r="C23" s="46">
        <v>19</v>
      </c>
      <c r="D23" s="46">
        <v>142.12</v>
      </c>
      <c r="E23" s="46">
        <v>1</v>
      </c>
      <c r="F23" s="46">
        <v>51.245399999999997</v>
      </c>
      <c r="G23" s="46">
        <v>79</v>
      </c>
      <c r="H23" s="56">
        <v>50</v>
      </c>
      <c r="I23" s="63">
        <v>15</v>
      </c>
      <c r="J23" s="63">
        <v>22</v>
      </c>
      <c r="K23" s="37" t="s">
        <v>159</v>
      </c>
      <c r="L23" s="37" t="s">
        <v>159</v>
      </c>
      <c r="M23" s="46">
        <v>0</v>
      </c>
      <c r="N23" s="46">
        <v>72</v>
      </c>
      <c r="O23" s="50" t="s">
        <v>159</v>
      </c>
      <c r="P23" s="37"/>
      <c r="Q23" s="38"/>
    </row>
    <row r="24" spans="1:17" x14ac:dyDescent="0.25">
      <c r="A24" s="36">
        <v>21</v>
      </c>
      <c r="B24" s="46" t="s">
        <v>654</v>
      </c>
      <c r="C24" s="46">
        <v>5</v>
      </c>
      <c r="D24" s="46">
        <v>347.4</v>
      </c>
      <c r="E24" s="46">
        <v>0</v>
      </c>
      <c r="F24" s="46">
        <v>52.373699999999999</v>
      </c>
      <c r="G24" s="46">
        <v>46</v>
      </c>
      <c r="H24" s="56">
        <v>4</v>
      </c>
      <c r="I24" s="63">
        <v>0</v>
      </c>
      <c r="J24" s="63">
        <v>100</v>
      </c>
      <c r="K24" s="37" t="s">
        <v>159</v>
      </c>
      <c r="L24" s="37" t="s">
        <v>159</v>
      </c>
      <c r="M24" s="46">
        <v>0</v>
      </c>
      <c r="N24" s="46">
        <v>100</v>
      </c>
      <c r="O24" s="50" t="s">
        <v>159</v>
      </c>
      <c r="P24" s="37"/>
      <c r="Q24" s="38"/>
    </row>
    <row r="25" spans="1:17" x14ac:dyDescent="0.25">
      <c r="A25" s="36">
        <v>22</v>
      </c>
      <c r="B25" s="46" t="s">
        <v>646</v>
      </c>
      <c r="C25" s="46">
        <v>10</v>
      </c>
      <c r="D25" s="46">
        <v>552.67999999999995</v>
      </c>
      <c r="E25" s="46">
        <v>1</v>
      </c>
      <c r="F25" s="46">
        <v>47.298000000000002</v>
      </c>
      <c r="G25" s="46">
        <v>76</v>
      </c>
      <c r="H25" s="46">
        <v>38</v>
      </c>
      <c r="I25" s="56">
        <v>0</v>
      </c>
      <c r="J25" s="46">
        <v>13</v>
      </c>
      <c r="K25" s="37" t="s">
        <v>159</v>
      </c>
      <c r="L25" s="37" t="s">
        <v>159</v>
      </c>
      <c r="M25" s="46">
        <v>0</v>
      </c>
      <c r="N25" s="46">
        <v>51</v>
      </c>
      <c r="O25" s="50" t="s">
        <v>159</v>
      </c>
      <c r="P25" s="37"/>
      <c r="Q25" s="38"/>
    </row>
    <row r="26" spans="1:17" x14ac:dyDescent="0.25">
      <c r="A26" s="36">
        <v>23</v>
      </c>
      <c r="B26" s="46" t="s">
        <v>647</v>
      </c>
      <c r="C26" s="46">
        <v>15</v>
      </c>
      <c r="D26" s="46">
        <v>757.96</v>
      </c>
      <c r="E26" s="46">
        <v>0</v>
      </c>
      <c r="F26" s="46">
        <v>36.347299999999997</v>
      </c>
      <c r="G26" s="46">
        <v>60</v>
      </c>
      <c r="H26" s="46">
        <v>20</v>
      </c>
      <c r="I26" s="56">
        <v>50</v>
      </c>
      <c r="J26" s="46">
        <v>2</v>
      </c>
      <c r="K26" s="37" t="s">
        <v>159</v>
      </c>
      <c r="L26" s="37" t="s">
        <v>159</v>
      </c>
      <c r="M26" s="46">
        <v>0</v>
      </c>
      <c r="N26" s="46">
        <v>0</v>
      </c>
      <c r="O26" s="50" t="s">
        <v>159</v>
      </c>
      <c r="P26" s="37"/>
      <c r="Q26" s="38"/>
    </row>
    <row r="27" spans="1:17" x14ac:dyDescent="0.25">
      <c r="A27" s="36">
        <v>24</v>
      </c>
      <c r="B27" s="46" t="s">
        <v>655</v>
      </c>
      <c r="C27" s="46">
        <v>20</v>
      </c>
      <c r="D27" s="46">
        <v>963.24</v>
      </c>
      <c r="E27" s="46">
        <v>1</v>
      </c>
      <c r="F27" s="46">
        <v>41.483400000000003</v>
      </c>
      <c r="G27" s="46">
        <v>84</v>
      </c>
      <c r="H27" s="46">
        <v>23</v>
      </c>
      <c r="I27" s="56">
        <v>1</v>
      </c>
      <c r="J27" s="46">
        <v>44</v>
      </c>
      <c r="K27" s="37" t="s">
        <v>159</v>
      </c>
      <c r="L27" s="37" t="s">
        <v>159</v>
      </c>
      <c r="M27" s="46">
        <v>0</v>
      </c>
      <c r="N27" s="46">
        <v>67</v>
      </c>
      <c r="O27" s="50" t="s">
        <v>159</v>
      </c>
      <c r="P27" s="37"/>
      <c r="Q27" s="38"/>
    </row>
    <row r="28" spans="1:17" x14ac:dyDescent="0.25">
      <c r="A28" s="36">
        <v>25</v>
      </c>
      <c r="B28" s="46" t="s">
        <v>648</v>
      </c>
      <c r="C28" s="46">
        <v>4</v>
      </c>
      <c r="D28" s="46">
        <v>1168.52</v>
      </c>
      <c r="E28" s="46">
        <v>0</v>
      </c>
      <c r="F28" s="46">
        <v>27.973199999999999</v>
      </c>
      <c r="G28" s="46">
        <v>1</v>
      </c>
      <c r="H28" s="46">
        <v>25</v>
      </c>
      <c r="I28" s="46">
        <v>25</v>
      </c>
      <c r="J28" s="56">
        <v>0</v>
      </c>
      <c r="K28" s="37" t="s">
        <v>159</v>
      </c>
      <c r="L28" s="37" t="s">
        <v>159</v>
      </c>
      <c r="M28" s="46">
        <v>0</v>
      </c>
      <c r="N28" s="46">
        <v>0</v>
      </c>
      <c r="O28" s="50" t="s">
        <v>159</v>
      </c>
      <c r="P28" s="37"/>
      <c r="Q28" s="38"/>
    </row>
    <row r="29" spans="1:17" x14ac:dyDescent="0.25">
      <c r="A29" s="36">
        <v>26</v>
      </c>
      <c r="B29" s="46" t="s">
        <v>649</v>
      </c>
      <c r="C29" s="46">
        <v>7</v>
      </c>
      <c r="D29" s="46">
        <v>1373.8</v>
      </c>
      <c r="E29" s="46">
        <v>1</v>
      </c>
      <c r="F29" s="46">
        <v>6.5593000000000004</v>
      </c>
      <c r="G29" s="46">
        <v>21</v>
      </c>
      <c r="H29" s="46">
        <v>10</v>
      </c>
      <c r="I29" s="46">
        <v>10</v>
      </c>
      <c r="J29" s="56">
        <v>100</v>
      </c>
      <c r="K29" s="37" t="s">
        <v>159</v>
      </c>
      <c r="L29" s="37" t="s">
        <v>159</v>
      </c>
      <c r="M29" s="46">
        <v>1</v>
      </c>
      <c r="N29" s="46">
        <v>21</v>
      </c>
      <c r="O29" s="50" t="s">
        <v>159</v>
      </c>
      <c r="P29" s="37"/>
      <c r="Q29" s="38"/>
    </row>
    <row r="30" spans="1:17" ht="15.75" thickBot="1" x14ac:dyDescent="0.3">
      <c r="A30" s="39">
        <v>27</v>
      </c>
      <c r="B30" s="47" t="s">
        <v>650</v>
      </c>
      <c r="C30" s="47">
        <v>3</v>
      </c>
      <c r="D30" s="47">
        <v>1000</v>
      </c>
      <c r="E30" s="47">
        <v>0</v>
      </c>
      <c r="F30" s="47">
        <v>2.4</v>
      </c>
      <c r="G30" s="47">
        <v>43</v>
      </c>
      <c r="H30" s="47">
        <v>17</v>
      </c>
      <c r="I30" s="47">
        <v>9</v>
      </c>
      <c r="J30" s="57">
        <v>55</v>
      </c>
      <c r="K30" s="40" t="s">
        <v>159</v>
      </c>
      <c r="L30" s="40" t="s">
        <v>159</v>
      </c>
      <c r="M30" s="47">
        <v>0</v>
      </c>
      <c r="N30" s="47">
        <v>46</v>
      </c>
      <c r="O30" s="51" t="s">
        <v>159</v>
      </c>
      <c r="P30" s="40"/>
      <c r="Q30" s="41"/>
    </row>
    <row r="31" spans="1:17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</row>
    <row r="32" spans="1:17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</row>
    <row r="33" spans="1:17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</row>
    <row r="34" spans="1:17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</row>
    <row r="35" spans="1:17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</row>
    <row r="36" spans="1:17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</row>
    <row r="37" spans="1:17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</row>
    <row r="38" spans="1:17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</row>
    <row r="39" spans="1:17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</row>
    <row r="40" spans="1:17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</row>
  </sheetData>
  <mergeCells count="2">
    <mergeCell ref="A1:B1"/>
    <mergeCell ref="A2:B2"/>
  </mergeCells>
  <hyperlinks>
    <hyperlink ref="A1" location="'ChkVernCorrlnError'!A1" display="'ChkVernCorrlnError'!A1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195" t="s">
        <v>43</v>
      </c>
    </row>
    <row r="16" spans="1:6" x14ac:dyDescent="0.25">
      <c r="A16" s="204" t="s">
        <v>44</v>
      </c>
      <c r="B16" s="205" t="s">
        <v>45</v>
      </c>
      <c r="C16" s="206" t="s">
        <v>46</v>
      </c>
      <c r="D16" s="208" t="s">
        <v>47</v>
      </c>
      <c r="E16" s="207" t="s">
        <v>48</v>
      </c>
      <c r="F16" s="14" t="s">
        <v>44</v>
      </c>
    </row>
    <row r="17" spans="1:6" x14ac:dyDescent="0.25">
      <c r="A17" s="52" t="s">
        <v>584</v>
      </c>
      <c r="B17" s="15" t="s">
        <v>718</v>
      </c>
      <c r="C17" s="16">
        <v>17</v>
      </c>
      <c r="D17" s="17" t="s">
        <v>424</v>
      </c>
      <c r="E17" s="18" t="s">
        <v>424</v>
      </c>
      <c r="F17" s="19" t="s">
        <v>55</v>
      </c>
    </row>
    <row r="18" spans="1:6" x14ac:dyDescent="0.25">
      <c r="A18" s="52" t="s">
        <v>584</v>
      </c>
      <c r="B18" s="15" t="s">
        <v>193</v>
      </c>
      <c r="C18" s="16">
        <v>6</v>
      </c>
      <c r="D18" s="17" t="s">
        <v>278</v>
      </c>
      <c r="E18" s="18" t="s">
        <v>278</v>
      </c>
      <c r="F18" s="19"/>
    </row>
    <row r="19" spans="1:6" x14ac:dyDescent="0.25">
      <c r="A19" s="52" t="s">
        <v>584</v>
      </c>
      <c r="B19" s="15" t="s">
        <v>99</v>
      </c>
      <c r="C19" s="16">
        <v>2</v>
      </c>
      <c r="D19" s="17" t="s">
        <v>279</v>
      </c>
      <c r="E19" s="18" t="s">
        <v>123</v>
      </c>
      <c r="F19" s="19"/>
    </row>
    <row r="20" spans="1:6" x14ac:dyDescent="0.25">
      <c r="A20" s="15"/>
      <c r="B20" s="15"/>
      <c r="C20" s="16"/>
      <c r="D20" s="17" t="s">
        <v>277</v>
      </c>
      <c r="E20" s="18" t="s">
        <v>124</v>
      </c>
      <c r="F20" s="19"/>
    </row>
    <row r="21" spans="1:6" x14ac:dyDescent="0.25">
      <c r="A21" s="15"/>
      <c r="B21" s="15"/>
      <c r="C21" s="16"/>
      <c r="D21" s="17" t="s">
        <v>392</v>
      </c>
      <c r="E21" s="18" t="s">
        <v>125</v>
      </c>
      <c r="F21" s="19"/>
    </row>
    <row r="22" spans="1:6" x14ac:dyDescent="0.25">
      <c r="A22" s="15"/>
      <c r="B22" s="15"/>
      <c r="C22" s="16"/>
      <c r="D22" s="17" t="s">
        <v>276</v>
      </c>
      <c r="E22" s="18" t="s">
        <v>392</v>
      </c>
      <c r="F22" s="19"/>
    </row>
    <row r="23" spans="1:6" x14ac:dyDescent="0.25">
      <c r="A23" s="15"/>
      <c r="B23" s="15"/>
      <c r="C23" s="16"/>
      <c r="D23" s="17"/>
      <c r="E23" s="18" t="s">
        <v>276</v>
      </c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18"/>
      <c r="F1017" s="19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VernCorrlnFltDiag() R'!A1" display="'VernCorrlnFltDiag() R'!A1"/>
    <hyperlink ref="A18" location="'VernCorrlnFltDiag() P'!A1" display="'VernCorrlnFltDiag() P'!A1"/>
    <hyperlink ref="A19" location="'VernCorrlnFltDiag() M'!A1" display="'VernCorrlnFltDiag() M'!A1"/>
  </hyperlinks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C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.28515625" customWidth="1"/>
    <col min="3" max="4" width="4.140625" bestFit="1" customWidth="1"/>
    <col min="5" max="6" width="3.28515625" bestFit="1" customWidth="1"/>
    <col min="7" max="8" width="4" bestFit="1" customWidth="1"/>
    <col min="9" max="17" width="3.28515625" bestFit="1" customWidth="1"/>
    <col min="18" max="26" width="7.28515625" bestFit="1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279" t="s">
        <v>584</v>
      </c>
      <c r="B1" s="280"/>
      <c r="C1" s="45" t="s">
        <v>160</v>
      </c>
      <c r="D1" s="58" t="s">
        <v>159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43"/>
      <c r="AB1" s="43"/>
      <c r="AC1" s="44"/>
    </row>
    <row r="2" spans="1:29" ht="60" customHeight="1" x14ac:dyDescent="0.25">
      <c r="A2" s="281" t="s">
        <v>99</v>
      </c>
      <c r="B2" s="282"/>
      <c r="C2" s="48" t="s">
        <v>169</v>
      </c>
      <c r="D2" s="48" t="s">
        <v>169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9" t="s">
        <v>151</v>
      </c>
      <c r="L2" s="26" t="s">
        <v>151</v>
      </c>
      <c r="M2" s="26" t="s">
        <v>151</v>
      </c>
      <c r="N2" s="26" t="s">
        <v>151</v>
      </c>
      <c r="O2" s="26" t="s">
        <v>151</v>
      </c>
      <c r="P2" s="26" t="s">
        <v>151</v>
      </c>
      <c r="Q2" s="26" t="s">
        <v>151</v>
      </c>
      <c r="R2" s="27" t="s">
        <v>152</v>
      </c>
      <c r="S2" s="28" t="s">
        <v>153</v>
      </c>
      <c r="T2" s="28" t="s">
        <v>153</v>
      </c>
      <c r="U2" s="28" t="s">
        <v>153</v>
      </c>
      <c r="V2" s="28" t="s">
        <v>153</v>
      </c>
      <c r="W2" s="28" t="s">
        <v>153</v>
      </c>
      <c r="X2" s="28" t="s">
        <v>153</v>
      </c>
      <c r="Y2" s="28" t="s">
        <v>153</v>
      </c>
      <c r="Z2" s="28" t="s">
        <v>154</v>
      </c>
      <c r="AA2" s="29" t="s">
        <v>21</v>
      </c>
      <c r="AB2" s="29" t="s">
        <v>156</v>
      </c>
      <c r="AC2" s="30" t="s">
        <v>158</v>
      </c>
    </row>
    <row r="3" spans="1:29" ht="172.5" x14ac:dyDescent="0.25">
      <c r="A3" s="31" t="s">
        <v>148</v>
      </c>
      <c r="B3" s="32" t="s">
        <v>149</v>
      </c>
      <c r="C3" s="59" t="s">
        <v>597</v>
      </c>
      <c r="D3" s="59" t="s">
        <v>598</v>
      </c>
      <c r="E3" s="33" t="s">
        <v>424</v>
      </c>
      <c r="F3" s="33" t="s">
        <v>278</v>
      </c>
      <c r="G3" s="33" t="s">
        <v>279</v>
      </c>
      <c r="H3" s="33" t="s">
        <v>277</v>
      </c>
      <c r="I3" s="33" t="s">
        <v>392</v>
      </c>
      <c r="J3" s="33" t="s">
        <v>276</v>
      </c>
      <c r="K3" s="34" t="s">
        <v>424</v>
      </c>
      <c r="L3" s="34" t="s">
        <v>278</v>
      </c>
      <c r="M3" s="34" t="s">
        <v>123</v>
      </c>
      <c r="N3" s="34" t="s">
        <v>124</v>
      </c>
      <c r="O3" s="34" t="s">
        <v>125</v>
      </c>
      <c r="P3" s="34" t="s">
        <v>392</v>
      </c>
      <c r="Q3" s="34" t="s">
        <v>276</v>
      </c>
      <c r="R3" s="34" t="s">
        <v>55</v>
      </c>
      <c r="S3" s="35" t="s">
        <v>424</v>
      </c>
      <c r="T3" s="35" t="s">
        <v>278</v>
      </c>
      <c r="U3" s="35" t="s">
        <v>123</v>
      </c>
      <c r="V3" s="35" t="s">
        <v>124</v>
      </c>
      <c r="W3" s="35" t="s">
        <v>125</v>
      </c>
      <c r="X3" s="35" t="s">
        <v>392</v>
      </c>
      <c r="Y3" s="35" t="s">
        <v>276</v>
      </c>
      <c r="Z3" s="35" t="s">
        <v>55</v>
      </c>
      <c r="AA3" s="29" t="s">
        <v>155</v>
      </c>
      <c r="AB3" s="29" t="s">
        <v>157</v>
      </c>
      <c r="AC3" s="30"/>
    </row>
    <row r="4" spans="1:29" ht="15" customHeight="1" x14ac:dyDescent="0.25">
      <c r="A4" s="36">
        <v>1</v>
      </c>
      <c r="B4" s="69" t="s">
        <v>1000</v>
      </c>
      <c r="C4" s="46">
        <v>0</v>
      </c>
      <c r="D4" s="46">
        <v>0</v>
      </c>
      <c r="E4" s="56">
        <v>0</v>
      </c>
      <c r="F4" s="46">
        <v>0</v>
      </c>
      <c r="G4" s="46">
        <v>52</v>
      </c>
      <c r="H4" s="46">
        <v>127</v>
      </c>
      <c r="I4" s="46">
        <v>1</v>
      </c>
      <c r="J4" s="46">
        <v>1</v>
      </c>
      <c r="K4" s="37" t="s">
        <v>159</v>
      </c>
      <c r="L4" s="37" t="s">
        <v>159</v>
      </c>
      <c r="M4" s="37" t="s">
        <v>159</v>
      </c>
      <c r="N4" s="37" t="s">
        <v>159</v>
      </c>
      <c r="O4" s="37" t="s">
        <v>159</v>
      </c>
      <c r="P4" s="37" t="s">
        <v>159</v>
      </c>
      <c r="Q4" s="37" t="s">
        <v>159</v>
      </c>
      <c r="R4" s="37" t="s">
        <v>159</v>
      </c>
      <c r="S4" s="46">
        <v>0</v>
      </c>
      <c r="T4" s="46">
        <v>0</v>
      </c>
      <c r="U4" s="46">
        <v>63</v>
      </c>
      <c r="V4" s="46">
        <v>9</v>
      </c>
      <c r="W4" s="46">
        <v>53</v>
      </c>
      <c r="X4" s="46">
        <v>1</v>
      </c>
      <c r="Y4" s="46">
        <v>1</v>
      </c>
      <c r="Z4" s="46">
        <v>0</v>
      </c>
      <c r="AA4" s="50" t="s">
        <v>159</v>
      </c>
      <c r="AB4" s="37"/>
      <c r="AC4" s="38"/>
    </row>
    <row r="5" spans="1:29" ht="90.75" thickBot="1" x14ac:dyDescent="0.3">
      <c r="A5" s="39">
        <v>2</v>
      </c>
      <c r="B5" s="68" t="s">
        <v>1001</v>
      </c>
      <c r="C5" s="47">
        <v>1</v>
      </c>
      <c r="D5" s="47">
        <v>1</v>
      </c>
      <c r="E5" s="47">
        <v>6</v>
      </c>
      <c r="F5" s="47">
        <v>1</v>
      </c>
      <c r="G5" s="47">
        <v>100</v>
      </c>
      <c r="H5" s="47">
        <v>255</v>
      </c>
      <c r="I5" s="47">
        <v>1</v>
      </c>
      <c r="J5" s="47">
        <v>1</v>
      </c>
      <c r="K5" s="40" t="s">
        <v>159</v>
      </c>
      <c r="L5" s="40" t="s">
        <v>159</v>
      </c>
      <c r="M5" s="40" t="s">
        <v>159</v>
      </c>
      <c r="N5" s="40" t="s">
        <v>159</v>
      </c>
      <c r="O5" s="40" t="s">
        <v>159</v>
      </c>
      <c r="P5" s="40" t="s">
        <v>159</v>
      </c>
      <c r="Q5" s="40" t="s">
        <v>159</v>
      </c>
      <c r="R5" s="40" t="s">
        <v>159</v>
      </c>
      <c r="S5" s="47">
        <v>5</v>
      </c>
      <c r="T5" s="47">
        <v>1</v>
      </c>
      <c r="U5" s="47">
        <v>108</v>
      </c>
      <c r="V5" s="47">
        <v>15</v>
      </c>
      <c r="W5" s="47">
        <v>1</v>
      </c>
      <c r="X5" s="47">
        <v>1</v>
      </c>
      <c r="Y5" s="47">
        <v>1</v>
      </c>
      <c r="Z5" s="47">
        <v>1</v>
      </c>
      <c r="AA5" s="51" t="s">
        <v>159</v>
      </c>
      <c r="AB5" s="40"/>
      <c r="AC5" s="41"/>
    </row>
    <row r="6" spans="1:29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</row>
    <row r="7" spans="1:29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</row>
    <row r="8" spans="1:29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</row>
    <row r="9" spans="1:29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</row>
    <row r="10" spans="1:29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</row>
    <row r="11" spans="1:2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</row>
    <row r="12" spans="1:2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</row>
    <row r="13" spans="1:2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</row>
    <row r="14" spans="1:2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</row>
    <row r="15" spans="1:2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</row>
  </sheetData>
  <mergeCells count="2">
    <mergeCell ref="A1:B1"/>
    <mergeCell ref="A2:B2"/>
  </mergeCells>
  <hyperlinks>
    <hyperlink ref="A1" location="'VernCorrlnFltDiag'!A1" display="'VernCorrlnFltDiag'!A1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C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" bestFit="1" customWidth="1"/>
    <col min="3" max="4" width="4.140625" bestFit="1" customWidth="1"/>
    <col min="5" max="6" width="3.28515625" bestFit="1" customWidth="1"/>
    <col min="7" max="8" width="4" bestFit="1" customWidth="1"/>
    <col min="9" max="17" width="3.28515625" bestFit="1" customWidth="1"/>
    <col min="18" max="26" width="7.28515625" bestFit="1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279" t="s">
        <v>584</v>
      </c>
      <c r="B1" s="280"/>
      <c r="C1" s="45" t="s">
        <v>160</v>
      </c>
      <c r="D1" s="58" t="s">
        <v>159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43"/>
      <c r="AB1" s="43"/>
      <c r="AC1" s="44"/>
    </row>
    <row r="2" spans="1:29" ht="60" customHeight="1" x14ac:dyDescent="0.25">
      <c r="A2" s="281" t="s">
        <v>147</v>
      </c>
      <c r="B2" s="282"/>
      <c r="C2" s="48" t="s">
        <v>169</v>
      </c>
      <c r="D2" s="48" t="s">
        <v>169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9" t="s">
        <v>151</v>
      </c>
      <c r="L2" s="26" t="s">
        <v>151</v>
      </c>
      <c r="M2" s="26" t="s">
        <v>151</v>
      </c>
      <c r="N2" s="26" t="s">
        <v>151</v>
      </c>
      <c r="O2" s="26" t="s">
        <v>151</v>
      </c>
      <c r="P2" s="26" t="s">
        <v>151</v>
      </c>
      <c r="Q2" s="26" t="s">
        <v>151</v>
      </c>
      <c r="R2" s="27" t="s">
        <v>152</v>
      </c>
      <c r="S2" s="28" t="s">
        <v>153</v>
      </c>
      <c r="T2" s="28" t="s">
        <v>153</v>
      </c>
      <c r="U2" s="28" t="s">
        <v>153</v>
      </c>
      <c r="V2" s="28" t="s">
        <v>153</v>
      </c>
      <c r="W2" s="28" t="s">
        <v>153</v>
      </c>
      <c r="X2" s="28" t="s">
        <v>153</v>
      </c>
      <c r="Y2" s="28" t="s">
        <v>153</v>
      </c>
      <c r="Z2" s="28" t="s">
        <v>154</v>
      </c>
      <c r="AA2" s="29" t="s">
        <v>21</v>
      </c>
      <c r="AB2" s="29" t="s">
        <v>156</v>
      </c>
      <c r="AC2" s="30" t="s">
        <v>158</v>
      </c>
    </row>
    <row r="3" spans="1:29" ht="172.5" x14ac:dyDescent="0.25">
      <c r="A3" s="31" t="s">
        <v>148</v>
      </c>
      <c r="B3" s="32" t="s">
        <v>149</v>
      </c>
      <c r="C3" s="59" t="s">
        <v>597</v>
      </c>
      <c r="D3" s="59" t="s">
        <v>598</v>
      </c>
      <c r="E3" s="33" t="s">
        <v>424</v>
      </c>
      <c r="F3" s="33" t="s">
        <v>278</v>
      </c>
      <c r="G3" s="33" t="s">
        <v>279</v>
      </c>
      <c r="H3" s="33" t="s">
        <v>277</v>
      </c>
      <c r="I3" s="33" t="s">
        <v>392</v>
      </c>
      <c r="J3" s="33" t="s">
        <v>276</v>
      </c>
      <c r="K3" s="34" t="s">
        <v>424</v>
      </c>
      <c r="L3" s="34" t="s">
        <v>278</v>
      </c>
      <c r="M3" s="34" t="s">
        <v>123</v>
      </c>
      <c r="N3" s="34" t="s">
        <v>124</v>
      </c>
      <c r="O3" s="34" t="s">
        <v>125</v>
      </c>
      <c r="P3" s="34" t="s">
        <v>392</v>
      </c>
      <c r="Q3" s="34" t="s">
        <v>276</v>
      </c>
      <c r="R3" s="34" t="s">
        <v>55</v>
      </c>
      <c r="S3" s="35" t="s">
        <v>424</v>
      </c>
      <c r="T3" s="35" t="s">
        <v>278</v>
      </c>
      <c r="U3" s="35" t="s">
        <v>123</v>
      </c>
      <c r="V3" s="35" t="s">
        <v>124</v>
      </c>
      <c r="W3" s="35" t="s">
        <v>125</v>
      </c>
      <c r="X3" s="35" t="s">
        <v>392</v>
      </c>
      <c r="Y3" s="35" t="s">
        <v>276</v>
      </c>
      <c r="Z3" s="35" t="s">
        <v>55</v>
      </c>
      <c r="AA3" s="29" t="s">
        <v>155</v>
      </c>
      <c r="AB3" s="29" t="s">
        <v>157</v>
      </c>
      <c r="AC3" s="30"/>
    </row>
    <row r="4" spans="1:29" x14ac:dyDescent="0.25">
      <c r="A4" s="36">
        <v>1</v>
      </c>
      <c r="B4" s="46" t="s">
        <v>161</v>
      </c>
      <c r="C4" s="56">
        <v>0</v>
      </c>
      <c r="D4" s="56">
        <v>0</v>
      </c>
      <c r="E4" s="56">
        <v>0</v>
      </c>
      <c r="F4" s="56">
        <v>0</v>
      </c>
      <c r="G4" s="56">
        <v>0</v>
      </c>
      <c r="H4" s="56">
        <v>0</v>
      </c>
      <c r="I4" s="56">
        <v>0</v>
      </c>
      <c r="J4" s="56">
        <v>0</v>
      </c>
      <c r="K4" s="37" t="s">
        <v>159</v>
      </c>
      <c r="L4" s="37" t="s">
        <v>159</v>
      </c>
      <c r="M4" s="37" t="s">
        <v>159</v>
      </c>
      <c r="N4" s="37" t="s">
        <v>159</v>
      </c>
      <c r="O4" s="37" t="s">
        <v>159</v>
      </c>
      <c r="P4" s="37" t="s">
        <v>159</v>
      </c>
      <c r="Q4" s="37" t="s">
        <v>159</v>
      </c>
      <c r="R4" s="37" t="s">
        <v>159</v>
      </c>
      <c r="S4" s="46">
        <v>0</v>
      </c>
      <c r="T4" s="46">
        <v>0</v>
      </c>
      <c r="U4" s="46">
        <v>108</v>
      </c>
      <c r="V4" s="46">
        <v>0</v>
      </c>
      <c r="W4" s="46">
        <v>0</v>
      </c>
      <c r="X4" s="46">
        <v>0</v>
      </c>
      <c r="Y4" s="46">
        <v>1</v>
      </c>
      <c r="Z4" s="46">
        <v>1</v>
      </c>
      <c r="AA4" s="50" t="s">
        <v>159</v>
      </c>
      <c r="AB4" s="37"/>
      <c r="AC4" s="38"/>
    </row>
    <row r="5" spans="1:29" x14ac:dyDescent="0.25">
      <c r="A5" s="36">
        <v>2</v>
      </c>
      <c r="B5" s="46" t="s">
        <v>162</v>
      </c>
      <c r="C5" s="56">
        <v>1</v>
      </c>
      <c r="D5" s="56">
        <v>1</v>
      </c>
      <c r="E5" s="56">
        <v>6</v>
      </c>
      <c r="F5" s="56">
        <v>1</v>
      </c>
      <c r="G5" s="56">
        <v>100</v>
      </c>
      <c r="H5" s="56">
        <v>255</v>
      </c>
      <c r="I5" s="56">
        <v>1</v>
      </c>
      <c r="J5" s="56">
        <v>1</v>
      </c>
      <c r="K5" s="37" t="s">
        <v>159</v>
      </c>
      <c r="L5" s="37" t="s">
        <v>159</v>
      </c>
      <c r="M5" s="37" t="s">
        <v>159</v>
      </c>
      <c r="N5" s="37" t="s">
        <v>159</v>
      </c>
      <c r="O5" s="37" t="s">
        <v>159</v>
      </c>
      <c r="P5" s="37" t="s">
        <v>159</v>
      </c>
      <c r="Q5" s="37" t="s">
        <v>159</v>
      </c>
      <c r="R5" s="37" t="s">
        <v>159</v>
      </c>
      <c r="S5" s="46">
        <v>5</v>
      </c>
      <c r="T5" s="46">
        <v>1</v>
      </c>
      <c r="U5" s="46">
        <v>108</v>
      </c>
      <c r="V5" s="46">
        <v>15</v>
      </c>
      <c r="W5" s="46">
        <v>1</v>
      </c>
      <c r="X5" s="46">
        <v>1</v>
      </c>
      <c r="Y5" s="46">
        <v>1</v>
      </c>
      <c r="Z5" s="46">
        <v>1</v>
      </c>
      <c r="AA5" s="50" t="s">
        <v>159</v>
      </c>
      <c r="AB5" s="37"/>
      <c r="AC5" s="38"/>
    </row>
    <row r="6" spans="1:29" x14ac:dyDescent="0.25">
      <c r="A6" s="36">
        <v>3</v>
      </c>
      <c r="B6" s="46" t="s">
        <v>656</v>
      </c>
      <c r="C6" s="56">
        <v>0</v>
      </c>
      <c r="D6" s="46">
        <v>1</v>
      </c>
      <c r="E6" s="46">
        <v>2</v>
      </c>
      <c r="F6" s="46">
        <v>0</v>
      </c>
      <c r="G6" s="46">
        <v>22</v>
      </c>
      <c r="H6" s="46">
        <v>27</v>
      </c>
      <c r="I6" s="46">
        <v>0</v>
      </c>
      <c r="J6" s="46">
        <v>0</v>
      </c>
      <c r="K6" s="37" t="s">
        <v>159</v>
      </c>
      <c r="L6" s="37" t="s">
        <v>159</v>
      </c>
      <c r="M6" s="37" t="s">
        <v>159</v>
      </c>
      <c r="N6" s="37" t="s">
        <v>159</v>
      </c>
      <c r="O6" s="37" t="s">
        <v>159</v>
      </c>
      <c r="P6" s="37" t="s">
        <v>159</v>
      </c>
      <c r="Q6" s="37" t="s">
        <v>159</v>
      </c>
      <c r="R6" s="37" t="s">
        <v>159</v>
      </c>
      <c r="S6" s="46">
        <v>1</v>
      </c>
      <c r="T6" s="46">
        <v>0</v>
      </c>
      <c r="U6" s="46">
        <v>108</v>
      </c>
      <c r="V6" s="46">
        <v>10</v>
      </c>
      <c r="W6" s="46">
        <v>1</v>
      </c>
      <c r="X6" s="46">
        <v>1</v>
      </c>
      <c r="Y6" s="46">
        <v>0</v>
      </c>
      <c r="Z6" s="46">
        <v>1</v>
      </c>
      <c r="AA6" s="50" t="s">
        <v>159</v>
      </c>
      <c r="AB6" s="37"/>
      <c r="AC6" s="38"/>
    </row>
    <row r="7" spans="1:29" x14ac:dyDescent="0.25">
      <c r="A7" s="36">
        <v>4</v>
      </c>
      <c r="B7" s="46" t="s">
        <v>657</v>
      </c>
      <c r="C7" s="56">
        <v>1</v>
      </c>
      <c r="D7" s="46">
        <v>0</v>
      </c>
      <c r="E7" s="46">
        <v>6</v>
      </c>
      <c r="F7" s="46">
        <v>0</v>
      </c>
      <c r="G7" s="46">
        <v>32</v>
      </c>
      <c r="H7" s="46">
        <v>70</v>
      </c>
      <c r="I7" s="46">
        <v>0</v>
      </c>
      <c r="J7" s="46">
        <v>1</v>
      </c>
      <c r="K7" s="37" t="s">
        <v>159</v>
      </c>
      <c r="L7" s="37" t="s">
        <v>159</v>
      </c>
      <c r="M7" s="37" t="s">
        <v>159</v>
      </c>
      <c r="N7" s="37" t="s">
        <v>159</v>
      </c>
      <c r="O7" s="37" t="s">
        <v>159</v>
      </c>
      <c r="P7" s="37" t="s">
        <v>159</v>
      </c>
      <c r="Q7" s="37" t="s">
        <v>159</v>
      </c>
      <c r="R7" s="37" t="s">
        <v>159</v>
      </c>
      <c r="S7" s="46">
        <v>5</v>
      </c>
      <c r="T7" s="46">
        <v>0</v>
      </c>
      <c r="U7" s="46">
        <v>108</v>
      </c>
      <c r="V7" s="46">
        <v>9</v>
      </c>
      <c r="W7" s="46">
        <v>1</v>
      </c>
      <c r="X7" s="46">
        <v>1</v>
      </c>
      <c r="Y7" s="46">
        <v>1</v>
      </c>
      <c r="Z7" s="46">
        <v>1</v>
      </c>
      <c r="AA7" s="50" t="s">
        <v>159</v>
      </c>
      <c r="AB7" s="37"/>
      <c r="AC7" s="38"/>
    </row>
    <row r="8" spans="1:29" x14ac:dyDescent="0.25">
      <c r="A8" s="36">
        <v>5</v>
      </c>
      <c r="B8" s="46" t="s">
        <v>658</v>
      </c>
      <c r="C8" s="46">
        <v>1</v>
      </c>
      <c r="D8" s="56">
        <v>0</v>
      </c>
      <c r="E8" s="46">
        <v>5</v>
      </c>
      <c r="F8" s="46">
        <v>1</v>
      </c>
      <c r="G8" s="46">
        <v>79</v>
      </c>
      <c r="H8" s="46">
        <v>164</v>
      </c>
      <c r="I8" s="46">
        <v>0</v>
      </c>
      <c r="J8" s="46">
        <v>0</v>
      </c>
      <c r="K8" s="37" t="s">
        <v>159</v>
      </c>
      <c r="L8" s="37" t="s">
        <v>159</v>
      </c>
      <c r="M8" s="37" t="s">
        <v>159</v>
      </c>
      <c r="N8" s="37" t="s">
        <v>159</v>
      </c>
      <c r="O8" s="37" t="s">
        <v>159</v>
      </c>
      <c r="P8" s="37" t="s">
        <v>159</v>
      </c>
      <c r="Q8" s="37" t="s">
        <v>159</v>
      </c>
      <c r="R8" s="37" t="s">
        <v>159</v>
      </c>
      <c r="S8" s="46">
        <v>4</v>
      </c>
      <c r="T8" s="46">
        <v>1</v>
      </c>
      <c r="U8" s="46">
        <v>108</v>
      </c>
      <c r="V8" s="46">
        <v>13</v>
      </c>
      <c r="W8" s="46">
        <v>1</v>
      </c>
      <c r="X8" s="46">
        <v>1</v>
      </c>
      <c r="Y8" s="46">
        <v>0</v>
      </c>
      <c r="Z8" s="46">
        <v>1</v>
      </c>
      <c r="AA8" s="50" t="s">
        <v>159</v>
      </c>
      <c r="AB8" s="37"/>
      <c r="AC8" s="38"/>
    </row>
    <row r="9" spans="1:29" x14ac:dyDescent="0.25">
      <c r="A9" s="36">
        <v>6</v>
      </c>
      <c r="B9" s="46" t="s">
        <v>659</v>
      </c>
      <c r="C9" s="46">
        <v>1</v>
      </c>
      <c r="D9" s="56">
        <v>1</v>
      </c>
      <c r="E9" s="46">
        <v>0</v>
      </c>
      <c r="F9" s="46">
        <v>1</v>
      </c>
      <c r="G9" s="46">
        <v>5</v>
      </c>
      <c r="H9" s="46">
        <v>217</v>
      </c>
      <c r="I9" s="46">
        <v>0</v>
      </c>
      <c r="J9" s="46">
        <v>0</v>
      </c>
      <c r="K9" s="37" t="s">
        <v>159</v>
      </c>
      <c r="L9" s="37" t="s">
        <v>159</v>
      </c>
      <c r="M9" s="37" t="s">
        <v>159</v>
      </c>
      <c r="N9" s="37" t="s">
        <v>159</v>
      </c>
      <c r="O9" s="37" t="s">
        <v>159</v>
      </c>
      <c r="P9" s="37" t="s">
        <v>159</v>
      </c>
      <c r="Q9" s="37" t="s">
        <v>159</v>
      </c>
      <c r="R9" s="37" t="s">
        <v>159</v>
      </c>
      <c r="S9" s="46">
        <v>0</v>
      </c>
      <c r="T9" s="46">
        <v>1</v>
      </c>
      <c r="U9" s="46">
        <v>108</v>
      </c>
      <c r="V9" s="46">
        <v>7</v>
      </c>
      <c r="W9" s="46">
        <v>1</v>
      </c>
      <c r="X9" s="46">
        <v>1</v>
      </c>
      <c r="Y9" s="46">
        <v>0</v>
      </c>
      <c r="Z9" s="46">
        <v>1</v>
      </c>
      <c r="AA9" s="50" t="s">
        <v>159</v>
      </c>
      <c r="AB9" s="37"/>
      <c r="AC9" s="38"/>
    </row>
    <row r="10" spans="1:29" x14ac:dyDescent="0.25">
      <c r="A10" s="36">
        <v>7</v>
      </c>
      <c r="B10" s="46" t="s">
        <v>660</v>
      </c>
      <c r="C10" s="46">
        <v>0</v>
      </c>
      <c r="D10" s="46">
        <v>0</v>
      </c>
      <c r="E10" s="56">
        <v>0</v>
      </c>
      <c r="F10" s="46">
        <v>0</v>
      </c>
      <c r="G10" s="46">
        <v>52</v>
      </c>
      <c r="H10" s="46">
        <v>127</v>
      </c>
      <c r="I10" s="46">
        <v>1</v>
      </c>
      <c r="J10" s="46">
        <v>1</v>
      </c>
      <c r="K10" s="37" t="s">
        <v>159</v>
      </c>
      <c r="L10" s="37" t="s">
        <v>159</v>
      </c>
      <c r="M10" s="37" t="s">
        <v>159</v>
      </c>
      <c r="N10" s="37" t="s">
        <v>159</v>
      </c>
      <c r="O10" s="37" t="s">
        <v>159</v>
      </c>
      <c r="P10" s="37" t="s">
        <v>159</v>
      </c>
      <c r="Q10" s="37" t="s">
        <v>159</v>
      </c>
      <c r="R10" s="37" t="s">
        <v>159</v>
      </c>
      <c r="S10" s="46">
        <v>0</v>
      </c>
      <c r="T10" s="46">
        <v>0</v>
      </c>
      <c r="U10" s="46">
        <v>34</v>
      </c>
      <c r="V10" s="46">
        <v>50</v>
      </c>
      <c r="W10" s="46">
        <v>7</v>
      </c>
      <c r="X10" s="46">
        <v>1</v>
      </c>
      <c r="Y10" s="46">
        <v>1</v>
      </c>
      <c r="Z10" s="46">
        <v>0</v>
      </c>
      <c r="AA10" s="50" t="s">
        <v>159</v>
      </c>
      <c r="AB10" s="37"/>
      <c r="AC10" s="38"/>
    </row>
    <row r="11" spans="1:29" x14ac:dyDescent="0.25">
      <c r="A11" s="36">
        <v>8</v>
      </c>
      <c r="B11" s="46" t="s">
        <v>661</v>
      </c>
      <c r="C11" s="46">
        <v>1</v>
      </c>
      <c r="D11" s="46">
        <v>1</v>
      </c>
      <c r="E11" s="56">
        <v>6</v>
      </c>
      <c r="F11" s="46">
        <v>1</v>
      </c>
      <c r="G11" s="46">
        <v>76</v>
      </c>
      <c r="H11" s="46">
        <v>48</v>
      </c>
      <c r="I11" s="46">
        <v>1</v>
      </c>
      <c r="J11" s="46">
        <v>0</v>
      </c>
      <c r="K11" s="37" t="s">
        <v>159</v>
      </c>
      <c r="L11" s="37" t="s">
        <v>159</v>
      </c>
      <c r="M11" s="37" t="s">
        <v>159</v>
      </c>
      <c r="N11" s="37" t="s">
        <v>159</v>
      </c>
      <c r="O11" s="37" t="s">
        <v>159</v>
      </c>
      <c r="P11" s="37" t="s">
        <v>159</v>
      </c>
      <c r="Q11" s="37" t="s">
        <v>159</v>
      </c>
      <c r="R11" s="37" t="s">
        <v>159</v>
      </c>
      <c r="S11" s="46">
        <v>5</v>
      </c>
      <c r="T11" s="46">
        <v>1</v>
      </c>
      <c r="U11" s="46">
        <v>108</v>
      </c>
      <c r="V11" s="46">
        <v>15</v>
      </c>
      <c r="W11" s="46">
        <v>1</v>
      </c>
      <c r="X11" s="46">
        <v>1</v>
      </c>
      <c r="Y11" s="46">
        <v>0</v>
      </c>
      <c r="Z11" s="46">
        <v>1</v>
      </c>
      <c r="AA11" s="50" t="s">
        <v>159</v>
      </c>
      <c r="AB11" s="37"/>
      <c r="AC11" s="38"/>
    </row>
    <row r="12" spans="1:29" x14ac:dyDescent="0.25">
      <c r="A12" s="36">
        <v>9</v>
      </c>
      <c r="B12" s="46" t="s">
        <v>662</v>
      </c>
      <c r="C12" s="46">
        <v>0</v>
      </c>
      <c r="D12" s="46">
        <v>1</v>
      </c>
      <c r="E12" s="56">
        <v>3</v>
      </c>
      <c r="F12" s="46">
        <v>0</v>
      </c>
      <c r="G12" s="46">
        <v>80</v>
      </c>
      <c r="H12" s="46">
        <v>229</v>
      </c>
      <c r="I12" s="46">
        <v>0</v>
      </c>
      <c r="J12" s="46">
        <v>0</v>
      </c>
      <c r="K12" s="37" t="s">
        <v>159</v>
      </c>
      <c r="L12" s="37" t="s">
        <v>159</v>
      </c>
      <c r="M12" s="37" t="s">
        <v>159</v>
      </c>
      <c r="N12" s="37" t="s">
        <v>159</v>
      </c>
      <c r="O12" s="37" t="s">
        <v>159</v>
      </c>
      <c r="P12" s="37" t="s">
        <v>159</v>
      </c>
      <c r="Q12" s="37" t="s">
        <v>159</v>
      </c>
      <c r="R12" s="37" t="s">
        <v>159</v>
      </c>
      <c r="S12" s="46">
        <v>2</v>
      </c>
      <c r="T12" s="46">
        <v>0</v>
      </c>
      <c r="U12" s="46">
        <v>108</v>
      </c>
      <c r="V12" s="46">
        <v>10</v>
      </c>
      <c r="W12" s="46">
        <v>1</v>
      </c>
      <c r="X12" s="46">
        <v>1</v>
      </c>
      <c r="Y12" s="46">
        <v>0</v>
      </c>
      <c r="Z12" s="46">
        <v>1</v>
      </c>
      <c r="AA12" s="50" t="s">
        <v>159</v>
      </c>
      <c r="AB12" s="37"/>
      <c r="AC12" s="38"/>
    </row>
    <row r="13" spans="1:29" x14ac:dyDescent="0.25">
      <c r="A13" s="36">
        <v>10</v>
      </c>
      <c r="B13" s="46" t="s">
        <v>663</v>
      </c>
      <c r="C13" s="46">
        <v>1</v>
      </c>
      <c r="D13" s="46">
        <v>0</v>
      </c>
      <c r="E13" s="63">
        <v>0</v>
      </c>
      <c r="F13" s="56">
        <v>0</v>
      </c>
      <c r="G13" s="46">
        <v>32</v>
      </c>
      <c r="H13" s="46">
        <v>95</v>
      </c>
      <c r="I13" s="46">
        <v>1</v>
      </c>
      <c r="J13" s="46">
        <v>0</v>
      </c>
      <c r="K13" s="37" t="s">
        <v>159</v>
      </c>
      <c r="L13" s="37" t="s">
        <v>159</v>
      </c>
      <c r="M13" s="37" t="s">
        <v>159</v>
      </c>
      <c r="N13" s="37" t="s">
        <v>159</v>
      </c>
      <c r="O13" s="37" t="s">
        <v>159</v>
      </c>
      <c r="P13" s="37" t="s">
        <v>159</v>
      </c>
      <c r="Q13" s="37" t="s">
        <v>159</v>
      </c>
      <c r="R13" s="37" t="s">
        <v>159</v>
      </c>
      <c r="S13" s="46">
        <v>0</v>
      </c>
      <c r="T13" s="46">
        <v>0</v>
      </c>
      <c r="U13" s="46">
        <v>108</v>
      </c>
      <c r="V13" s="46">
        <v>1</v>
      </c>
      <c r="W13" s="46">
        <v>1</v>
      </c>
      <c r="X13" s="46">
        <v>1</v>
      </c>
      <c r="Y13" s="46">
        <v>0</v>
      </c>
      <c r="Z13" s="46">
        <v>1</v>
      </c>
      <c r="AA13" s="50" t="s">
        <v>159</v>
      </c>
      <c r="AB13" s="37"/>
      <c r="AC13" s="38"/>
    </row>
    <row r="14" spans="1:29" x14ac:dyDescent="0.25">
      <c r="A14" s="36">
        <v>11</v>
      </c>
      <c r="B14" s="46" t="s">
        <v>664</v>
      </c>
      <c r="C14" s="46">
        <v>1</v>
      </c>
      <c r="D14" s="46">
        <v>1</v>
      </c>
      <c r="E14" s="63">
        <v>1</v>
      </c>
      <c r="F14" s="56">
        <v>1</v>
      </c>
      <c r="G14" s="46">
        <v>98</v>
      </c>
      <c r="H14" s="46">
        <v>82</v>
      </c>
      <c r="I14" s="46">
        <v>0</v>
      </c>
      <c r="J14" s="46">
        <v>0</v>
      </c>
      <c r="K14" s="37" t="s">
        <v>159</v>
      </c>
      <c r="L14" s="37" t="s">
        <v>159</v>
      </c>
      <c r="M14" s="37" t="s">
        <v>159</v>
      </c>
      <c r="N14" s="37" t="s">
        <v>159</v>
      </c>
      <c r="O14" s="37" t="s">
        <v>159</v>
      </c>
      <c r="P14" s="37" t="s">
        <v>159</v>
      </c>
      <c r="Q14" s="37" t="s">
        <v>159</v>
      </c>
      <c r="R14" s="37" t="s">
        <v>159</v>
      </c>
      <c r="S14" s="46">
        <v>0</v>
      </c>
      <c r="T14" s="46">
        <v>1</v>
      </c>
      <c r="U14" s="46">
        <v>108</v>
      </c>
      <c r="V14" s="46">
        <v>15</v>
      </c>
      <c r="W14" s="46">
        <v>1</v>
      </c>
      <c r="X14" s="46">
        <v>1</v>
      </c>
      <c r="Y14" s="46">
        <v>0</v>
      </c>
      <c r="Z14" s="46">
        <v>1</v>
      </c>
      <c r="AA14" s="50" t="s">
        <v>159</v>
      </c>
      <c r="AB14" s="37"/>
      <c r="AC14" s="38"/>
    </row>
    <row r="15" spans="1:29" x14ac:dyDescent="0.25">
      <c r="A15" s="36">
        <v>12</v>
      </c>
      <c r="B15" s="46" t="s">
        <v>648</v>
      </c>
      <c r="C15" s="46">
        <v>0</v>
      </c>
      <c r="D15" s="46">
        <v>0</v>
      </c>
      <c r="E15" s="46">
        <v>4</v>
      </c>
      <c r="F15" s="46">
        <v>0</v>
      </c>
      <c r="G15" s="56">
        <v>0</v>
      </c>
      <c r="H15" s="46">
        <v>60</v>
      </c>
      <c r="I15" s="46">
        <v>0</v>
      </c>
      <c r="J15" s="46">
        <v>0</v>
      </c>
      <c r="K15" s="37" t="s">
        <v>159</v>
      </c>
      <c r="L15" s="37" t="s">
        <v>159</v>
      </c>
      <c r="M15" s="37" t="s">
        <v>159</v>
      </c>
      <c r="N15" s="37" t="s">
        <v>159</v>
      </c>
      <c r="O15" s="37" t="s">
        <v>159</v>
      </c>
      <c r="P15" s="37" t="s">
        <v>159</v>
      </c>
      <c r="Q15" s="37" t="s">
        <v>159</v>
      </c>
      <c r="R15" s="37" t="s">
        <v>159</v>
      </c>
      <c r="S15" s="46">
        <v>3</v>
      </c>
      <c r="T15" s="46">
        <v>0</v>
      </c>
      <c r="U15" s="46">
        <v>63</v>
      </c>
      <c r="V15" s="46">
        <v>24</v>
      </c>
      <c r="W15" s="46">
        <v>93</v>
      </c>
      <c r="X15" s="46">
        <v>0</v>
      </c>
      <c r="Y15" s="46">
        <v>0</v>
      </c>
      <c r="Z15" s="46">
        <v>0</v>
      </c>
      <c r="AA15" s="50" t="s">
        <v>159</v>
      </c>
      <c r="AB15" s="37"/>
      <c r="AC15" s="38"/>
    </row>
    <row r="16" spans="1:29" x14ac:dyDescent="0.25">
      <c r="A16" s="36">
        <v>13</v>
      </c>
      <c r="B16" s="46" t="s">
        <v>649</v>
      </c>
      <c r="C16" s="46">
        <v>0</v>
      </c>
      <c r="D16" s="46">
        <v>0</v>
      </c>
      <c r="E16" s="46">
        <v>2</v>
      </c>
      <c r="F16" s="46">
        <v>0</v>
      </c>
      <c r="G16" s="56">
        <v>100</v>
      </c>
      <c r="H16" s="46">
        <v>224</v>
      </c>
      <c r="I16" s="46">
        <v>0</v>
      </c>
      <c r="J16" s="46">
        <v>0</v>
      </c>
      <c r="K16" s="37" t="s">
        <v>159</v>
      </c>
      <c r="L16" s="37" t="s">
        <v>159</v>
      </c>
      <c r="M16" s="37" t="s">
        <v>159</v>
      </c>
      <c r="N16" s="37" t="s">
        <v>159</v>
      </c>
      <c r="O16" s="37" t="s">
        <v>159</v>
      </c>
      <c r="P16" s="37" t="s">
        <v>159</v>
      </c>
      <c r="Q16" s="37" t="s">
        <v>159</v>
      </c>
      <c r="R16" s="37" t="s">
        <v>159</v>
      </c>
      <c r="S16" s="46">
        <v>1</v>
      </c>
      <c r="T16" s="46">
        <v>0</v>
      </c>
      <c r="U16" s="46">
        <v>110</v>
      </c>
      <c r="V16" s="46">
        <v>101</v>
      </c>
      <c r="W16" s="46">
        <v>33</v>
      </c>
      <c r="X16" s="46">
        <v>0</v>
      </c>
      <c r="Y16" s="46">
        <v>0</v>
      </c>
      <c r="Z16" s="46">
        <v>0</v>
      </c>
      <c r="AA16" s="50" t="s">
        <v>159</v>
      </c>
      <c r="AB16" s="37"/>
      <c r="AC16" s="38"/>
    </row>
    <row r="17" spans="1:29" x14ac:dyDescent="0.25">
      <c r="A17" s="36">
        <v>14</v>
      </c>
      <c r="B17" s="46" t="s">
        <v>650</v>
      </c>
      <c r="C17" s="46">
        <v>0</v>
      </c>
      <c r="D17" s="46">
        <v>0</v>
      </c>
      <c r="E17" s="46">
        <v>5</v>
      </c>
      <c r="F17" s="46">
        <v>0</v>
      </c>
      <c r="G17" s="56">
        <v>84</v>
      </c>
      <c r="H17" s="46">
        <v>156</v>
      </c>
      <c r="I17" s="46">
        <v>0</v>
      </c>
      <c r="J17" s="46">
        <v>0</v>
      </c>
      <c r="K17" s="37" t="s">
        <v>159</v>
      </c>
      <c r="L17" s="37" t="s">
        <v>159</v>
      </c>
      <c r="M17" s="37" t="s">
        <v>159</v>
      </c>
      <c r="N17" s="37" t="s">
        <v>159</v>
      </c>
      <c r="O17" s="37" t="s">
        <v>159</v>
      </c>
      <c r="P17" s="37" t="s">
        <v>159</v>
      </c>
      <c r="Q17" s="37" t="s">
        <v>159</v>
      </c>
      <c r="R17" s="37" t="s">
        <v>159</v>
      </c>
      <c r="S17" s="46">
        <v>4</v>
      </c>
      <c r="T17" s="46">
        <v>0</v>
      </c>
      <c r="U17" s="46">
        <v>56</v>
      </c>
      <c r="V17" s="46">
        <v>53</v>
      </c>
      <c r="W17" s="46">
        <v>104</v>
      </c>
      <c r="X17" s="46">
        <v>0</v>
      </c>
      <c r="Y17" s="46">
        <v>0</v>
      </c>
      <c r="Z17" s="46">
        <v>0</v>
      </c>
      <c r="AA17" s="50" t="s">
        <v>159</v>
      </c>
      <c r="AB17" s="37"/>
      <c r="AC17" s="38"/>
    </row>
    <row r="18" spans="1:29" x14ac:dyDescent="0.25">
      <c r="A18" s="36">
        <v>15</v>
      </c>
      <c r="B18" s="46" t="s">
        <v>665</v>
      </c>
      <c r="C18" s="46">
        <v>0</v>
      </c>
      <c r="D18" s="46">
        <v>0</v>
      </c>
      <c r="E18" s="46">
        <v>1</v>
      </c>
      <c r="F18" s="46">
        <v>0</v>
      </c>
      <c r="G18" s="46">
        <v>96</v>
      </c>
      <c r="H18" s="56">
        <v>0</v>
      </c>
      <c r="I18" s="46">
        <v>1</v>
      </c>
      <c r="J18" s="46">
        <v>0</v>
      </c>
      <c r="K18" s="37" t="s">
        <v>159</v>
      </c>
      <c r="L18" s="37" t="s">
        <v>159</v>
      </c>
      <c r="M18" s="37" t="s">
        <v>159</v>
      </c>
      <c r="N18" s="37" t="s">
        <v>159</v>
      </c>
      <c r="O18" s="37" t="s">
        <v>159</v>
      </c>
      <c r="P18" s="37" t="s">
        <v>159</v>
      </c>
      <c r="Q18" s="37" t="s">
        <v>159</v>
      </c>
      <c r="R18" s="37" t="s">
        <v>159</v>
      </c>
      <c r="S18" s="46">
        <v>0</v>
      </c>
      <c r="T18" s="46">
        <v>0</v>
      </c>
      <c r="U18" s="46">
        <v>82</v>
      </c>
      <c r="V18" s="46">
        <v>40</v>
      </c>
      <c r="W18" s="46">
        <v>18</v>
      </c>
      <c r="X18" s="46">
        <v>1</v>
      </c>
      <c r="Y18" s="46">
        <v>0</v>
      </c>
      <c r="Z18" s="46">
        <v>0</v>
      </c>
      <c r="AA18" s="50" t="s">
        <v>159</v>
      </c>
      <c r="AB18" s="37"/>
      <c r="AC18" s="38"/>
    </row>
    <row r="19" spans="1:29" x14ac:dyDescent="0.25">
      <c r="A19" s="36">
        <v>16</v>
      </c>
      <c r="B19" s="46" t="s">
        <v>666</v>
      </c>
      <c r="C19" s="46">
        <v>0</v>
      </c>
      <c r="D19" s="46">
        <v>0</v>
      </c>
      <c r="E19" s="46">
        <v>2</v>
      </c>
      <c r="F19" s="46">
        <v>0</v>
      </c>
      <c r="G19" s="46">
        <v>80</v>
      </c>
      <c r="H19" s="56">
        <v>255</v>
      </c>
      <c r="I19" s="46">
        <v>0</v>
      </c>
      <c r="J19" s="46">
        <v>0</v>
      </c>
      <c r="K19" s="37" t="s">
        <v>159</v>
      </c>
      <c r="L19" s="37" t="s">
        <v>159</v>
      </c>
      <c r="M19" s="37" t="s">
        <v>159</v>
      </c>
      <c r="N19" s="37" t="s">
        <v>159</v>
      </c>
      <c r="O19" s="37" t="s">
        <v>159</v>
      </c>
      <c r="P19" s="37" t="s">
        <v>159</v>
      </c>
      <c r="Q19" s="37" t="s">
        <v>159</v>
      </c>
      <c r="R19" s="37" t="s">
        <v>159</v>
      </c>
      <c r="S19" s="46">
        <v>1</v>
      </c>
      <c r="T19" s="46">
        <v>0</v>
      </c>
      <c r="U19" s="46">
        <v>51</v>
      </c>
      <c r="V19" s="46">
        <v>22</v>
      </c>
      <c r="W19" s="46">
        <v>80</v>
      </c>
      <c r="X19" s="46">
        <v>0</v>
      </c>
      <c r="Y19" s="46">
        <v>0</v>
      </c>
      <c r="Z19" s="46">
        <v>0</v>
      </c>
      <c r="AA19" s="50" t="s">
        <v>159</v>
      </c>
      <c r="AB19" s="37"/>
      <c r="AC19" s="38"/>
    </row>
    <row r="20" spans="1:29" ht="15.75" thickBot="1" x14ac:dyDescent="0.3">
      <c r="A20" s="39">
        <v>17</v>
      </c>
      <c r="B20" s="47" t="s">
        <v>667</v>
      </c>
      <c r="C20" s="47">
        <v>0</v>
      </c>
      <c r="D20" s="47">
        <v>0</v>
      </c>
      <c r="E20" s="47">
        <v>3</v>
      </c>
      <c r="F20" s="47">
        <v>0</v>
      </c>
      <c r="G20" s="47">
        <v>70</v>
      </c>
      <c r="H20" s="57">
        <v>97</v>
      </c>
      <c r="I20" s="47">
        <v>1</v>
      </c>
      <c r="J20" s="47">
        <v>0</v>
      </c>
      <c r="K20" s="40" t="s">
        <v>159</v>
      </c>
      <c r="L20" s="40" t="s">
        <v>159</v>
      </c>
      <c r="M20" s="40" t="s">
        <v>159</v>
      </c>
      <c r="N20" s="40" t="s">
        <v>159</v>
      </c>
      <c r="O20" s="40" t="s">
        <v>159</v>
      </c>
      <c r="P20" s="40" t="s">
        <v>159</v>
      </c>
      <c r="Q20" s="40" t="s">
        <v>159</v>
      </c>
      <c r="R20" s="40" t="s">
        <v>159</v>
      </c>
      <c r="S20" s="47">
        <v>2</v>
      </c>
      <c r="T20" s="47">
        <v>0</v>
      </c>
      <c r="U20" s="47">
        <v>85</v>
      </c>
      <c r="V20" s="47">
        <v>85</v>
      </c>
      <c r="W20" s="47">
        <v>103</v>
      </c>
      <c r="X20" s="47">
        <v>1</v>
      </c>
      <c r="Y20" s="47">
        <v>0</v>
      </c>
      <c r="Z20" s="47">
        <v>0</v>
      </c>
      <c r="AA20" s="51" t="s">
        <v>159</v>
      </c>
      <c r="AB20" s="40"/>
      <c r="AC20" s="41"/>
    </row>
    <row r="21" spans="1:29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</row>
    <row r="22" spans="1:29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1:29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1:29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1:29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1:29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1:29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1:29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1:29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</row>
    <row r="30" spans="1:29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</row>
  </sheetData>
  <mergeCells count="2">
    <mergeCell ref="A1:B1"/>
    <mergeCell ref="A2:B2"/>
  </mergeCells>
  <hyperlinks>
    <hyperlink ref="A1" location="'VernCorrlnFltDiag'!A1" display="'VernCorrlnFltDiag'!A1"/>
  </hyperlink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C1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0" customWidth="1"/>
    <col min="3" max="4" width="4.140625" bestFit="1" customWidth="1"/>
    <col min="5" max="6" width="3.28515625" bestFit="1" customWidth="1"/>
    <col min="7" max="8" width="4" bestFit="1" customWidth="1"/>
    <col min="9" max="17" width="3.28515625" bestFit="1" customWidth="1"/>
    <col min="18" max="26" width="7.28515625" bestFit="1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279" t="s">
        <v>584</v>
      </c>
      <c r="B1" s="280"/>
      <c r="C1" s="45" t="s">
        <v>160</v>
      </c>
      <c r="D1" s="58" t="s">
        <v>159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43"/>
      <c r="AB1" s="43"/>
      <c r="AC1" s="44"/>
    </row>
    <row r="2" spans="1:29" ht="60" customHeight="1" x14ac:dyDescent="0.25">
      <c r="A2" s="281" t="s">
        <v>193</v>
      </c>
      <c r="B2" s="282"/>
      <c r="C2" s="48" t="s">
        <v>169</v>
      </c>
      <c r="D2" s="48" t="s">
        <v>169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9" t="s">
        <v>151</v>
      </c>
      <c r="L2" s="26" t="s">
        <v>151</v>
      </c>
      <c r="M2" s="26" t="s">
        <v>151</v>
      </c>
      <c r="N2" s="26" t="s">
        <v>151</v>
      </c>
      <c r="O2" s="26" t="s">
        <v>151</v>
      </c>
      <c r="P2" s="26" t="s">
        <v>151</v>
      </c>
      <c r="Q2" s="26" t="s">
        <v>151</v>
      </c>
      <c r="R2" s="27" t="s">
        <v>152</v>
      </c>
      <c r="S2" s="28" t="s">
        <v>153</v>
      </c>
      <c r="T2" s="28" t="s">
        <v>153</v>
      </c>
      <c r="U2" s="28" t="s">
        <v>153</v>
      </c>
      <c r="V2" s="28" t="s">
        <v>153</v>
      </c>
      <c r="W2" s="28" t="s">
        <v>153</v>
      </c>
      <c r="X2" s="28" t="s">
        <v>153</v>
      </c>
      <c r="Y2" s="28" t="s">
        <v>153</v>
      </c>
      <c r="Z2" s="28" t="s">
        <v>154</v>
      </c>
      <c r="AA2" s="29" t="s">
        <v>21</v>
      </c>
      <c r="AB2" s="29" t="s">
        <v>156</v>
      </c>
      <c r="AC2" s="30" t="s">
        <v>158</v>
      </c>
    </row>
    <row r="3" spans="1:29" ht="172.5" x14ac:dyDescent="0.25">
      <c r="A3" s="31" t="s">
        <v>148</v>
      </c>
      <c r="B3" s="32" t="s">
        <v>149</v>
      </c>
      <c r="C3" s="59" t="s">
        <v>597</v>
      </c>
      <c r="D3" s="59" t="s">
        <v>598</v>
      </c>
      <c r="E3" s="33" t="s">
        <v>424</v>
      </c>
      <c r="F3" s="33" t="s">
        <v>278</v>
      </c>
      <c r="G3" s="33" t="s">
        <v>279</v>
      </c>
      <c r="H3" s="33" t="s">
        <v>277</v>
      </c>
      <c r="I3" s="33" t="s">
        <v>392</v>
      </c>
      <c r="J3" s="33" t="s">
        <v>276</v>
      </c>
      <c r="K3" s="34" t="s">
        <v>424</v>
      </c>
      <c r="L3" s="34" t="s">
        <v>278</v>
      </c>
      <c r="M3" s="34" t="s">
        <v>123</v>
      </c>
      <c r="N3" s="34" t="s">
        <v>124</v>
      </c>
      <c r="O3" s="34" t="s">
        <v>125</v>
      </c>
      <c r="P3" s="34" t="s">
        <v>392</v>
      </c>
      <c r="Q3" s="34" t="s">
        <v>276</v>
      </c>
      <c r="R3" s="34" t="s">
        <v>55</v>
      </c>
      <c r="S3" s="35" t="s">
        <v>424</v>
      </c>
      <c r="T3" s="35" t="s">
        <v>278</v>
      </c>
      <c r="U3" s="35" t="s">
        <v>123</v>
      </c>
      <c r="V3" s="35" t="s">
        <v>124</v>
      </c>
      <c r="W3" s="35" t="s">
        <v>125</v>
      </c>
      <c r="X3" s="35" t="s">
        <v>392</v>
      </c>
      <c r="Y3" s="35" t="s">
        <v>276</v>
      </c>
      <c r="Z3" s="35" t="s">
        <v>55</v>
      </c>
      <c r="AA3" s="29" t="s">
        <v>155</v>
      </c>
      <c r="AB3" s="29" t="s">
        <v>157</v>
      </c>
      <c r="AC3" s="30"/>
    </row>
    <row r="4" spans="1:29" ht="90" x14ac:dyDescent="0.25">
      <c r="A4" s="36">
        <v>1</v>
      </c>
      <c r="B4" s="69" t="s">
        <v>998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0</v>
      </c>
      <c r="I4" s="63">
        <v>0</v>
      </c>
      <c r="J4" s="63">
        <v>0</v>
      </c>
      <c r="K4" s="37" t="s">
        <v>159</v>
      </c>
      <c r="L4" s="37" t="s">
        <v>159</v>
      </c>
      <c r="M4" s="37" t="s">
        <v>159</v>
      </c>
      <c r="N4" s="37" t="s">
        <v>159</v>
      </c>
      <c r="O4" s="37" t="s">
        <v>159</v>
      </c>
      <c r="P4" s="37" t="s">
        <v>159</v>
      </c>
      <c r="Q4" s="37" t="s">
        <v>159</v>
      </c>
      <c r="R4" s="37" t="s">
        <v>159</v>
      </c>
      <c r="S4" s="46">
        <v>0</v>
      </c>
      <c r="T4" s="46">
        <v>0</v>
      </c>
      <c r="U4" s="46">
        <v>108</v>
      </c>
      <c r="V4" s="46">
        <v>0</v>
      </c>
      <c r="W4" s="46">
        <v>0</v>
      </c>
      <c r="X4" s="46">
        <v>0</v>
      </c>
      <c r="Y4" s="46">
        <v>1</v>
      </c>
      <c r="Z4" s="46">
        <v>1</v>
      </c>
      <c r="AA4" s="50" t="s">
        <v>159</v>
      </c>
      <c r="AB4" s="37"/>
      <c r="AC4" s="38"/>
    </row>
    <row r="5" spans="1:29" ht="60" x14ac:dyDescent="0.25">
      <c r="A5" s="36">
        <v>2</v>
      </c>
      <c r="B5" s="69" t="s">
        <v>994</v>
      </c>
      <c r="C5" s="63">
        <v>1</v>
      </c>
      <c r="D5" s="63">
        <v>1</v>
      </c>
      <c r="E5" s="63">
        <v>6</v>
      </c>
      <c r="F5" s="63">
        <v>1</v>
      </c>
      <c r="G5" s="63">
        <v>100</v>
      </c>
      <c r="H5" s="63">
        <v>255</v>
      </c>
      <c r="I5" s="63">
        <v>1</v>
      </c>
      <c r="J5" s="63">
        <v>1</v>
      </c>
      <c r="K5" s="37" t="s">
        <v>159</v>
      </c>
      <c r="L5" s="37" t="s">
        <v>159</v>
      </c>
      <c r="M5" s="37" t="s">
        <v>159</v>
      </c>
      <c r="N5" s="37" t="s">
        <v>159</v>
      </c>
      <c r="O5" s="37" t="s">
        <v>159</v>
      </c>
      <c r="P5" s="37" t="s">
        <v>159</v>
      </c>
      <c r="Q5" s="37" t="s">
        <v>159</v>
      </c>
      <c r="R5" s="37" t="s">
        <v>159</v>
      </c>
      <c r="S5" s="46">
        <v>5</v>
      </c>
      <c r="T5" s="46">
        <v>1</v>
      </c>
      <c r="U5" s="46">
        <v>108</v>
      </c>
      <c r="V5" s="46">
        <v>15</v>
      </c>
      <c r="W5" s="46">
        <v>1</v>
      </c>
      <c r="X5" s="46">
        <v>1</v>
      </c>
      <c r="Y5" s="46">
        <v>1</v>
      </c>
      <c r="Z5" s="46">
        <v>1</v>
      </c>
      <c r="AA5" s="50" t="s">
        <v>159</v>
      </c>
      <c r="AB5" s="37"/>
      <c r="AC5" s="38"/>
    </row>
    <row r="6" spans="1:29" x14ac:dyDescent="0.25">
      <c r="A6" s="36">
        <v>3</v>
      </c>
      <c r="B6" s="46" t="s">
        <v>999</v>
      </c>
      <c r="C6" s="63">
        <v>0</v>
      </c>
      <c r="D6" s="63">
        <v>1</v>
      </c>
      <c r="E6" s="63">
        <v>2</v>
      </c>
      <c r="F6" s="63">
        <v>0</v>
      </c>
      <c r="G6" s="63">
        <v>22</v>
      </c>
      <c r="H6" s="63">
        <v>27</v>
      </c>
      <c r="I6" s="63">
        <v>0</v>
      </c>
      <c r="J6" s="63">
        <v>0</v>
      </c>
      <c r="K6" s="37" t="s">
        <v>159</v>
      </c>
      <c r="L6" s="37" t="s">
        <v>159</v>
      </c>
      <c r="M6" s="37" t="s">
        <v>159</v>
      </c>
      <c r="N6" s="37" t="s">
        <v>159</v>
      </c>
      <c r="O6" s="37" t="s">
        <v>159</v>
      </c>
      <c r="P6" s="37" t="s">
        <v>159</v>
      </c>
      <c r="Q6" s="37" t="s">
        <v>159</v>
      </c>
      <c r="R6" s="37" t="s">
        <v>159</v>
      </c>
      <c r="S6" s="46">
        <v>1</v>
      </c>
      <c r="T6" s="46">
        <v>0</v>
      </c>
      <c r="U6" s="46">
        <v>108</v>
      </c>
      <c r="V6" s="46">
        <v>10</v>
      </c>
      <c r="W6" s="46">
        <v>1</v>
      </c>
      <c r="X6" s="46">
        <v>1</v>
      </c>
      <c r="Y6" s="46">
        <v>0</v>
      </c>
      <c r="Z6" s="46">
        <v>1</v>
      </c>
      <c r="AA6" s="50" t="s">
        <v>159</v>
      </c>
      <c r="AB6" s="37"/>
      <c r="AC6" s="38"/>
    </row>
    <row r="7" spans="1:29" ht="45" x14ac:dyDescent="0.25">
      <c r="A7" s="36">
        <v>4</v>
      </c>
      <c r="B7" s="69" t="s">
        <v>995</v>
      </c>
      <c r="C7" s="63">
        <v>0</v>
      </c>
      <c r="D7" s="63">
        <v>0</v>
      </c>
      <c r="E7" s="63">
        <v>4</v>
      </c>
      <c r="F7" s="63">
        <v>0</v>
      </c>
      <c r="G7" s="63">
        <v>0</v>
      </c>
      <c r="H7" s="63">
        <v>60</v>
      </c>
      <c r="I7" s="63">
        <v>0</v>
      </c>
      <c r="J7" s="63">
        <v>0</v>
      </c>
      <c r="K7" s="37" t="s">
        <v>159</v>
      </c>
      <c r="L7" s="37" t="s">
        <v>159</v>
      </c>
      <c r="M7" s="37" t="s">
        <v>159</v>
      </c>
      <c r="N7" s="37" t="s">
        <v>159</v>
      </c>
      <c r="O7" s="37" t="s">
        <v>159</v>
      </c>
      <c r="P7" s="37" t="s">
        <v>159</v>
      </c>
      <c r="Q7" s="37" t="s">
        <v>159</v>
      </c>
      <c r="R7" s="37" t="s">
        <v>159</v>
      </c>
      <c r="S7" s="46">
        <v>3</v>
      </c>
      <c r="T7" s="46">
        <v>0</v>
      </c>
      <c r="U7" s="46">
        <v>32</v>
      </c>
      <c r="V7" s="46">
        <v>55</v>
      </c>
      <c r="W7" s="46">
        <v>120</v>
      </c>
      <c r="X7" s="46">
        <v>0</v>
      </c>
      <c r="Y7" s="46">
        <v>0</v>
      </c>
      <c r="Z7" s="46">
        <v>0</v>
      </c>
      <c r="AA7" s="50" t="s">
        <v>159</v>
      </c>
      <c r="AB7" s="37"/>
      <c r="AC7" s="38"/>
    </row>
    <row r="8" spans="1:29" x14ac:dyDescent="0.25">
      <c r="A8" s="36">
        <v>5</v>
      </c>
      <c r="B8" s="46" t="s">
        <v>997</v>
      </c>
      <c r="C8" s="63">
        <v>0</v>
      </c>
      <c r="D8" s="63">
        <v>0</v>
      </c>
      <c r="E8" s="63">
        <v>0</v>
      </c>
      <c r="F8" s="63">
        <v>0</v>
      </c>
      <c r="G8" s="63">
        <v>52</v>
      </c>
      <c r="H8" s="63">
        <v>127</v>
      </c>
      <c r="I8" s="63">
        <v>1</v>
      </c>
      <c r="J8" s="63">
        <v>1</v>
      </c>
      <c r="K8" s="37" t="s">
        <v>159</v>
      </c>
      <c r="L8" s="37" t="s">
        <v>159</v>
      </c>
      <c r="M8" s="37" t="s">
        <v>159</v>
      </c>
      <c r="N8" s="37" t="s">
        <v>159</v>
      </c>
      <c r="O8" s="37" t="s">
        <v>159</v>
      </c>
      <c r="P8" s="37" t="s">
        <v>159</v>
      </c>
      <c r="Q8" s="37" t="s">
        <v>159</v>
      </c>
      <c r="R8" s="37" t="s">
        <v>159</v>
      </c>
      <c r="S8" s="46">
        <v>0</v>
      </c>
      <c r="T8" s="46">
        <v>0</v>
      </c>
      <c r="U8" s="46">
        <v>101</v>
      </c>
      <c r="V8" s="46">
        <v>36</v>
      </c>
      <c r="W8" s="46">
        <v>56</v>
      </c>
      <c r="X8" s="46">
        <v>1</v>
      </c>
      <c r="Y8" s="46">
        <v>1</v>
      </c>
      <c r="Z8" s="46">
        <v>0</v>
      </c>
      <c r="AA8" s="50" t="s">
        <v>159</v>
      </c>
      <c r="AB8" s="37"/>
      <c r="AC8" s="38"/>
    </row>
    <row r="9" spans="1:29" ht="45.75" thickBot="1" x14ac:dyDescent="0.3">
      <c r="A9" s="39">
        <v>6</v>
      </c>
      <c r="B9" s="68" t="s">
        <v>996</v>
      </c>
      <c r="C9" s="67">
        <v>1</v>
      </c>
      <c r="D9" s="67">
        <v>0</v>
      </c>
      <c r="E9" s="67">
        <v>5</v>
      </c>
      <c r="F9" s="67">
        <v>1</v>
      </c>
      <c r="G9" s="67">
        <v>79</v>
      </c>
      <c r="H9" s="67">
        <v>164</v>
      </c>
      <c r="I9" s="67">
        <v>0</v>
      </c>
      <c r="J9" s="67">
        <v>0</v>
      </c>
      <c r="K9" s="40" t="s">
        <v>159</v>
      </c>
      <c r="L9" s="40" t="s">
        <v>159</v>
      </c>
      <c r="M9" s="40" t="s">
        <v>159</v>
      </c>
      <c r="N9" s="40" t="s">
        <v>159</v>
      </c>
      <c r="O9" s="40" t="s">
        <v>159</v>
      </c>
      <c r="P9" s="40" t="s">
        <v>159</v>
      </c>
      <c r="Q9" s="40" t="s">
        <v>159</v>
      </c>
      <c r="R9" s="40" t="s">
        <v>159</v>
      </c>
      <c r="S9" s="47">
        <v>4</v>
      </c>
      <c r="T9" s="47">
        <v>1</v>
      </c>
      <c r="U9" s="47">
        <v>108</v>
      </c>
      <c r="V9" s="47">
        <v>13</v>
      </c>
      <c r="W9" s="47">
        <v>1</v>
      </c>
      <c r="X9" s="47">
        <v>1</v>
      </c>
      <c r="Y9" s="47">
        <v>0</v>
      </c>
      <c r="Z9" s="47">
        <v>1</v>
      </c>
      <c r="AA9" s="51" t="s">
        <v>159</v>
      </c>
      <c r="AB9" s="40"/>
      <c r="AC9" s="41"/>
    </row>
    <row r="10" spans="1:29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</row>
    <row r="11" spans="1:2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</row>
    <row r="12" spans="1:2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</row>
    <row r="13" spans="1:2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</row>
    <row r="14" spans="1:2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</row>
    <row r="15" spans="1:2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</row>
    <row r="16" spans="1:29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</row>
    <row r="17" spans="1:29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1:29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1:29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</sheetData>
  <mergeCells count="2">
    <mergeCell ref="A1:B1"/>
    <mergeCell ref="A2:B2"/>
  </mergeCells>
  <hyperlinks>
    <hyperlink ref="A1" location="'VernCorrlnFltDiag'!A1" display="'VernCorrlnFltDiag'!A1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238" t="s">
        <v>43</v>
      </c>
    </row>
    <row r="16" spans="1:6" x14ac:dyDescent="0.25">
      <c r="A16" s="242" t="s">
        <v>44</v>
      </c>
      <c r="B16" s="243" t="s">
        <v>45</v>
      </c>
      <c r="C16" s="244" t="s">
        <v>46</v>
      </c>
      <c r="D16" s="246" t="s">
        <v>47</v>
      </c>
      <c r="E16" s="245" t="s">
        <v>48</v>
      </c>
      <c r="F16" s="14" t="s">
        <v>44</v>
      </c>
    </row>
    <row r="17" spans="1:6" x14ac:dyDescent="0.25">
      <c r="A17" s="52" t="s">
        <v>583</v>
      </c>
      <c r="B17" s="15" t="s">
        <v>718</v>
      </c>
      <c r="C17" s="16">
        <v>18</v>
      </c>
      <c r="D17" s="17"/>
      <c r="E17" s="18" t="s">
        <v>269</v>
      </c>
      <c r="F17" s="19" t="s">
        <v>55</v>
      </c>
    </row>
    <row r="18" spans="1:6" x14ac:dyDescent="0.25">
      <c r="A18" s="52" t="s">
        <v>583</v>
      </c>
      <c r="B18" s="15" t="s">
        <v>193</v>
      </c>
      <c r="C18" s="16">
        <v>8</v>
      </c>
      <c r="D18" s="17"/>
      <c r="E18" s="18" t="s">
        <v>342</v>
      </c>
      <c r="F18" s="19"/>
    </row>
    <row r="19" spans="1:6" x14ac:dyDescent="0.25">
      <c r="A19" s="52" t="s">
        <v>583</v>
      </c>
      <c r="B19" s="15" t="s">
        <v>99</v>
      </c>
      <c r="C19" s="16">
        <v>2</v>
      </c>
      <c r="D19" s="17"/>
      <c r="E19" s="18" t="s">
        <v>343</v>
      </c>
      <c r="F19" s="19"/>
    </row>
    <row r="20" spans="1:6" x14ac:dyDescent="0.25">
      <c r="A20" s="15"/>
      <c r="B20" s="15"/>
      <c r="C20" s="16"/>
      <c r="D20" s="17"/>
      <c r="E20" s="18" t="s">
        <v>344</v>
      </c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18"/>
      <c r="F1017" s="19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SnsrFltDiag() R'!A1" display="'SnsrFltDiag() R'!A1"/>
    <hyperlink ref="A18" location="'SnsrFltDiag() P'!A1" display="'SnsrFltDiag() P'!A1"/>
    <hyperlink ref="A19" location="'SnsrFltDiag() M'!A1" display="'SnsrFltDiag() M'!A1"/>
  </hyperlinks>
  <pageMargins left="0.7" right="0.7" top="0.75" bottom="0.75" header="0.3" footer="0.3"/>
  <pageSetup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U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9.140625" customWidth="1"/>
    <col min="3" max="4" width="6" bestFit="1" customWidth="1"/>
    <col min="5" max="8" width="4.140625" bestFit="1" customWidth="1"/>
    <col min="9" max="9" width="3.28515625" bestFit="1" customWidth="1"/>
    <col min="10" max="12" width="3.28515625" customWidth="1"/>
    <col min="13" max="14" width="7.28515625" bestFit="1" customWidth="1"/>
    <col min="15" max="15" width="10" bestFit="1" customWidth="1"/>
    <col min="16" max="18" width="7.2851562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79" t="s">
        <v>583</v>
      </c>
      <c r="B1" s="280"/>
      <c r="C1" s="45" t="s">
        <v>160</v>
      </c>
      <c r="D1" s="58" t="s">
        <v>159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43"/>
      <c r="T1" s="43"/>
      <c r="U1" s="44"/>
    </row>
    <row r="2" spans="1:21" ht="60" customHeight="1" x14ac:dyDescent="0.25">
      <c r="A2" s="281" t="s">
        <v>99</v>
      </c>
      <c r="B2" s="282"/>
      <c r="C2" s="48" t="s">
        <v>169</v>
      </c>
      <c r="D2" s="48" t="s">
        <v>169</v>
      </c>
      <c r="E2" s="48" t="s">
        <v>169</v>
      </c>
      <c r="F2" s="48" t="s">
        <v>169</v>
      </c>
      <c r="G2" s="48" t="s">
        <v>169</v>
      </c>
      <c r="H2" s="48" t="s">
        <v>169</v>
      </c>
      <c r="I2" s="49" t="s">
        <v>151</v>
      </c>
      <c r="J2" s="49" t="s">
        <v>151</v>
      </c>
      <c r="K2" s="49" t="s">
        <v>151</v>
      </c>
      <c r="L2" s="49" t="s">
        <v>151</v>
      </c>
      <c r="M2" s="27" t="s">
        <v>152</v>
      </c>
      <c r="N2" s="28" t="s">
        <v>153</v>
      </c>
      <c r="O2" s="28" t="s">
        <v>153</v>
      </c>
      <c r="P2" s="28" t="s">
        <v>153</v>
      </c>
      <c r="Q2" s="28" t="s">
        <v>153</v>
      </c>
      <c r="R2" s="28" t="s">
        <v>154</v>
      </c>
      <c r="S2" s="29" t="s">
        <v>21</v>
      </c>
      <c r="T2" s="29" t="s">
        <v>156</v>
      </c>
      <c r="U2" s="30" t="s">
        <v>158</v>
      </c>
    </row>
    <row r="3" spans="1:21" ht="161.25" x14ac:dyDescent="0.25">
      <c r="A3" s="31" t="s">
        <v>148</v>
      </c>
      <c r="B3" s="32" t="s">
        <v>149</v>
      </c>
      <c r="C3" s="59" t="s">
        <v>593</v>
      </c>
      <c r="D3" s="59" t="s">
        <v>599</v>
      </c>
      <c r="E3" s="59" t="s">
        <v>594</v>
      </c>
      <c r="F3" s="59" t="s">
        <v>592</v>
      </c>
      <c r="G3" s="59" t="s">
        <v>595</v>
      </c>
      <c r="H3" s="59" t="s">
        <v>596</v>
      </c>
      <c r="I3" s="34" t="s">
        <v>269</v>
      </c>
      <c r="J3" s="34" t="s">
        <v>342</v>
      </c>
      <c r="K3" s="34" t="s">
        <v>343</v>
      </c>
      <c r="L3" s="34" t="s">
        <v>344</v>
      </c>
      <c r="M3" s="34" t="s">
        <v>55</v>
      </c>
      <c r="N3" s="35" t="s">
        <v>269</v>
      </c>
      <c r="O3" s="35" t="s">
        <v>342</v>
      </c>
      <c r="P3" s="35" t="s">
        <v>343</v>
      </c>
      <c r="Q3" s="35" t="s">
        <v>344</v>
      </c>
      <c r="R3" s="35" t="s">
        <v>55</v>
      </c>
      <c r="S3" s="29" t="s">
        <v>155</v>
      </c>
      <c r="T3" s="29" t="s">
        <v>157</v>
      </c>
      <c r="U3" s="30"/>
    </row>
    <row r="4" spans="1:21" ht="15" customHeight="1" x14ac:dyDescent="0.25">
      <c r="A4" s="36">
        <v>1</v>
      </c>
      <c r="B4" s="69" t="s">
        <v>992</v>
      </c>
      <c r="C4" s="46">
        <v>0</v>
      </c>
      <c r="D4" s="46">
        <v>0</v>
      </c>
      <c r="E4" s="46">
        <v>0</v>
      </c>
      <c r="F4" s="46">
        <v>0</v>
      </c>
      <c r="G4" s="46">
        <v>0</v>
      </c>
      <c r="H4" s="46">
        <v>0</v>
      </c>
      <c r="I4" s="37" t="s">
        <v>159</v>
      </c>
      <c r="J4" s="37" t="s">
        <v>159</v>
      </c>
      <c r="K4" s="37" t="s">
        <v>159</v>
      </c>
      <c r="L4" s="37" t="s">
        <v>159</v>
      </c>
      <c r="M4" s="37" t="s">
        <v>159</v>
      </c>
      <c r="N4" s="46">
        <v>1</v>
      </c>
      <c r="O4" s="69" t="s">
        <v>930</v>
      </c>
      <c r="P4" s="69" t="s">
        <v>925</v>
      </c>
      <c r="Q4" s="69" t="s">
        <v>925</v>
      </c>
      <c r="R4" s="46">
        <v>2</v>
      </c>
      <c r="S4" s="50" t="s">
        <v>159</v>
      </c>
      <c r="T4" s="37"/>
      <c r="U4" s="38"/>
    </row>
    <row r="5" spans="1:21" ht="165.75" thickBot="1" x14ac:dyDescent="0.3">
      <c r="A5" s="39">
        <v>2</v>
      </c>
      <c r="B5" s="68" t="s">
        <v>993</v>
      </c>
      <c r="C5" s="47">
        <v>65535</v>
      </c>
      <c r="D5" s="47">
        <v>65535</v>
      </c>
      <c r="E5" s="47">
        <v>4</v>
      </c>
      <c r="F5" s="47">
        <v>255</v>
      </c>
      <c r="G5" s="47">
        <v>1</v>
      </c>
      <c r="H5" s="47">
        <v>1</v>
      </c>
      <c r="I5" s="40" t="s">
        <v>159</v>
      </c>
      <c r="J5" s="40" t="s">
        <v>159</v>
      </c>
      <c r="K5" s="40" t="s">
        <v>159</v>
      </c>
      <c r="L5" s="40" t="s">
        <v>159</v>
      </c>
      <c r="M5" s="40" t="s">
        <v>159</v>
      </c>
      <c r="N5" s="47">
        <v>4</v>
      </c>
      <c r="O5" s="68" t="s">
        <v>930</v>
      </c>
      <c r="P5" s="68" t="s">
        <v>925</v>
      </c>
      <c r="Q5" s="68" t="s">
        <v>925</v>
      </c>
      <c r="R5" s="47">
        <v>2</v>
      </c>
      <c r="S5" s="51" t="s">
        <v>159</v>
      </c>
      <c r="T5" s="40"/>
      <c r="U5" s="41"/>
    </row>
    <row r="6" spans="1:2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</row>
    <row r="8" spans="1:2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</row>
    <row r="9" spans="1:2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</row>
    <row r="10" spans="1:2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</row>
    <row r="11" spans="1:2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1:2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1:2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</row>
  </sheetData>
  <mergeCells count="2">
    <mergeCell ref="A1:B1"/>
    <mergeCell ref="A2:B2"/>
  </mergeCells>
  <hyperlinks>
    <hyperlink ref="A1" location="'SnsrFltDiag'!A1" display="'SnsrFltDiag'!A1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1.42578125" customWidth="1"/>
    <col min="3" max="4" width="6" bestFit="1" customWidth="1"/>
    <col min="5" max="8" width="4.140625" bestFit="1" customWidth="1"/>
    <col min="9" max="9" width="3.28515625" bestFit="1" customWidth="1"/>
    <col min="10" max="12" width="3.28515625" customWidth="1"/>
    <col min="13" max="14" width="7.28515625" bestFit="1" customWidth="1"/>
    <col min="15" max="15" width="10" bestFit="1" customWidth="1"/>
    <col min="16" max="16" width="9" bestFit="1" customWidth="1"/>
    <col min="17" max="18" width="7.2851562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79" t="s">
        <v>583</v>
      </c>
      <c r="B1" s="280"/>
      <c r="C1" s="45" t="s">
        <v>160</v>
      </c>
      <c r="D1" s="58" t="s">
        <v>159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43"/>
      <c r="T1" s="43"/>
      <c r="U1" s="44"/>
    </row>
    <row r="2" spans="1:21" ht="60" customHeight="1" x14ac:dyDescent="0.25">
      <c r="A2" s="281" t="s">
        <v>193</v>
      </c>
      <c r="B2" s="282"/>
      <c r="C2" s="48" t="s">
        <v>169</v>
      </c>
      <c r="D2" s="48" t="s">
        <v>169</v>
      </c>
      <c r="E2" s="48" t="s">
        <v>169</v>
      </c>
      <c r="F2" s="48" t="s">
        <v>169</v>
      </c>
      <c r="G2" s="48" t="s">
        <v>169</v>
      </c>
      <c r="H2" s="48" t="s">
        <v>169</v>
      </c>
      <c r="I2" s="49" t="s">
        <v>151</v>
      </c>
      <c r="J2" s="49" t="s">
        <v>151</v>
      </c>
      <c r="K2" s="49" t="s">
        <v>151</v>
      </c>
      <c r="L2" s="49" t="s">
        <v>151</v>
      </c>
      <c r="M2" s="27" t="s">
        <v>152</v>
      </c>
      <c r="N2" s="28" t="s">
        <v>153</v>
      </c>
      <c r="O2" s="28" t="s">
        <v>153</v>
      </c>
      <c r="P2" s="28" t="s">
        <v>153</v>
      </c>
      <c r="Q2" s="28" t="s">
        <v>153</v>
      </c>
      <c r="R2" s="28" t="s">
        <v>154</v>
      </c>
      <c r="S2" s="29" t="s">
        <v>21</v>
      </c>
      <c r="T2" s="29" t="s">
        <v>156</v>
      </c>
      <c r="U2" s="30" t="s">
        <v>158</v>
      </c>
    </row>
    <row r="3" spans="1:21" ht="161.25" x14ac:dyDescent="0.25">
      <c r="A3" s="31" t="s">
        <v>148</v>
      </c>
      <c r="B3" s="32" t="s">
        <v>149</v>
      </c>
      <c r="C3" s="59" t="s">
        <v>593</v>
      </c>
      <c r="D3" s="59" t="s">
        <v>599</v>
      </c>
      <c r="E3" s="59" t="s">
        <v>594</v>
      </c>
      <c r="F3" s="59" t="s">
        <v>592</v>
      </c>
      <c r="G3" s="59" t="s">
        <v>595</v>
      </c>
      <c r="H3" s="59" t="s">
        <v>596</v>
      </c>
      <c r="I3" s="34" t="s">
        <v>269</v>
      </c>
      <c r="J3" s="34" t="s">
        <v>342</v>
      </c>
      <c r="K3" s="34" t="s">
        <v>343</v>
      </c>
      <c r="L3" s="34" t="s">
        <v>344</v>
      </c>
      <c r="M3" s="34" t="s">
        <v>55</v>
      </c>
      <c r="N3" s="35" t="s">
        <v>269</v>
      </c>
      <c r="O3" s="35" t="s">
        <v>342</v>
      </c>
      <c r="P3" s="35" t="s">
        <v>343</v>
      </c>
      <c r="Q3" s="35" t="s">
        <v>344</v>
      </c>
      <c r="R3" s="35" t="s">
        <v>55</v>
      </c>
      <c r="S3" s="29" t="s">
        <v>155</v>
      </c>
      <c r="T3" s="29" t="s">
        <v>157</v>
      </c>
      <c r="U3" s="30"/>
    </row>
    <row r="4" spans="1:21" ht="90" x14ac:dyDescent="0.25">
      <c r="A4" s="36">
        <v>1</v>
      </c>
      <c r="B4" s="69" t="s">
        <v>988</v>
      </c>
      <c r="C4" s="46">
        <v>0</v>
      </c>
      <c r="D4" s="46">
        <v>0</v>
      </c>
      <c r="E4" s="46">
        <v>0</v>
      </c>
      <c r="F4" s="46">
        <v>0</v>
      </c>
      <c r="G4" s="46">
        <v>0</v>
      </c>
      <c r="H4" s="46">
        <v>0</v>
      </c>
      <c r="I4" s="37" t="s">
        <v>159</v>
      </c>
      <c r="J4" s="37" t="s">
        <v>159</v>
      </c>
      <c r="K4" s="37" t="s">
        <v>159</v>
      </c>
      <c r="L4" s="37" t="s">
        <v>159</v>
      </c>
      <c r="M4" s="37" t="s">
        <v>159</v>
      </c>
      <c r="N4" s="46">
        <v>1</v>
      </c>
      <c r="O4" s="69" t="s">
        <v>930</v>
      </c>
      <c r="P4" s="69" t="s">
        <v>925</v>
      </c>
      <c r="Q4" s="69" t="s">
        <v>925</v>
      </c>
      <c r="R4" s="46">
        <v>2</v>
      </c>
      <c r="S4" s="50" t="s">
        <v>159</v>
      </c>
      <c r="T4" s="37"/>
      <c r="U4" s="38"/>
    </row>
    <row r="5" spans="1:21" ht="75" x14ac:dyDescent="0.25">
      <c r="A5" s="36">
        <v>2</v>
      </c>
      <c r="B5" s="69" t="s">
        <v>989</v>
      </c>
      <c r="C5" s="46">
        <v>65535</v>
      </c>
      <c r="D5" s="46">
        <v>65535</v>
      </c>
      <c r="E5" s="46">
        <v>4</v>
      </c>
      <c r="F5" s="46">
        <v>255</v>
      </c>
      <c r="G5" s="46">
        <v>1</v>
      </c>
      <c r="H5" s="46">
        <v>1</v>
      </c>
      <c r="I5" s="37" t="s">
        <v>159</v>
      </c>
      <c r="J5" s="37" t="s">
        <v>159</v>
      </c>
      <c r="K5" s="37" t="s">
        <v>159</v>
      </c>
      <c r="L5" s="37" t="s">
        <v>159</v>
      </c>
      <c r="M5" s="37" t="s">
        <v>159</v>
      </c>
      <c r="N5" s="46">
        <v>4</v>
      </c>
      <c r="O5" s="69" t="s">
        <v>930</v>
      </c>
      <c r="P5" s="69" t="s">
        <v>925</v>
      </c>
      <c r="Q5" s="69" t="s">
        <v>925</v>
      </c>
      <c r="R5" s="46">
        <v>2</v>
      </c>
      <c r="S5" s="50" t="s">
        <v>159</v>
      </c>
      <c r="T5" s="37"/>
      <c r="U5" s="38"/>
    </row>
    <row r="6" spans="1:21" x14ac:dyDescent="0.25">
      <c r="A6" s="36">
        <v>3</v>
      </c>
      <c r="B6" s="46" t="s">
        <v>990</v>
      </c>
      <c r="C6" s="46">
        <v>0</v>
      </c>
      <c r="D6" s="46">
        <v>212</v>
      </c>
      <c r="E6" s="46">
        <v>4</v>
      </c>
      <c r="F6" s="46">
        <v>0</v>
      </c>
      <c r="G6" s="46">
        <v>0</v>
      </c>
      <c r="H6" s="46">
        <v>1</v>
      </c>
      <c r="I6" s="37" t="s">
        <v>159</v>
      </c>
      <c r="J6" s="37" t="s">
        <v>159</v>
      </c>
      <c r="K6" s="37" t="s">
        <v>159</v>
      </c>
      <c r="L6" s="37" t="s">
        <v>159</v>
      </c>
      <c r="M6" s="37" t="s">
        <v>159</v>
      </c>
      <c r="N6" s="46">
        <v>4</v>
      </c>
      <c r="O6" s="69" t="s">
        <v>930</v>
      </c>
      <c r="P6" s="69" t="s">
        <v>931</v>
      </c>
      <c r="Q6" s="69" t="s">
        <v>932</v>
      </c>
      <c r="R6" s="46">
        <v>2</v>
      </c>
      <c r="S6" s="50" t="s">
        <v>159</v>
      </c>
      <c r="T6" s="37"/>
      <c r="U6" s="38"/>
    </row>
    <row r="7" spans="1:21" ht="60" x14ac:dyDescent="0.25">
      <c r="A7" s="36">
        <v>4</v>
      </c>
      <c r="B7" s="69" t="s">
        <v>987</v>
      </c>
      <c r="C7" s="46">
        <v>65535</v>
      </c>
      <c r="D7" s="46">
        <v>1140</v>
      </c>
      <c r="E7" s="46">
        <v>3</v>
      </c>
      <c r="F7" s="46">
        <v>0</v>
      </c>
      <c r="G7" s="46">
        <v>1</v>
      </c>
      <c r="H7" s="46">
        <v>1</v>
      </c>
      <c r="I7" s="37" t="s">
        <v>159</v>
      </c>
      <c r="J7" s="37" t="s">
        <v>159</v>
      </c>
      <c r="K7" s="37" t="s">
        <v>159</v>
      </c>
      <c r="L7" s="37" t="s">
        <v>159</v>
      </c>
      <c r="M7" s="37" t="s">
        <v>159</v>
      </c>
      <c r="N7" s="46">
        <v>4</v>
      </c>
      <c r="O7" s="69" t="s">
        <v>930</v>
      </c>
      <c r="P7" s="69" t="s">
        <v>933</v>
      </c>
      <c r="Q7" s="69" t="s">
        <v>934</v>
      </c>
      <c r="R7" s="46">
        <v>2</v>
      </c>
      <c r="S7" s="50" t="s">
        <v>159</v>
      </c>
      <c r="T7" s="37"/>
      <c r="U7" s="38"/>
    </row>
    <row r="8" spans="1:21" x14ac:dyDescent="0.25">
      <c r="A8" s="36">
        <v>5</v>
      </c>
      <c r="B8" s="46" t="s">
        <v>985</v>
      </c>
      <c r="C8" s="46">
        <v>25</v>
      </c>
      <c r="D8" s="56">
        <v>0</v>
      </c>
      <c r="E8" s="46">
        <v>0</v>
      </c>
      <c r="F8" s="46">
        <v>0</v>
      </c>
      <c r="G8" s="46">
        <v>1</v>
      </c>
      <c r="H8" s="46">
        <v>1</v>
      </c>
      <c r="I8" s="37" t="s">
        <v>159</v>
      </c>
      <c r="J8" s="37" t="s">
        <v>159</v>
      </c>
      <c r="K8" s="37" t="s">
        <v>159</v>
      </c>
      <c r="L8" s="37" t="s">
        <v>159</v>
      </c>
      <c r="M8" s="37" t="s">
        <v>159</v>
      </c>
      <c r="N8" s="46">
        <v>3</v>
      </c>
      <c r="O8" s="69" t="s">
        <v>930</v>
      </c>
      <c r="P8" s="69" t="s">
        <v>925</v>
      </c>
      <c r="Q8" s="69" t="s">
        <v>925</v>
      </c>
      <c r="R8" s="46">
        <v>2</v>
      </c>
      <c r="S8" s="50" t="s">
        <v>159</v>
      </c>
      <c r="T8" s="37"/>
      <c r="U8" s="38"/>
    </row>
    <row r="9" spans="1:21" ht="30" x14ac:dyDescent="0.25">
      <c r="A9" s="36">
        <v>6</v>
      </c>
      <c r="B9" s="69" t="s">
        <v>991</v>
      </c>
      <c r="C9" s="46">
        <v>100</v>
      </c>
      <c r="D9" s="56">
        <v>65535</v>
      </c>
      <c r="E9" s="46">
        <v>1</v>
      </c>
      <c r="F9" s="46">
        <v>0</v>
      </c>
      <c r="G9" s="46">
        <v>0</v>
      </c>
      <c r="H9" s="46">
        <v>1</v>
      </c>
      <c r="I9" s="37" t="s">
        <v>159</v>
      </c>
      <c r="J9" s="37" t="s">
        <v>159</v>
      </c>
      <c r="K9" s="37" t="s">
        <v>159</v>
      </c>
      <c r="L9" s="37" t="s">
        <v>159</v>
      </c>
      <c r="M9" s="37" t="s">
        <v>159</v>
      </c>
      <c r="N9" s="46">
        <v>3</v>
      </c>
      <c r="O9" s="69" t="s">
        <v>930</v>
      </c>
      <c r="P9" s="69" t="s">
        <v>925</v>
      </c>
      <c r="Q9" s="69" t="s">
        <v>925</v>
      </c>
      <c r="R9" s="46">
        <v>2</v>
      </c>
      <c r="S9" s="50" t="s">
        <v>159</v>
      </c>
      <c r="T9" s="37"/>
      <c r="U9" s="38"/>
    </row>
    <row r="10" spans="1:21" x14ac:dyDescent="0.25">
      <c r="A10" s="36">
        <v>7</v>
      </c>
      <c r="B10" s="46" t="s">
        <v>986</v>
      </c>
      <c r="C10" s="46">
        <v>250</v>
      </c>
      <c r="D10" s="46">
        <v>3</v>
      </c>
      <c r="E10" s="56">
        <v>0</v>
      </c>
      <c r="F10" s="46">
        <v>144</v>
      </c>
      <c r="G10" s="46">
        <v>1</v>
      </c>
      <c r="H10" s="46">
        <v>0</v>
      </c>
      <c r="I10" s="37" t="s">
        <v>159</v>
      </c>
      <c r="J10" s="37" t="s">
        <v>159</v>
      </c>
      <c r="K10" s="37" t="s">
        <v>159</v>
      </c>
      <c r="L10" s="37" t="s">
        <v>159</v>
      </c>
      <c r="M10" s="37" t="s">
        <v>159</v>
      </c>
      <c r="N10" s="46">
        <v>3</v>
      </c>
      <c r="O10" s="69" t="s">
        <v>930</v>
      </c>
      <c r="P10" s="69" t="s">
        <v>925</v>
      </c>
      <c r="Q10" s="69" t="s">
        <v>925</v>
      </c>
      <c r="R10" s="46">
        <v>2</v>
      </c>
      <c r="S10" s="50" t="s">
        <v>159</v>
      </c>
      <c r="T10" s="37"/>
      <c r="U10" s="38"/>
    </row>
    <row r="11" spans="1:21" ht="15.75" thickBot="1" x14ac:dyDescent="0.3">
      <c r="A11" s="39">
        <v>8</v>
      </c>
      <c r="B11" s="47" t="s">
        <v>713</v>
      </c>
      <c r="C11" s="47">
        <v>0</v>
      </c>
      <c r="D11" s="47">
        <v>212</v>
      </c>
      <c r="E11" s="47">
        <v>4</v>
      </c>
      <c r="F11" s="47">
        <v>0</v>
      </c>
      <c r="G11" s="47">
        <v>0</v>
      </c>
      <c r="H11" s="47">
        <v>0</v>
      </c>
      <c r="I11" s="40" t="s">
        <v>159</v>
      </c>
      <c r="J11" s="40" t="s">
        <v>159</v>
      </c>
      <c r="K11" s="40" t="s">
        <v>159</v>
      </c>
      <c r="L11" s="40" t="s">
        <v>159</v>
      </c>
      <c r="M11" s="40" t="s">
        <v>159</v>
      </c>
      <c r="N11" s="47">
        <v>4</v>
      </c>
      <c r="O11" s="68" t="s">
        <v>930</v>
      </c>
      <c r="P11" s="68" t="s">
        <v>925</v>
      </c>
      <c r="Q11" s="68" t="s">
        <v>925</v>
      </c>
      <c r="R11" s="47">
        <v>2</v>
      </c>
      <c r="S11" s="51" t="s">
        <v>159</v>
      </c>
      <c r="T11" s="40"/>
      <c r="U11" s="41"/>
    </row>
    <row r="12" spans="1:2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1:2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1:2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1:2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</row>
    <row r="17" spans="1:2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</row>
    <row r="18" spans="1:2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</row>
    <row r="19" spans="1:2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</row>
    <row r="20" spans="1:2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</row>
    <row r="21" spans="1:2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</row>
  </sheetData>
  <mergeCells count="2">
    <mergeCell ref="A1:B1"/>
    <mergeCell ref="A2:B2"/>
  </mergeCells>
  <hyperlinks>
    <hyperlink ref="A1" location="'SnsrFltDiag'!A1" display="'SnsrFltDiag'!A1"/>
  </hyperlink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5.42578125" bestFit="1" customWidth="1"/>
    <col min="3" max="4" width="6" bestFit="1" customWidth="1"/>
    <col min="5" max="8" width="4.140625" bestFit="1" customWidth="1"/>
    <col min="9" max="9" width="3.28515625" bestFit="1" customWidth="1"/>
    <col min="10" max="12" width="3.28515625" customWidth="1"/>
    <col min="13" max="14" width="7.28515625" bestFit="1" customWidth="1"/>
    <col min="15" max="15" width="10" bestFit="1" customWidth="1"/>
    <col min="16" max="16" width="9" bestFit="1" customWidth="1"/>
    <col min="17" max="18" width="7.2851562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79" t="s">
        <v>583</v>
      </c>
      <c r="B1" s="280"/>
      <c r="C1" s="45" t="s">
        <v>160</v>
      </c>
      <c r="D1" s="58" t="s">
        <v>159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43"/>
      <c r="T1" s="43"/>
      <c r="U1" s="44"/>
    </row>
    <row r="2" spans="1:21" ht="60" customHeight="1" x14ac:dyDescent="0.25">
      <c r="A2" s="281" t="s">
        <v>718</v>
      </c>
      <c r="B2" s="282"/>
      <c r="C2" s="48" t="s">
        <v>169</v>
      </c>
      <c r="D2" s="48" t="s">
        <v>169</v>
      </c>
      <c r="E2" s="48" t="s">
        <v>169</v>
      </c>
      <c r="F2" s="48" t="s">
        <v>169</v>
      </c>
      <c r="G2" s="48" t="s">
        <v>169</v>
      </c>
      <c r="H2" s="48" t="s">
        <v>169</v>
      </c>
      <c r="I2" s="49" t="s">
        <v>151</v>
      </c>
      <c r="J2" s="49" t="s">
        <v>151</v>
      </c>
      <c r="K2" s="49" t="s">
        <v>151</v>
      </c>
      <c r="L2" s="49" t="s">
        <v>151</v>
      </c>
      <c r="M2" s="27" t="s">
        <v>152</v>
      </c>
      <c r="N2" s="28" t="s">
        <v>153</v>
      </c>
      <c r="O2" s="28" t="s">
        <v>153</v>
      </c>
      <c r="P2" s="28" t="s">
        <v>153</v>
      </c>
      <c r="Q2" s="28" t="s">
        <v>153</v>
      </c>
      <c r="R2" s="28" t="s">
        <v>154</v>
      </c>
      <c r="S2" s="29" t="s">
        <v>21</v>
      </c>
      <c r="T2" s="29" t="s">
        <v>156</v>
      </c>
      <c r="U2" s="30" t="s">
        <v>158</v>
      </c>
    </row>
    <row r="3" spans="1:21" ht="161.25" x14ac:dyDescent="0.25">
      <c r="A3" s="31" t="s">
        <v>148</v>
      </c>
      <c r="B3" s="32" t="s">
        <v>149</v>
      </c>
      <c r="C3" s="59" t="s">
        <v>593</v>
      </c>
      <c r="D3" s="59" t="s">
        <v>599</v>
      </c>
      <c r="E3" s="59" t="s">
        <v>594</v>
      </c>
      <c r="F3" s="59" t="s">
        <v>592</v>
      </c>
      <c r="G3" s="59" t="s">
        <v>595</v>
      </c>
      <c r="H3" s="59" t="s">
        <v>596</v>
      </c>
      <c r="I3" s="34" t="s">
        <v>269</v>
      </c>
      <c r="J3" s="34" t="s">
        <v>342</v>
      </c>
      <c r="K3" s="34" t="s">
        <v>343</v>
      </c>
      <c r="L3" s="34" t="s">
        <v>344</v>
      </c>
      <c r="M3" s="34" t="s">
        <v>55</v>
      </c>
      <c r="N3" s="35" t="s">
        <v>269</v>
      </c>
      <c r="O3" s="35" t="s">
        <v>342</v>
      </c>
      <c r="P3" s="35" t="s">
        <v>343</v>
      </c>
      <c r="Q3" s="35" t="s">
        <v>344</v>
      </c>
      <c r="R3" s="35" t="s">
        <v>55</v>
      </c>
      <c r="S3" s="29" t="s">
        <v>155</v>
      </c>
      <c r="T3" s="29" t="s">
        <v>157</v>
      </c>
      <c r="U3" s="30"/>
    </row>
    <row r="4" spans="1:21" x14ac:dyDescent="0.25">
      <c r="A4" s="36">
        <v>1</v>
      </c>
      <c r="B4" s="46" t="s">
        <v>161</v>
      </c>
      <c r="C4" s="56">
        <v>0</v>
      </c>
      <c r="D4" s="56">
        <v>0</v>
      </c>
      <c r="E4" s="56">
        <v>0</v>
      </c>
      <c r="F4" s="56">
        <v>0</v>
      </c>
      <c r="G4" s="56">
        <v>0</v>
      </c>
      <c r="H4" s="56">
        <v>0</v>
      </c>
      <c r="I4" s="37" t="s">
        <v>159</v>
      </c>
      <c r="J4" s="37" t="s">
        <v>159</v>
      </c>
      <c r="K4" s="37" t="s">
        <v>159</v>
      </c>
      <c r="L4" s="37" t="s">
        <v>159</v>
      </c>
      <c r="M4" s="37" t="s">
        <v>159</v>
      </c>
      <c r="N4" s="46" t="s">
        <v>159</v>
      </c>
      <c r="O4" s="69" t="s">
        <v>159</v>
      </c>
      <c r="P4" s="69" t="s">
        <v>159</v>
      </c>
      <c r="Q4" s="69" t="s">
        <v>159</v>
      </c>
      <c r="R4" s="46" t="s">
        <v>159</v>
      </c>
      <c r="S4" s="50" t="s">
        <v>159</v>
      </c>
      <c r="T4" s="37"/>
      <c r="U4" s="38"/>
    </row>
    <row r="5" spans="1:21" x14ac:dyDescent="0.25">
      <c r="A5" s="36">
        <v>2</v>
      </c>
      <c r="B5" s="46" t="s">
        <v>162</v>
      </c>
      <c r="C5" s="56">
        <v>65535</v>
      </c>
      <c r="D5" s="56">
        <v>65535</v>
      </c>
      <c r="E5" s="56">
        <v>4</v>
      </c>
      <c r="F5" s="56">
        <v>255</v>
      </c>
      <c r="G5" s="56">
        <v>1</v>
      </c>
      <c r="H5" s="56">
        <v>1</v>
      </c>
      <c r="I5" s="37" t="s">
        <v>159</v>
      </c>
      <c r="J5" s="37" t="s">
        <v>159</v>
      </c>
      <c r="K5" s="37" t="s">
        <v>159</v>
      </c>
      <c r="L5" s="37" t="s">
        <v>159</v>
      </c>
      <c r="M5" s="37" t="s">
        <v>159</v>
      </c>
      <c r="N5" s="46">
        <v>4</v>
      </c>
      <c r="O5" s="69" t="s">
        <v>930</v>
      </c>
      <c r="P5" s="69" t="s">
        <v>925</v>
      </c>
      <c r="Q5" s="69" t="s">
        <v>925</v>
      </c>
      <c r="R5" s="46">
        <v>2</v>
      </c>
      <c r="S5" s="50" t="s">
        <v>159</v>
      </c>
      <c r="T5" s="37"/>
      <c r="U5" s="38"/>
    </row>
    <row r="6" spans="1:21" x14ac:dyDescent="0.25">
      <c r="A6" s="36">
        <v>3</v>
      </c>
      <c r="B6" s="46" t="s">
        <v>668</v>
      </c>
      <c r="C6" s="56">
        <v>0</v>
      </c>
      <c r="D6" s="46">
        <v>212</v>
      </c>
      <c r="E6" s="46">
        <v>4</v>
      </c>
      <c r="F6" s="46">
        <v>0</v>
      </c>
      <c r="G6" s="46">
        <v>0</v>
      </c>
      <c r="H6" s="46">
        <v>1</v>
      </c>
      <c r="I6" s="37" t="s">
        <v>159</v>
      </c>
      <c r="J6" s="37" t="s">
        <v>159</v>
      </c>
      <c r="K6" s="37" t="s">
        <v>159</v>
      </c>
      <c r="L6" s="37" t="s">
        <v>159</v>
      </c>
      <c r="M6" s="37" t="s">
        <v>159</v>
      </c>
      <c r="N6" s="46">
        <v>4</v>
      </c>
      <c r="O6" s="69" t="s">
        <v>930</v>
      </c>
      <c r="P6" s="69" t="s">
        <v>931</v>
      </c>
      <c r="Q6" s="69" t="s">
        <v>932</v>
      </c>
      <c r="R6" s="46">
        <v>2</v>
      </c>
      <c r="S6" s="50" t="s">
        <v>159</v>
      </c>
      <c r="T6" s="37"/>
      <c r="U6" s="38"/>
    </row>
    <row r="7" spans="1:21" x14ac:dyDescent="0.25">
      <c r="A7" s="36">
        <v>4</v>
      </c>
      <c r="B7" s="46" t="s">
        <v>669</v>
      </c>
      <c r="C7" s="56">
        <v>65535</v>
      </c>
      <c r="D7" s="46">
        <v>1140</v>
      </c>
      <c r="E7" s="46">
        <v>3</v>
      </c>
      <c r="F7" s="46">
        <v>0</v>
      </c>
      <c r="G7" s="46">
        <v>1</v>
      </c>
      <c r="H7" s="46">
        <v>1</v>
      </c>
      <c r="I7" s="37" t="s">
        <v>159</v>
      </c>
      <c r="J7" s="37" t="s">
        <v>159</v>
      </c>
      <c r="K7" s="37" t="s">
        <v>159</v>
      </c>
      <c r="L7" s="37" t="s">
        <v>159</v>
      </c>
      <c r="M7" s="37" t="s">
        <v>159</v>
      </c>
      <c r="N7" s="46">
        <v>4</v>
      </c>
      <c r="O7" s="69" t="s">
        <v>930</v>
      </c>
      <c r="P7" s="69" t="s">
        <v>933</v>
      </c>
      <c r="Q7" s="69" t="s">
        <v>934</v>
      </c>
      <c r="R7" s="46">
        <v>2</v>
      </c>
      <c r="S7" s="50" t="s">
        <v>159</v>
      </c>
      <c r="T7" s="37"/>
      <c r="U7" s="38"/>
    </row>
    <row r="8" spans="1:21" x14ac:dyDescent="0.25">
      <c r="A8" s="36">
        <v>5</v>
      </c>
      <c r="B8" s="46" t="s">
        <v>670</v>
      </c>
      <c r="C8" s="56">
        <v>354</v>
      </c>
      <c r="D8" s="46">
        <v>500</v>
      </c>
      <c r="E8" s="46">
        <v>3</v>
      </c>
      <c r="F8" s="46">
        <v>0</v>
      </c>
      <c r="G8" s="46">
        <v>0</v>
      </c>
      <c r="H8" s="46">
        <v>1</v>
      </c>
      <c r="I8" s="37" t="s">
        <v>159</v>
      </c>
      <c r="J8" s="37" t="s">
        <v>159</v>
      </c>
      <c r="K8" s="37" t="s">
        <v>159</v>
      </c>
      <c r="L8" s="37" t="s">
        <v>159</v>
      </c>
      <c r="M8" s="37" t="s">
        <v>159</v>
      </c>
      <c r="N8" s="46">
        <v>4</v>
      </c>
      <c r="O8" s="69" t="s">
        <v>930</v>
      </c>
      <c r="P8" s="69" t="s">
        <v>931</v>
      </c>
      <c r="Q8" s="69" t="s">
        <v>932</v>
      </c>
      <c r="R8" s="46">
        <v>2</v>
      </c>
      <c r="S8" s="50" t="s">
        <v>159</v>
      </c>
      <c r="T8" s="37"/>
      <c r="U8" s="38"/>
    </row>
    <row r="9" spans="1:21" x14ac:dyDescent="0.25">
      <c r="A9" s="36">
        <v>6</v>
      </c>
      <c r="B9" s="46" t="s">
        <v>671</v>
      </c>
      <c r="C9" s="46">
        <v>25</v>
      </c>
      <c r="D9" s="56">
        <v>0</v>
      </c>
      <c r="E9" s="46">
        <v>0</v>
      </c>
      <c r="F9" s="46">
        <v>0</v>
      </c>
      <c r="G9" s="46">
        <v>1</v>
      </c>
      <c r="H9" s="46">
        <v>1</v>
      </c>
      <c r="I9" s="37" t="s">
        <v>159</v>
      </c>
      <c r="J9" s="37" t="s">
        <v>159</v>
      </c>
      <c r="K9" s="37" t="s">
        <v>159</v>
      </c>
      <c r="L9" s="37" t="s">
        <v>159</v>
      </c>
      <c r="M9" s="37" t="s">
        <v>159</v>
      </c>
      <c r="N9" s="46">
        <v>3</v>
      </c>
      <c r="O9" s="69" t="s">
        <v>930</v>
      </c>
      <c r="P9" s="69" t="s">
        <v>925</v>
      </c>
      <c r="Q9" s="69" t="s">
        <v>925</v>
      </c>
      <c r="R9" s="46">
        <v>2</v>
      </c>
      <c r="S9" s="50" t="s">
        <v>159</v>
      </c>
      <c r="T9" s="37"/>
      <c r="U9" s="38"/>
    </row>
    <row r="10" spans="1:21" x14ac:dyDescent="0.25">
      <c r="A10" s="36">
        <v>7</v>
      </c>
      <c r="B10" s="46" t="s">
        <v>672</v>
      </c>
      <c r="C10" s="46">
        <v>100</v>
      </c>
      <c r="D10" s="56">
        <v>65535</v>
      </c>
      <c r="E10" s="46">
        <v>1</v>
      </c>
      <c r="F10" s="46">
        <v>0</v>
      </c>
      <c r="G10" s="46">
        <v>0</v>
      </c>
      <c r="H10" s="46">
        <v>1</v>
      </c>
      <c r="I10" s="37" t="s">
        <v>159</v>
      </c>
      <c r="J10" s="37" t="s">
        <v>159</v>
      </c>
      <c r="K10" s="37" t="s">
        <v>159</v>
      </c>
      <c r="L10" s="37" t="s">
        <v>159</v>
      </c>
      <c r="M10" s="37" t="s">
        <v>159</v>
      </c>
      <c r="N10" s="46">
        <v>3</v>
      </c>
      <c r="O10" s="69" t="s">
        <v>930</v>
      </c>
      <c r="P10" s="69" t="s">
        <v>925</v>
      </c>
      <c r="Q10" s="69" t="s">
        <v>925</v>
      </c>
      <c r="R10" s="46">
        <v>2</v>
      </c>
      <c r="S10" s="50" t="s">
        <v>159</v>
      </c>
      <c r="T10" s="37"/>
      <c r="U10" s="38"/>
    </row>
    <row r="11" spans="1:21" x14ac:dyDescent="0.25">
      <c r="A11" s="36">
        <v>8</v>
      </c>
      <c r="B11" s="46" t="s">
        <v>673</v>
      </c>
      <c r="C11" s="46">
        <v>1975</v>
      </c>
      <c r="D11" s="56">
        <v>1205</v>
      </c>
      <c r="E11" s="46">
        <v>2</v>
      </c>
      <c r="F11" s="46">
        <v>0</v>
      </c>
      <c r="G11" s="46">
        <v>0</v>
      </c>
      <c r="H11" s="46">
        <v>1</v>
      </c>
      <c r="I11" s="37" t="s">
        <v>159</v>
      </c>
      <c r="J11" s="37" t="s">
        <v>159</v>
      </c>
      <c r="K11" s="37" t="s">
        <v>159</v>
      </c>
      <c r="L11" s="37" t="s">
        <v>159</v>
      </c>
      <c r="M11" s="37" t="s">
        <v>159</v>
      </c>
      <c r="N11" s="46">
        <v>3</v>
      </c>
      <c r="O11" s="69" t="s">
        <v>930</v>
      </c>
      <c r="P11" s="69" t="s">
        <v>925</v>
      </c>
      <c r="Q11" s="69" t="s">
        <v>925</v>
      </c>
      <c r="R11" s="46">
        <v>2</v>
      </c>
      <c r="S11" s="50" t="s">
        <v>159</v>
      </c>
      <c r="T11" s="37"/>
      <c r="U11" s="38"/>
    </row>
    <row r="12" spans="1:21" x14ac:dyDescent="0.25">
      <c r="A12" s="36">
        <v>9</v>
      </c>
      <c r="B12" s="46" t="s">
        <v>674</v>
      </c>
      <c r="C12" s="46">
        <v>250</v>
      </c>
      <c r="D12" s="46">
        <v>3</v>
      </c>
      <c r="E12" s="56">
        <v>0</v>
      </c>
      <c r="F12" s="46">
        <v>144</v>
      </c>
      <c r="G12" s="46">
        <v>1</v>
      </c>
      <c r="H12" s="46">
        <v>0</v>
      </c>
      <c r="I12" s="37" t="s">
        <v>159</v>
      </c>
      <c r="J12" s="37" t="s">
        <v>159</v>
      </c>
      <c r="K12" s="37" t="s">
        <v>159</v>
      </c>
      <c r="L12" s="37" t="s">
        <v>159</v>
      </c>
      <c r="M12" s="37" t="s">
        <v>159</v>
      </c>
      <c r="N12" s="46">
        <v>3</v>
      </c>
      <c r="O12" s="69" t="s">
        <v>930</v>
      </c>
      <c r="P12" s="69" t="s">
        <v>925</v>
      </c>
      <c r="Q12" s="69" t="s">
        <v>925</v>
      </c>
      <c r="R12" s="46">
        <v>2</v>
      </c>
      <c r="S12" s="50" t="s">
        <v>159</v>
      </c>
      <c r="T12" s="37"/>
      <c r="U12" s="38"/>
    </row>
    <row r="13" spans="1:21" x14ac:dyDescent="0.25">
      <c r="A13" s="36">
        <v>10</v>
      </c>
      <c r="B13" s="46" t="s">
        <v>675</v>
      </c>
      <c r="C13" s="46">
        <v>325</v>
      </c>
      <c r="D13" s="46">
        <v>88</v>
      </c>
      <c r="E13" s="56">
        <v>4</v>
      </c>
      <c r="F13" s="46">
        <v>166</v>
      </c>
      <c r="G13" s="46">
        <v>0</v>
      </c>
      <c r="H13" s="46">
        <v>1</v>
      </c>
      <c r="I13" s="37" t="s">
        <v>159</v>
      </c>
      <c r="J13" s="37" t="s">
        <v>159</v>
      </c>
      <c r="K13" s="37" t="s">
        <v>159</v>
      </c>
      <c r="L13" s="37" t="s">
        <v>159</v>
      </c>
      <c r="M13" s="37" t="s">
        <v>159</v>
      </c>
      <c r="N13" s="46">
        <v>4</v>
      </c>
      <c r="O13" s="69" t="s">
        <v>930</v>
      </c>
      <c r="P13" s="69" t="s">
        <v>925</v>
      </c>
      <c r="Q13" s="69" t="s">
        <v>925</v>
      </c>
      <c r="R13" s="46">
        <v>2</v>
      </c>
      <c r="S13" s="50" t="s">
        <v>159</v>
      </c>
      <c r="T13" s="37"/>
      <c r="U13" s="38"/>
    </row>
    <row r="14" spans="1:21" x14ac:dyDescent="0.25">
      <c r="A14" s="36">
        <v>11</v>
      </c>
      <c r="B14" s="46" t="s">
        <v>676</v>
      </c>
      <c r="C14" s="46">
        <v>4004</v>
      </c>
      <c r="D14" s="46">
        <v>173</v>
      </c>
      <c r="E14" s="56">
        <v>2</v>
      </c>
      <c r="F14" s="46">
        <v>188</v>
      </c>
      <c r="G14" s="46">
        <v>1</v>
      </c>
      <c r="H14" s="46">
        <v>0</v>
      </c>
      <c r="I14" s="37" t="s">
        <v>159</v>
      </c>
      <c r="J14" s="37" t="s">
        <v>159</v>
      </c>
      <c r="K14" s="37" t="s">
        <v>159</v>
      </c>
      <c r="L14" s="37" t="s">
        <v>159</v>
      </c>
      <c r="M14" s="37" t="s">
        <v>159</v>
      </c>
      <c r="N14" s="46">
        <v>3</v>
      </c>
      <c r="O14" s="69" t="s">
        <v>930</v>
      </c>
      <c r="P14" s="69" t="s">
        <v>925</v>
      </c>
      <c r="Q14" s="69" t="s">
        <v>925</v>
      </c>
      <c r="R14" s="46">
        <v>2</v>
      </c>
      <c r="S14" s="50" t="s">
        <v>159</v>
      </c>
      <c r="T14" s="37"/>
      <c r="U14" s="38"/>
    </row>
    <row r="15" spans="1:21" x14ac:dyDescent="0.25">
      <c r="A15" s="36">
        <v>12</v>
      </c>
      <c r="B15" s="46" t="s">
        <v>677</v>
      </c>
      <c r="C15" s="46">
        <v>475</v>
      </c>
      <c r="D15" s="46">
        <v>258</v>
      </c>
      <c r="E15" s="46">
        <v>1</v>
      </c>
      <c r="F15" s="56">
        <v>0</v>
      </c>
      <c r="G15" s="46">
        <v>0</v>
      </c>
      <c r="H15" s="46">
        <v>1</v>
      </c>
      <c r="I15" s="37" t="s">
        <v>159</v>
      </c>
      <c r="J15" s="37" t="s">
        <v>159</v>
      </c>
      <c r="K15" s="37" t="s">
        <v>159</v>
      </c>
      <c r="L15" s="37" t="s">
        <v>159</v>
      </c>
      <c r="M15" s="37" t="s">
        <v>159</v>
      </c>
      <c r="N15" s="46">
        <v>3</v>
      </c>
      <c r="O15" s="69" t="s">
        <v>930</v>
      </c>
      <c r="P15" s="69" t="s">
        <v>925</v>
      </c>
      <c r="Q15" s="69" t="s">
        <v>925</v>
      </c>
      <c r="R15" s="46">
        <v>2</v>
      </c>
      <c r="S15" s="50" t="s">
        <v>159</v>
      </c>
      <c r="T15" s="37"/>
      <c r="U15" s="38"/>
    </row>
    <row r="16" spans="1:21" x14ac:dyDescent="0.25">
      <c r="A16" s="36">
        <v>13</v>
      </c>
      <c r="B16" s="46" t="s">
        <v>678</v>
      </c>
      <c r="C16" s="46">
        <v>2550</v>
      </c>
      <c r="D16" s="46">
        <v>343</v>
      </c>
      <c r="E16" s="46">
        <v>3</v>
      </c>
      <c r="F16" s="56">
        <v>255</v>
      </c>
      <c r="G16" s="46">
        <v>1</v>
      </c>
      <c r="H16" s="46">
        <v>0</v>
      </c>
      <c r="I16" s="37" t="s">
        <v>159</v>
      </c>
      <c r="J16" s="37" t="s">
        <v>159</v>
      </c>
      <c r="K16" s="37" t="s">
        <v>159</v>
      </c>
      <c r="L16" s="37" t="s">
        <v>159</v>
      </c>
      <c r="M16" s="37" t="s">
        <v>159</v>
      </c>
      <c r="N16" s="46">
        <v>4</v>
      </c>
      <c r="O16" s="69" t="s">
        <v>930</v>
      </c>
      <c r="P16" s="69" t="s">
        <v>925</v>
      </c>
      <c r="Q16" s="69" t="s">
        <v>925</v>
      </c>
      <c r="R16" s="46">
        <v>2</v>
      </c>
      <c r="S16" s="50" t="s">
        <v>159</v>
      </c>
      <c r="T16" s="37"/>
      <c r="U16" s="38"/>
    </row>
    <row r="17" spans="1:21" x14ac:dyDescent="0.25">
      <c r="A17" s="36">
        <v>14</v>
      </c>
      <c r="B17" s="46" t="s">
        <v>679</v>
      </c>
      <c r="C17" s="46">
        <v>625</v>
      </c>
      <c r="D17" s="46">
        <v>428</v>
      </c>
      <c r="E17" s="46">
        <v>4</v>
      </c>
      <c r="F17" s="46">
        <v>5</v>
      </c>
      <c r="G17" s="46">
        <v>0</v>
      </c>
      <c r="H17" s="46">
        <v>1</v>
      </c>
      <c r="I17" s="37" t="s">
        <v>159</v>
      </c>
      <c r="J17" s="37" t="s">
        <v>159</v>
      </c>
      <c r="K17" s="37" t="s">
        <v>159</v>
      </c>
      <c r="L17" s="37" t="s">
        <v>159</v>
      </c>
      <c r="M17" s="37" t="s">
        <v>159</v>
      </c>
      <c r="N17" s="46">
        <v>4</v>
      </c>
      <c r="O17" s="69" t="s">
        <v>930</v>
      </c>
      <c r="P17" s="69" t="s">
        <v>925</v>
      </c>
      <c r="Q17" s="69" t="s">
        <v>925</v>
      </c>
      <c r="R17" s="46">
        <v>2</v>
      </c>
      <c r="S17" s="50" t="s">
        <v>159</v>
      </c>
      <c r="T17" s="37"/>
      <c r="U17" s="38"/>
    </row>
    <row r="18" spans="1:21" x14ac:dyDescent="0.25">
      <c r="A18" s="36">
        <v>15</v>
      </c>
      <c r="B18" s="46" t="s">
        <v>680</v>
      </c>
      <c r="C18" s="46">
        <v>3700</v>
      </c>
      <c r="D18" s="46">
        <v>1513</v>
      </c>
      <c r="E18" s="46">
        <v>0</v>
      </c>
      <c r="F18" s="46">
        <v>8</v>
      </c>
      <c r="G18" s="56">
        <v>0</v>
      </c>
      <c r="H18" s="46">
        <v>0</v>
      </c>
      <c r="I18" s="37" t="s">
        <v>159</v>
      </c>
      <c r="J18" s="37" t="s">
        <v>159</v>
      </c>
      <c r="K18" s="37" t="s">
        <v>159</v>
      </c>
      <c r="L18" s="37" t="s">
        <v>159</v>
      </c>
      <c r="M18" s="37" t="s">
        <v>159</v>
      </c>
      <c r="N18" s="46">
        <v>3</v>
      </c>
      <c r="O18" s="69" t="s">
        <v>930</v>
      </c>
      <c r="P18" s="69" t="s">
        <v>925</v>
      </c>
      <c r="Q18" s="69" t="s">
        <v>925</v>
      </c>
      <c r="R18" s="46">
        <v>2</v>
      </c>
      <c r="S18" s="50" t="s">
        <v>159</v>
      </c>
      <c r="T18" s="37"/>
      <c r="U18" s="38"/>
    </row>
    <row r="19" spans="1:21" x14ac:dyDescent="0.25">
      <c r="A19" s="36">
        <v>16</v>
      </c>
      <c r="B19" s="46" t="s">
        <v>681</v>
      </c>
      <c r="C19" s="46">
        <v>775</v>
      </c>
      <c r="D19" s="46">
        <v>598</v>
      </c>
      <c r="E19" s="46">
        <v>2</v>
      </c>
      <c r="F19" s="46">
        <v>11</v>
      </c>
      <c r="G19" s="56">
        <v>1</v>
      </c>
      <c r="H19" s="46">
        <v>0</v>
      </c>
      <c r="I19" s="37" t="s">
        <v>159</v>
      </c>
      <c r="J19" s="37" t="s">
        <v>159</v>
      </c>
      <c r="K19" s="37" t="s">
        <v>159</v>
      </c>
      <c r="L19" s="37" t="s">
        <v>159</v>
      </c>
      <c r="M19" s="37" t="s">
        <v>159</v>
      </c>
      <c r="N19" s="46">
        <v>3</v>
      </c>
      <c r="O19" s="69" t="s">
        <v>930</v>
      </c>
      <c r="P19" s="69" t="s">
        <v>925</v>
      </c>
      <c r="Q19" s="69" t="s">
        <v>925</v>
      </c>
      <c r="R19" s="46">
        <v>2</v>
      </c>
      <c r="S19" s="50" t="s">
        <v>159</v>
      </c>
      <c r="T19" s="37"/>
      <c r="U19" s="38"/>
    </row>
    <row r="20" spans="1:21" x14ac:dyDescent="0.25">
      <c r="A20" s="36">
        <v>17</v>
      </c>
      <c r="B20" s="46" t="s">
        <v>682</v>
      </c>
      <c r="C20" s="46">
        <v>850</v>
      </c>
      <c r="D20" s="46">
        <v>683</v>
      </c>
      <c r="E20" s="46">
        <v>0</v>
      </c>
      <c r="F20" s="46">
        <v>14</v>
      </c>
      <c r="G20" s="46">
        <v>0</v>
      </c>
      <c r="H20" s="56">
        <v>0</v>
      </c>
      <c r="I20" s="37" t="s">
        <v>159</v>
      </c>
      <c r="J20" s="37" t="s">
        <v>159</v>
      </c>
      <c r="K20" s="37" t="s">
        <v>159</v>
      </c>
      <c r="L20" s="37" t="s">
        <v>159</v>
      </c>
      <c r="M20" s="37" t="s">
        <v>159</v>
      </c>
      <c r="N20" s="46">
        <v>3</v>
      </c>
      <c r="O20" s="69" t="s">
        <v>930</v>
      </c>
      <c r="P20" s="69" t="s">
        <v>925</v>
      </c>
      <c r="Q20" s="69" t="s">
        <v>925</v>
      </c>
      <c r="R20" s="46">
        <v>2</v>
      </c>
      <c r="S20" s="50" t="s">
        <v>159</v>
      </c>
      <c r="T20" s="37"/>
      <c r="U20" s="38"/>
    </row>
    <row r="21" spans="1:21" ht="15.75" thickBot="1" x14ac:dyDescent="0.3">
      <c r="A21" s="39">
        <v>18</v>
      </c>
      <c r="B21" s="47" t="s">
        <v>683</v>
      </c>
      <c r="C21" s="47">
        <v>444</v>
      </c>
      <c r="D21" s="47">
        <v>999</v>
      </c>
      <c r="E21" s="47">
        <v>1</v>
      </c>
      <c r="F21" s="47">
        <v>36</v>
      </c>
      <c r="G21" s="47">
        <v>1</v>
      </c>
      <c r="H21" s="57">
        <v>1</v>
      </c>
      <c r="I21" s="40" t="s">
        <v>159</v>
      </c>
      <c r="J21" s="40" t="s">
        <v>159</v>
      </c>
      <c r="K21" s="40" t="s">
        <v>159</v>
      </c>
      <c r="L21" s="40" t="s">
        <v>159</v>
      </c>
      <c r="M21" s="40" t="s">
        <v>159</v>
      </c>
      <c r="N21" s="47">
        <v>3</v>
      </c>
      <c r="O21" s="68" t="s">
        <v>930</v>
      </c>
      <c r="P21" s="68" t="s">
        <v>925</v>
      </c>
      <c r="Q21" s="68" t="s">
        <v>925</v>
      </c>
      <c r="R21" s="47">
        <v>2</v>
      </c>
      <c r="S21" s="51" t="s">
        <v>159</v>
      </c>
      <c r="T21" s="40"/>
      <c r="U21" s="41"/>
    </row>
    <row r="22" spans="1:2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</row>
    <row r="23" spans="1:2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</row>
    <row r="24" spans="1:2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</row>
    <row r="25" spans="1:2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</row>
    <row r="26" spans="1:2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</row>
    <row r="27" spans="1:21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</row>
    <row r="28" spans="1:21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</row>
    <row r="29" spans="1:2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</row>
    <row r="30" spans="1:2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</row>
    <row r="31" spans="1:21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</row>
  </sheetData>
  <mergeCells count="2">
    <mergeCell ref="A1:B1"/>
    <mergeCell ref="A2:B2"/>
  </mergeCells>
  <hyperlinks>
    <hyperlink ref="A1" location="'SnsrFltDiag'!A1" display="'SnsrFltDiag'!A1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202" t="s">
        <v>43</v>
      </c>
    </row>
    <row r="16" spans="1:6" x14ac:dyDescent="0.25">
      <c r="A16" s="211" t="s">
        <v>44</v>
      </c>
      <c r="B16" s="212" t="s">
        <v>45</v>
      </c>
      <c r="C16" s="213" t="s">
        <v>46</v>
      </c>
      <c r="D16" s="215" t="s">
        <v>47</v>
      </c>
      <c r="E16" s="214" t="s">
        <v>48</v>
      </c>
      <c r="F16" s="14" t="s">
        <v>44</v>
      </c>
    </row>
    <row r="17" spans="1:6" x14ac:dyDescent="0.25">
      <c r="A17" s="52" t="s">
        <v>582</v>
      </c>
      <c r="B17" s="15" t="s">
        <v>718</v>
      </c>
      <c r="C17" s="16">
        <v>11</v>
      </c>
      <c r="D17" s="17" t="s">
        <v>247</v>
      </c>
      <c r="E17" s="18" t="s">
        <v>563</v>
      </c>
      <c r="F17" s="19"/>
    </row>
    <row r="18" spans="1:6" x14ac:dyDescent="0.25">
      <c r="A18" s="52" t="s">
        <v>582</v>
      </c>
      <c r="B18" s="15" t="s">
        <v>193</v>
      </c>
      <c r="C18" s="16">
        <v>3</v>
      </c>
      <c r="D18" s="17" t="s">
        <v>571</v>
      </c>
      <c r="E18" s="18" t="s">
        <v>571</v>
      </c>
      <c r="F18" s="19"/>
    </row>
    <row r="19" spans="1:6" x14ac:dyDescent="0.25">
      <c r="A19" s="52" t="s">
        <v>582</v>
      </c>
      <c r="B19" s="15" t="s">
        <v>99</v>
      </c>
      <c r="C19" s="16">
        <v>2</v>
      </c>
      <c r="D19" s="17" t="s">
        <v>563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18"/>
      <c r="F1017" s="19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I2CSnsrReInitMaxTry() R'!A1" display="'I2CSnsrReInitMaxTry() R'!A1"/>
    <hyperlink ref="A18" location="'I2CSnsrReInitMaxTry() P'!A1" display="'I2CSnsrReInitMaxTry() P'!A1"/>
    <hyperlink ref="A19" location="'I2CSnsrReInitMaxTry() M'!A1" display="'I2CSnsrReInitMaxTry() M'!A1"/>
  </hyperlinks>
  <pageMargins left="0.7" right="0.7" top="0.75" bottom="0.75" header="0.3" footer="0.3"/>
  <pageSetup orientation="portrait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3.42578125" customWidth="1"/>
    <col min="3" max="3" width="4.140625" bestFit="1" customWidth="1"/>
    <col min="4" max="4" width="3.28515625" bestFit="1" customWidth="1"/>
    <col min="5" max="5" width="4" bestFit="1" customWidth="1"/>
    <col min="6" max="6" width="3.28515625" bestFit="1" customWidth="1"/>
    <col min="7" max="7" width="7.28515625" bestFit="1" customWidth="1"/>
    <col min="8" max="9" width="4.140625" bestFit="1" customWidth="1"/>
    <col min="10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279" t="s">
        <v>582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43"/>
      <c r="N1" s="43"/>
      <c r="O1" s="44"/>
    </row>
    <row r="2" spans="1:15" ht="60" customHeight="1" x14ac:dyDescent="0.25">
      <c r="A2" s="281" t="s">
        <v>99</v>
      </c>
      <c r="B2" s="282"/>
      <c r="C2" s="48" t="s">
        <v>169</v>
      </c>
      <c r="D2" s="48" t="s">
        <v>150</v>
      </c>
      <c r="E2" s="48" t="s">
        <v>150</v>
      </c>
      <c r="F2" s="48" t="s">
        <v>150</v>
      </c>
      <c r="G2" s="60" t="s">
        <v>170</v>
      </c>
      <c r="H2" s="27" t="s">
        <v>151</v>
      </c>
      <c r="I2" s="27" t="s">
        <v>151</v>
      </c>
      <c r="J2" s="28" t="s">
        <v>171</v>
      </c>
      <c r="K2" s="28" t="s">
        <v>153</v>
      </c>
      <c r="L2" s="28" t="s">
        <v>153</v>
      </c>
      <c r="M2" s="29" t="s">
        <v>21</v>
      </c>
      <c r="N2" s="29" t="s">
        <v>156</v>
      </c>
      <c r="O2" s="30" t="s">
        <v>158</v>
      </c>
    </row>
    <row r="3" spans="1:15" ht="163.5" x14ac:dyDescent="0.25">
      <c r="A3" s="31" t="s">
        <v>148</v>
      </c>
      <c r="B3" s="32" t="s">
        <v>149</v>
      </c>
      <c r="C3" s="59" t="s">
        <v>602</v>
      </c>
      <c r="D3" s="33" t="s">
        <v>247</v>
      </c>
      <c r="E3" s="33" t="s">
        <v>571</v>
      </c>
      <c r="F3" s="33" t="s">
        <v>563</v>
      </c>
      <c r="G3" s="34" t="s">
        <v>582</v>
      </c>
      <c r="H3" s="34" t="s">
        <v>563</v>
      </c>
      <c r="I3" s="34" t="s">
        <v>571</v>
      </c>
      <c r="J3" s="35" t="s">
        <v>582</v>
      </c>
      <c r="K3" s="35" t="s">
        <v>563</v>
      </c>
      <c r="L3" s="35" t="s">
        <v>571</v>
      </c>
      <c r="M3" s="29" t="s">
        <v>155</v>
      </c>
      <c r="N3" s="29" t="s">
        <v>157</v>
      </c>
      <c r="O3" s="30"/>
    </row>
    <row r="4" spans="1:15" x14ac:dyDescent="0.25">
      <c r="A4" s="36">
        <v>1</v>
      </c>
      <c r="B4" s="46" t="s">
        <v>984</v>
      </c>
      <c r="C4" s="46">
        <v>0</v>
      </c>
      <c r="D4" s="46">
        <v>0</v>
      </c>
      <c r="E4" s="46">
        <v>0</v>
      </c>
      <c r="F4" s="46">
        <v>0</v>
      </c>
      <c r="G4" s="37" t="s">
        <v>159</v>
      </c>
      <c r="H4" s="37" t="s">
        <v>159</v>
      </c>
      <c r="I4" s="37" t="s">
        <v>159</v>
      </c>
      <c r="J4" s="46">
        <v>0</v>
      </c>
      <c r="K4" s="46">
        <v>0</v>
      </c>
      <c r="L4" s="46">
        <v>0</v>
      </c>
      <c r="M4" s="50" t="s">
        <v>159</v>
      </c>
      <c r="N4" s="37"/>
      <c r="O4" s="38"/>
    </row>
    <row r="5" spans="1:15" ht="15" customHeight="1" thickBot="1" x14ac:dyDescent="0.3">
      <c r="A5" s="39">
        <v>2</v>
      </c>
      <c r="B5" s="68" t="s">
        <v>983</v>
      </c>
      <c r="C5" s="47">
        <v>255</v>
      </c>
      <c r="D5" s="47">
        <v>4</v>
      </c>
      <c r="E5" s="47">
        <v>255</v>
      </c>
      <c r="F5" s="47">
        <v>1</v>
      </c>
      <c r="G5" s="40" t="s">
        <v>159</v>
      </c>
      <c r="H5" s="40" t="s">
        <v>159</v>
      </c>
      <c r="I5" s="40" t="s">
        <v>159</v>
      </c>
      <c r="J5" s="47">
        <v>1</v>
      </c>
      <c r="K5" s="47">
        <v>1</v>
      </c>
      <c r="L5" s="47">
        <v>254</v>
      </c>
      <c r="M5" s="51" t="s">
        <v>159</v>
      </c>
      <c r="N5" s="40"/>
      <c r="O5" s="41"/>
    </row>
    <row r="6" spans="1:15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</row>
    <row r="7" spans="1:15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</row>
    <row r="8" spans="1: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1: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1: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</sheetData>
  <mergeCells count="2">
    <mergeCell ref="A1:B1"/>
    <mergeCell ref="A2:B2"/>
  </mergeCells>
  <hyperlinks>
    <hyperlink ref="A1" location="'I2CSnsrReInitMaxTry'!A1" display="'I2CSnsrReInitMaxTry'!A1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O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2.28515625" customWidth="1"/>
    <col min="3" max="3" width="4.140625" bestFit="1" customWidth="1"/>
    <col min="4" max="4" width="3.28515625" bestFit="1" customWidth="1"/>
    <col min="5" max="5" width="4" bestFit="1" customWidth="1"/>
    <col min="6" max="6" width="3.28515625" bestFit="1" customWidth="1"/>
    <col min="7" max="7" width="7.28515625" bestFit="1" customWidth="1"/>
    <col min="8" max="9" width="4.140625" bestFit="1" customWidth="1"/>
    <col min="10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279" t="s">
        <v>582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43"/>
      <c r="N1" s="43"/>
      <c r="O1" s="44"/>
    </row>
    <row r="2" spans="1:15" ht="60" customHeight="1" x14ac:dyDescent="0.25">
      <c r="A2" s="281" t="s">
        <v>193</v>
      </c>
      <c r="B2" s="282"/>
      <c r="C2" s="48" t="s">
        <v>169</v>
      </c>
      <c r="D2" s="48" t="s">
        <v>150</v>
      </c>
      <c r="E2" s="48" t="s">
        <v>150</v>
      </c>
      <c r="F2" s="48" t="s">
        <v>150</v>
      </c>
      <c r="G2" s="60" t="s">
        <v>170</v>
      </c>
      <c r="H2" s="27" t="s">
        <v>151</v>
      </c>
      <c r="I2" s="27" t="s">
        <v>151</v>
      </c>
      <c r="J2" s="28" t="s">
        <v>171</v>
      </c>
      <c r="K2" s="28" t="s">
        <v>153</v>
      </c>
      <c r="L2" s="28" t="s">
        <v>153</v>
      </c>
      <c r="M2" s="29" t="s">
        <v>21</v>
      </c>
      <c r="N2" s="29" t="s">
        <v>156</v>
      </c>
      <c r="O2" s="30" t="s">
        <v>158</v>
      </c>
    </row>
    <row r="3" spans="1:15" ht="163.5" x14ac:dyDescent="0.25">
      <c r="A3" s="31" t="s">
        <v>148</v>
      </c>
      <c r="B3" s="32" t="s">
        <v>149</v>
      </c>
      <c r="C3" s="59" t="s">
        <v>602</v>
      </c>
      <c r="D3" s="33" t="s">
        <v>247</v>
      </c>
      <c r="E3" s="33" t="s">
        <v>571</v>
      </c>
      <c r="F3" s="33" t="s">
        <v>563</v>
      </c>
      <c r="G3" s="34" t="s">
        <v>582</v>
      </c>
      <c r="H3" s="34" t="s">
        <v>563</v>
      </c>
      <c r="I3" s="34" t="s">
        <v>571</v>
      </c>
      <c r="J3" s="35" t="s">
        <v>582</v>
      </c>
      <c r="K3" s="35" t="s">
        <v>563</v>
      </c>
      <c r="L3" s="35" t="s">
        <v>571</v>
      </c>
      <c r="M3" s="29" t="s">
        <v>155</v>
      </c>
      <c r="N3" s="29" t="s">
        <v>157</v>
      </c>
      <c r="O3" s="30"/>
    </row>
    <row r="4" spans="1:15" x14ac:dyDescent="0.25">
      <c r="A4" s="36">
        <v>1</v>
      </c>
      <c r="B4" s="46" t="s">
        <v>980</v>
      </c>
      <c r="C4" s="46">
        <v>0</v>
      </c>
      <c r="D4" s="46">
        <v>0</v>
      </c>
      <c r="E4" s="46">
        <v>0</v>
      </c>
      <c r="F4" s="46">
        <v>0</v>
      </c>
      <c r="G4" s="37" t="s">
        <v>159</v>
      </c>
      <c r="H4" s="37" t="s">
        <v>159</v>
      </c>
      <c r="I4" s="37" t="s">
        <v>159</v>
      </c>
      <c r="J4" s="46">
        <v>0</v>
      </c>
      <c r="K4" s="46">
        <v>0</v>
      </c>
      <c r="L4" s="46">
        <v>0</v>
      </c>
      <c r="M4" s="50" t="s">
        <v>159</v>
      </c>
      <c r="N4" s="37"/>
      <c r="O4" s="38"/>
    </row>
    <row r="5" spans="1:15" x14ac:dyDescent="0.25">
      <c r="A5" s="36">
        <v>2</v>
      </c>
      <c r="B5" s="46" t="s">
        <v>981</v>
      </c>
      <c r="C5" s="46">
        <v>255</v>
      </c>
      <c r="D5" s="46">
        <v>4</v>
      </c>
      <c r="E5" s="46">
        <v>255</v>
      </c>
      <c r="F5" s="46">
        <v>1</v>
      </c>
      <c r="G5" s="37" t="s">
        <v>159</v>
      </c>
      <c r="H5" s="37" t="s">
        <v>159</v>
      </c>
      <c r="I5" s="37" t="s">
        <v>159</v>
      </c>
      <c r="J5" s="46">
        <v>1</v>
      </c>
      <c r="K5" s="46">
        <v>1</v>
      </c>
      <c r="L5" s="46">
        <v>254</v>
      </c>
      <c r="M5" s="50" t="s">
        <v>159</v>
      </c>
      <c r="N5" s="37"/>
      <c r="O5" s="38"/>
    </row>
    <row r="6" spans="1:15" ht="45.75" thickBot="1" x14ac:dyDescent="0.3">
      <c r="A6" s="39">
        <v>3</v>
      </c>
      <c r="B6" s="68" t="s">
        <v>982</v>
      </c>
      <c r="C6" s="47">
        <v>0</v>
      </c>
      <c r="D6" s="47">
        <v>3</v>
      </c>
      <c r="E6" s="47">
        <v>22</v>
      </c>
      <c r="F6" s="47">
        <v>0</v>
      </c>
      <c r="G6" s="40" t="s">
        <v>159</v>
      </c>
      <c r="H6" s="40" t="s">
        <v>159</v>
      </c>
      <c r="I6" s="40" t="s">
        <v>159</v>
      </c>
      <c r="J6" s="47">
        <v>3</v>
      </c>
      <c r="K6" s="47">
        <v>0</v>
      </c>
      <c r="L6" s="47">
        <v>22</v>
      </c>
      <c r="M6" s="51" t="s">
        <v>159</v>
      </c>
      <c r="N6" s="40"/>
      <c r="O6" s="41"/>
    </row>
    <row r="7" spans="1:15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</row>
    <row r="8" spans="1: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1: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1: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  <row r="16" spans="1:15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</row>
  </sheetData>
  <mergeCells count="2">
    <mergeCell ref="A1:B1"/>
    <mergeCell ref="A2:B2"/>
  </mergeCells>
  <hyperlinks>
    <hyperlink ref="A1" location="'I2CSnsrReInitMaxTry'!A1" display="'I2CSnsrReInitMaxTry'!A1"/>
  </hyperlink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O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7109375" bestFit="1" customWidth="1"/>
    <col min="3" max="3" width="4.140625" bestFit="1" customWidth="1"/>
    <col min="4" max="4" width="3.28515625" bestFit="1" customWidth="1"/>
    <col min="5" max="5" width="4" bestFit="1" customWidth="1"/>
    <col min="6" max="6" width="3.28515625" bestFit="1" customWidth="1"/>
    <col min="7" max="7" width="7.28515625" bestFit="1" customWidth="1"/>
    <col min="8" max="9" width="4.140625" bestFit="1" customWidth="1"/>
    <col min="10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279" t="s">
        <v>582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43"/>
      <c r="N1" s="43"/>
      <c r="O1" s="44"/>
    </row>
    <row r="2" spans="1:15" ht="60" customHeight="1" x14ac:dyDescent="0.25">
      <c r="A2" s="281" t="s">
        <v>147</v>
      </c>
      <c r="B2" s="282"/>
      <c r="C2" s="48" t="s">
        <v>169</v>
      </c>
      <c r="D2" s="48" t="s">
        <v>150</v>
      </c>
      <c r="E2" s="48" t="s">
        <v>150</v>
      </c>
      <c r="F2" s="48" t="s">
        <v>150</v>
      </c>
      <c r="G2" s="60" t="s">
        <v>170</v>
      </c>
      <c r="H2" s="27" t="s">
        <v>151</v>
      </c>
      <c r="I2" s="27" t="s">
        <v>151</v>
      </c>
      <c r="J2" s="28" t="s">
        <v>171</v>
      </c>
      <c r="K2" s="28" t="s">
        <v>153</v>
      </c>
      <c r="L2" s="28" t="s">
        <v>153</v>
      </c>
      <c r="M2" s="29" t="s">
        <v>21</v>
      </c>
      <c r="N2" s="29" t="s">
        <v>156</v>
      </c>
      <c r="O2" s="30" t="s">
        <v>158</v>
      </c>
    </row>
    <row r="3" spans="1:15" ht="163.5" x14ac:dyDescent="0.25">
      <c r="A3" s="31" t="s">
        <v>148</v>
      </c>
      <c r="B3" s="32" t="s">
        <v>149</v>
      </c>
      <c r="C3" s="59" t="s">
        <v>602</v>
      </c>
      <c r="D3" s="33" t="s">
        <v>247</v>
      </c>
      <c r="E3" s="33" t="s">
        <v>571</v>
      </c>
      <c r="F3" s="33" t="s">
        <v>563</v>
      </c>
      <c r="G3" s="34" t="s">
        <v>582</v>
      </c>
      <c r="H3" s="34" t="s">
        <v>563</v>
      </c>
      <c r="I3" s="34" t="s">
        <v>571</v>
      </c>
      <c r="J3" s="35" t="s">
        <v>582</v>
      </c>
      <c r="K3" s="35" t="s">
        <v>563</v>
      </c>
      <c r="L3" s="35" t="s">
        <v>571</v>
      </c>
      <c r="M3" s="29" t="s">
        <v>155</v>
      </c>
      <c r="N3" s="29" t="s">
        <v>157</v>
      </c>
      <c r="O3" s="30"/>
    </row>
    <row r="4" spans="1:15" x14ac:dyDescent="0.25">
      <c r="A4" s="36">
        <v>1</v>
      </c>
      <c r="B4" s="46" t="s">
        <v>684</v>
      </c>
      <c r="C4" s="56">
        <v>0</v>
      </c>
      <c r="D4" s="56">
        <v>0</v>
      </c>
      <c r="E4" s="56">
        <v>0</v>
      </c>
      <c r="F4" s="56">
        <v>0</v>
      </c>
      <c r="G4" s="37" t="s">
        <v>159</v>
      </c>
      <c r="H4" s="37" t="s">
        <v>159</v>
      </c>
      <c r="I4" s="37" t="s">
        <v>159</v>
      </c>
      <c r="J4" s="46">
        <v>0</v>
      </c>
      <c r="K4" s="46">
        <v>0</v>
      </c>
      <c r="L4" s="46">
        <v>0</v>
      </c>
      <c r="M4" s="50" t="s">
        <v>159</v>
      </c>
      <c r="N4" s="37"/>
      <c r="O4" s="38"/>
    </row>
    <row r="5" spans="1:15" x14ac:dyDescent="0.25">
      <c r="A5" s="36">
        <v>2</v>
      </c>
      <c r="B5" s="46" t="s">
        <v>162</v>
      </c>
      <c r="C5" s="56">
        <v>255</v>
      </c>
      <c r="D5" s="56">
        <v>4</v>
      </c>
      <c r="E5" s="56">
        <v>255</v>
      </c>
      <c r="F5" s="56">
        <v>1</v>
      </c>
      <c r="G5" s="37" t="s">
        <v>159</v>
      </c>
      <c r="H5" s="37" t="s">
        <v>159</v>
      </c>
      <c r="I5" s="37" t="s">
        <v>159</v>
      </c>
      <c r="J5" s="46">
        <v>1</v>
      </c>
      <c r="K5" s="46">
        <v>1</v>
      </c>
      <c r="L5" s="46">
        <v>254</v>
      </c>
      <c r="M5" s="50" t="s">
        <v>159</v>
      </c>
      <c r="N5" s="37"/>
      <c r="O5" s="38"/>
    </row>
    <row r="6" spans="1:15" x14ac:dyDescent="0.25">
      <c r="A6" s="36">
        <v>3</v>
      </c>
      <c r="B6" s="46" t="s">
        <v>685</v>
      </c>
      <c r="C6" s="56">
        <v>0</v>
      </c>
      <c r="D6" s="46">
        <v>3</v>
      </c>
      <c r="E6" s="46">
        <v>22</v>
      </c>
      <c r="F6" s="46">
        <v>0</v>
      </c>
      <c r="G6" s="37" t="s">
        <v>159</v>
      </c>
      <c r="H6" s="37" t="s">
        <v>159</v>
      </c>
      <c r="I6" s="37" t="s">
        <v>159</v>
      </c>
      <c r="J6" s="46">
        <v>3</v>
      </c>
      <c r="K6" s="46">
        <v>0</v>
      </c>
      <c r="L6" s="46">
        <v>22</v>
      </c>
      <c r="M6" s="50" t="s">
        <v>159</v>
      </c>
      <c r="N6" s="37"/>
      <c r="O6" s="38"/>
    </row>
    <row r="7" spans="1:15" x14ac:dyDescent="0.25">
      <c r="A7" s="36">
        <v>4</v>
      </c>
      <c r="B7" s="46" t="s">
        <v>686</v>
      </c>
      <c r="C7" s="56">
        <v>255</v>
      </c>
      <c r="D7" s="46">
        <v>2</v>
      </c>
      <c r="E7" s="46">
        <v>193</v>
      </c>
      <c r="F7" s="46">
        <v>0</v>
      </c>
      <c r="G7" s="37" t="s">
        <v>159</v>
      </c>
      <c r="H7" s="37" t="s">
        <v>159</v>
      </c>
      <c r="I7" s="37" t="s">
        <v>159</v>
      </c>
      <c r="J7" s="46">
        <v>1</v>
      </c>
      <c r="K7" s="46">
        <v>1</v>
      </c>
      <c r="L7" s="46">
        <v>192</v>
      </c>
      <c r="M7" s="50" t="s">
        <v>159</v>
      </c>
      <c r="N7" s="37"/>
      <c r="O7" s="38"/>
    </row>
    <row r="8" spans="1:15" x14ac:dyDescent="0.25">
      <c r="A8" s="36">
        <v>5</v>
      </c>
      <c r="B8" s="46" t="s">
        <v>687</v>
      </c>
      <c r="C8" s="56">
        <v>121</v>
      </c>
      <c r="D8" s="46">
        <v>4</v>
      </c>
      <c r="E8" s="46">
        <v>102</v>
      </c>
      <c r="F8" s="46">
        <v>1</v>
      </c>
      <c r="G8" s="37" t="s">
        <v>159</v>
      </c>
      <c r="H8" s="37" t="s">
        <v>159</v>
      </c>
      <c r="I8" s="37" t="s">
        <v>159</v>
      </c>
      <c r="J8" s="46">
        <v>1</v>
      </c>
      <c r="K8" s="46">
        <v>1</v>
      </c>
      <c r="L8" s="46">
        <v>101</v>
      </c>
      <c r="M8" s="50" t="s">
        <v>159</v>
      </c>
      <c r="N8" s="37"/>
      <c r="O8" s="38"/>
    </row>
    <row r="9" spans="1:15" x14ac:dyDescent="0.25">
      <c r="A9" s="36">
        <v>6</v>
      </c>
      <c r="B9" s="46" t="s">
        <v>688</v>
      </c>
      <c r="C9" s="46">
        <v>44</v>
      </c>
      <c r="D9" s="56">
        <v>0</v>
      </c>
      <c r="E9" s="46">
        <v>118</v>
      </c>
      <c r="F9" s="46">
        <v>1</v>
      </c>
      <c r="G9" s="37" t="s">
        <v>159</v>
      </c>
      <c r="H9" s="37" t="s">
        <v>159</v>
      </c>
      <c r="I9" s="37" t="s">
        <v>159</v>
      </c>
      <c r="J9" s="46">
        <v>1</v>
      </c>
      <c r="K9" s="46">
        <v>1</v>
      </c>
      <c r="L9" s="46">
        <v>117</v>
      </c>
      <c r="M9" s="50" t="s">
        <v>159</v>
      </c>
      <c r="N9" s="37"/>
      <c r="O9" s="38"/>
    </row>
    <row r="10" spans="1:15" x14ac:dyDescent="0.25">
      <c r="A10" s="36">
        <v>7</v>
      </c>
      <c r="B10" s="46" t="s">
        <v>689</v>
      </c>
      <c r="C10" s="46">
        <v>63</v>
      </c>
      <c r="D10" s="56">
        <v>4</v>
      </c>
      <c r="E10" s="46">
        <v>125</v>
      </c>
      <c r="F10" s="46">
        <v>0</v>
      </c>
      <c r="G10" s="37" t="s">
        <v>159</v>
      </c>
      <c r="H10" s="37" t="s">
        <v>159</v>
      </c>
      <c r="I10" s="37" t="s">
        <v>159</v>
      </c>
      <c r="J10" s="46">
        <v>1</v>
      </c>
      <c r="K10" s="46">
        <v>1</v>
      </c>
      <c r="L10" s="46">
        <v>124</v>
      </c>
      <c r="M10" s="50" t="s">
        <v>159</v>
      </c>
      <c r="N10" s="37"/>
      <c r="O10" s="38"/>
    </row>
    <row r="11" spans="1:15" x14ac:dyDescent="0.25">
      <c r="A11" s="36">
        <v>8</v>
      </c>
      <c r="B11" s="46" t="s">
        <v>690</v>
      </c>
      <c r="C11" s="46">
        <v>111</v>
      </c>
      <c r="D11" s="56">
        <v>2</v>
      </c>
      <c r="E11" s="46">
        <v>53</v>
      </c>
      <c r="F11" s="46">
        <v>1</v>
      </c>
      <c r="G11" s="37" t="s">
        <v>159</v>
      </c>
      <c r="H11" s="37" t="s">
        <v>159</v>
      </c>
      <c r="I11" s="37" t="s">
        <v>159</v>
      </c>
      <c r="J11" s="46">
        <v>1</v>
      </c>
      <c r="K11" s="46">
        <v>1</v>
      </c>
      <c r="L11" s="46">
        <v>52</v>
      </c>
      <c r="M11" s="50" t="s">
        <v>159</v>
      </c>
      <c r="N11" s="37"/>
      <c r="O11" s="38"/>
    </row>
    <row r="12" spans="1:15" x14ac:dyDescent="0.25">
      <c r="A12" s="36">
        <v>9</v>
      </c>
      <c r="B12" s="46" t="s">
        <v>691</v>
      </c>
      <c r="C12" s="46">
        <v>0</v>
      </c>
      <c r="D12" s="46">
        <v>2</v>
      </c>
      <c r="E12" s="56">
        <v>0</v>
      </c>
      <c r="F12" s="46">
        <v>0</v>
      </c>
      <c r="G12" s="37" t="s">
        <v>159</v>
      </c>
      <c r="H12" s="37" t="s">
        <v>159</v>
      </c>
      <c r="I12" s="37" t="s">
        <v>159</v>
      </c>
      <c r="J12" s="46">
        <v>2</v>
      </c>
      <c r="K12" s="46">
        <v>0</v>
      </c>
      <c r="L12" s="46">
        <v>0</v>
      </c>
      <c r="M12" s="50" t="s">
        <v>159</v>
      </c>
      <c r="N12" s="37"/>
      <c r="O12" s="38"/>
    </row>
    <row r="13" spans="1:15" x14ac:dyDescent="0.25">
      <c r="A13" s="36">
        <v>10</v>
      </c>
      <c r="B13" s="46" t="s">
        <v>692</v>
      </c>
      <c r="C13" s="46">
        <v>0</v>
      </c>
      <c r="D13" s="46">
        <v>1</v>
      </c>
      <c r="E13" s="56">
        <v>255</v>
      </c>
      <c r="F13" s="46">
        <v>0</v>
      </c>
      <c r="G13" s="37" t="s">
        <v>159</v>
      </c>
      <c r="H13" s="37" t="s">
        <v>159</v>
      </c>
      <c r="I13" s="37" t="s">
        <v>159</v>
      </c>
      <c r="J13" s="46">
        <v>1</v>
      </c>
      <c r="K13" s="46">
        <v>0</v>
      </c>
      <c r="L13" s="46">
        <v>255</v>
      </c>
      <c r="M13" s="50" t="s">
        <v>159</v>
      </c>
      <c r="N13" s="37"/>
      <c r="O13" s="38"/>
    </row>
    <row r="14" spans="1:15" ht="15.75" thickBot="1" x14ac:dyDescent="0.3">
      <c r="A14" s="39">
        <v>11</v>
      </c>
      <c r="B14" s="47" t="s">
        <v>693</v>
      </c>
      <c r="C14" s="47">
        <v>0</v>
      </c>
      <c r="D14" s="47">
        <v>0</v>
      </c>
      <c r="E14" s="57">
        <v>65</v>
      </c>
      <c r="F14" s="47">
        <v>0</v>
      </c>
      <c r="G14" s="40" t="s">
        <v>159</v>
      </c>
      <c r="H14" s="40" t="s">
        <v>159</v>
      </c>
      <c r="I14" s="40" t="s">
        <v>159</v>
      </c>
      <c r="J14" s="47">
        <v>0</v>
      </c>
      <c r="K14" s="47">
        <v>0</v>
      </c>
      <c r="L14" s="47">
        <v>65</v>
      </c>
      <c r="M14" s="51" t="s">
        <v>159</v>
      </c>
      <c r="N14" s="40"/>
      <c r="O14" s="41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  <row r="16" spans="1:15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</row>
    <row r="17" spans="1:15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</row>
    <row r="18" spans="1:15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</row>
    <row r="19" spans="1:15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</row>
    <row r="20" spans="1:15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</row>
    <row r="21" spans="1:15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</row>
    <row r="22" spans="1:15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</row>
    <row r="23" spans="1:15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</row>
    <row r="24" spans="1:15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</row>
  </sheetData>
  <mergeCells count="2">
    <mergeCell ref="A1:B1"/>
    <mergeCell ref="A2:B2"/>
  </mergeCells>
  <hyperlinks>
    <hyperlink ref="A1" location="'I2CSnsrReInitMaxTry'!A1" display="'I2CSnsrReInitMaxTry'!A1"/>
  </hyperlink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202" t="s">
        <v>43</v>
      </c>
    </row>
    <row r="16" spans="1:6" x14ac:dyDescent="0.25">
      <c r="A16" s="211" t="s">
        <v>44</v>
      </c>
      <c r="B16" s="212" t="s">
        <v>45</v>
      </c>
      <c r="C16" s="213" t="s">
        <v>46</v>
      </c>
      <c r="D16" s="215" t="s">
        <v>47</v>
      </c>
      <c r="E16" s="214" t="s">
        <v>48</v>
      </c>
      <c r="F16" s="14" t="s">
        <v>44</v>
      </c>
    </row>
    <row r="17" spans="1:6" x14ac:dyDescent="0.25">
      <c r="A17" s="52" t="s">
        <v>581</v>
      </c>
      <c r="B17" s="15" t="s">
        <v>718</v>
      </c>
      <c r="C17" s="16">
        <v>7</v>
      </c>
      <c r="D17" s="17" t="s">
        <v>563</v>
      </c>
      <c r="E17" s="18" t="s">
        <v>123</v>
      </c>
      <c r="F17" s="19" t="s">
        <v>55</v>
      </c>
    </row>
    <row r="18" spans="1:6" x14ac:dyDescent="0.25">
      <c r="A18" s="52" t="s">
        <v>581</v>
      </c>
      <c r="B18" s="15" t="s">
        <v>193</v>
      </c>
      <c r="C18" s="16">
        <v>3</v>
      </c>
      <c r="D18" s="17"/>
      <c r="E18" s="18" t="s">
        <v>124</v>
      </c>
      <c r="F18" s="19"/>
    </row>
    <row r="19" spans="1:6" x14ac:dyDescent="0.25">
      <c r="A19" s="52" t="s">
        <v>581</v>
      </c>
      <c r="B19" s="15" t="s">
        <v>99</v>
      </c>
      <c r="C19" s="16">
        <v>2</v>
      </c>
      <c r="D19" s="17"/>
      <c r="E19" s="18" t="s">
        <v>125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18"/>
      <c r="F1017" s="19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I2CCommFltDiag() R'!A1" display="'I2CCommFltDiag() R'!A1"/>
    <hyperlink ref="A18" location="'I2CCommFltDiag() P'!A1" display="'I2CCommFltDiag() P'!A1"/>
    <hyperlink ref="A19" location="'I2CCommFltDiag() M'!A1" display="'I2CCommFltDiag() M'!A1"/>
  </hyperlink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3" bestFit="1" customWidth="1"/>
    <col min="3" max="3" width="4.140625" bestFit="1" customWidth="1"/>
    <col min="4" max="7" width="3.28515625" bestFit="1" customWidth="1"/>
    <col min="8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279" t="s">
        <v>581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43"/>
      <c r="N1" s="43"/>
      <c r="O1" s="44"/>
    </row>
    <row r="2" spans="1:15" ht="60" customHeight="1" x14ac:dyDescent="0.25">
      <c r="A2" s="281" t="s">
        <v>99</v>
      </c>
      <c r="B2" s="282"/>
      <c r="C2" s="48" t="s">
        <v>169</v>
      </c>
      <c r="D2" s="48" t="s">
        <v>150</v>
      </c>
      <c r="E2" s="49" t="s">
        <v>151</v>
      </c>
      <c r="F2" s="26" t="s">
        <v>151</v>
      </c>
      <c r="G2" s="26" t="s">
        <v>151</v>
      </c>
      <c r="H2" s="27" t="s">
        <v>152</v>
      </c>
      <c r="I2" s="28" t="s">
        <v>153</v>
      </c>
      <c r="J2" s="28" t="s">
        <v>153</v>
      </c>
      <c r="K2" s="28" t="s">
        <v>153</v>
      </c>
      <c r="L2" s="28" t="s">
        <v>154</v>
      </c>
      <c r="M2" s="29" t="s">
        <v>21</v>
      </c>
      <c r="N2" s="29" t="s">
        <v>156</v>
      </c>
      <c r="O2" s="30" t="s">
        <v>158</v>
      </c>
    </row>
    <row r="3" spans="1:15" ht="147.75" x14ac:dyDescent="0.25">
      <c r="A3" s="31" t="s">
        <v>148</v>
      </c>
      <c r="B3" s="32" t="s">
        <v>149</v>
      </c>
      <c r="C3" s="59" t="s">
        <v>591</v>
      </c>
      <c r="D3" s="33" t="s">
        <v>563</v>
      </c>
      <c r="E3" s="34" t="s">
        <v>123</v>
      </c>
      <c r="F3" s="34" t="s">
        <v>124</v>
      </c>
      <c r="G3" s="34" t="s">
        <v>125</v>
      </c>
      <c r="H3" s="34" t="s">
        <v>55</v>
      </c>
      <c r="I3" s="35" t="s">
        <v>123</v>
      </c>
      <c r="J3" s="35" t="s">
        <v>124</v>
      </c>
      <c r="K3" s="35" t="s">
        <v>125</v>
      </c>
      <c r="L3" s="35" t="s">
        <v>55</v>
      </c>
      <c r="M3" s="29" t="s">
        <v>155</v>
      </c>
      <c r="N3" s="29" t="s">
        <v>157</v>
      </c>
      <c r="O3" s="30"/>
    </row>
    <row r="4" spans="1:15" x14ac:dyDescent="0.25">
      <c r="A4" s="36">
        <v>1</v>
      </c>
      <c r="B4" s="46" t="s">
        <v>974</v>
      </c>
      <c r="C4" s="46">
        <v>255</v>
      </c>
      <c r="D4" s="46">
        <v>1</v>
      </c>
      <c r="E4" s="37" t="s">
        <v>159</v>
      </c>
      <c r="F4" s="37" t="s">
        <v>159</v>
      </c>
      <c r="G4" s="37" t="s">
        <v>159</v>
      </c>
      <c r="H4" s="37" t="s">
        <v>159</v>
      </c>
      <c r="I4" s="46">
        <v>113</v>
      </c>
      <c r="J4" s="46">
        <v>79</v>
      </c>
      <c r="K4" s="46">
        <v>4</v>
      </c>
      <c r="L4" s="46">
        <v>0</v>
      </c>
      <c r="M4" s="50" t="s">
        <v>159</v>
      </c>
      <c r="N4" s="37"/>
      <c r="O4" s="38"/>
    </row>
    <row r="5" spans="1:15" ht="15.75" thickBot="1" x14ac:dyDescent="0.3">
      <c r="A5" s="39">
        <v>2</v>
      </c>
      <c r="B5" s="47" t="s">
        <v>975</v>
      </c>
      <c r="C5" s="47">
        <v>14</v>
      </c>
      <c r="D5" s="47">
        <v>0</v>
      </c>
      <c r="E5" s="40" t="s">
        <v>159</v>
      </c>
      <c r="F5" s="40" t="s">
        <v>159</v>
      </c>
      <c r="G5" s="40" t="s">
        <v>159</v>
      </c>
      <c r="H5" s="40" t="s">
        <v>159</v>
      </c>
      <c r="I5" s="47">
        <v>109</v>
      </c>
      <c r="J5" s="47">
        <v>14</v>
      </c>
      <c r="K5" s="47">
        <v>1</v>
      </c>
      <c r="L5" s="47">
        <v>1</v>
      </c>
      <c r="M5" s="51" t="s">
        <v>159</v>
      </c>
      <c r="N5" s="40"/>
      <c r="O5" s="41"/>
    </row>
    <row r="6" spans="1:15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</row>
    <row r="7" spans="1:15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</row>
    <row r="8" spans="1: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1: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1: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</sheetData>
  <sheetProtection sheet="1" objects="1" scenarios="1"/>
  <mergeCells count="2">
    <mergeCell ref="A1:B1"/>
    <mergeCell ref="A2:B2"/>
  </mergeCells>
  <hyperlinks>
    <hyperlink ref="A1" location="'I2CCommFltDiag'!A1" display="'I2CCommFltDiag'!A1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O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3.140625" bestFit="1" customWidth="1"/>
    <col min="3" max="3" width="4.140625" bestFit="1" customWidth="1"/>
    <col min="4" max="7" width="3.28515625" bestFit="1" customWidth="1"/>
    <col min="8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279" t="s">
        <v>581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43"/>
      <c r="N1" s="43"/>
      <c r="O1" s="44"/>
    </row>
    <row r="2" spans="1:15" ht="60" customHeight="1" x14ac:dyDescent="0.25">
      <c r="A2" s="281" t="s">
        <v>193</v>
      </c>
      <c r="B2" s="282"/>
      <c r="C2" s="48" t="s">
        <v>169</v>
      </c>
      <c r="D2" s="48" t="s">
        <v>150</v>
      </c>
      <c r="E2" s="49" t="s">
        <v>151</v>
      </c>
      <c r="F2" s="26" t="s">
        <v>151</v>
      </c>
      <c r="G2" s="26" t="s">
        <v>151</v>
      </c>
      <c r="H2" s="27" t="s">
        <v>152</v>
      </c>
      <c r="I2" s="28" t="s">
        <v>153</v>
      </c>
      <c r="J2" s="28" t="s">
        <v>153</v>
      </c>
      <c r="K2" s="28" t="s">
        <v>153</v>
      </c>
      <c r="L2" s="28" t="s">
        <v>154</v>
      </c>
      <c r="M2" s="29" t="s">
        <v>21</v>
      </c>
      <c r="N2" s="29" t="s">
        <v>156</v>
      </c>
      <c r="O2" s="30" t="s">
        <v>158</v>
      </c>
    </row>
    <row r="3" spans="1:15" ht="147.75" x14ac:dyDescent="0.25">
      <c r="A3" s="31" t="s">
        <v>148</v>
      </c>
      <c r="B3" s="32" t="s">
        <v>149</v>
      </c>
      <c r="C3" s="59" t="s">
        <v>591</v>
      </c>
      <c r="D3" s="33" t="s">
        <v>563</v>
      </c>
      <c r="E3" s="34" t="s">
        <v>123</v>
      </c>
      <c r="F3" s="34" t="s">
        <v>124</v>
      </c>
      <c r="G3" s="34" t="s">
        <v>125</v>
      </c>
      <c r="H3" s="34" t="s">
        <v>55</v>
      </c>
      <c r="I3" s="35" t="s">
        <v>123</v>
      </c>
      <c r="J3" s="35" t="s">
        <v>124</v>
      </c>
      <c r="K3" s="35" t="s">
        <v>125</v>
      </c>
      <c r="L3" s="35" t="s">
        <v>55</v>
      </c>
      <c r="M3" s="29" t="s">
        <v>155</v>
      </c>
      <c r="N3" s="29" t="s">
        <v>157</v>
      </c>
      <c r="O3" s="30"/>
    </row>
    <row r="4" spans="1:15" ht="45" x14ac:dyDescent="0.25">
      <c r="A4" s="36">
        <v>1</v>
      </c>
      <c r="B4" s="69" t="s">
        <v>972</v>
      </c>
      <c r="C4" s="46">
        <v>0</v>
      </c>
      <c r="D4" s="46">
        <v>0</v>
      </c>
      <c r="E4" s="37" t="s">
        <v>159</v>
      </c>
      <c r="F4" s="37" t="s">
        <v>159</v>
      </c>
      <c r="G4" s="37" t="s">
        <v>159</v>
      </c>
      <c r="H4" s="37" t="s">
        <v>159</v>
      </c>
      <c r="I4" s="46">
        <v>109</v>
      </c>
      <c r="J4" s="46">
        <v>0</v>
      </c>
      <c r="K4" s="46">
        <v>0</v>
      </c>
      <c r="L4" s="46">
        <v>1</v>
      </c>
      <c r="M4" s="50" t="s">
        <v>159</v>
      </c>
      <c r="N4" s="37"/>
      <c r="O4" s="38"/>
    </row>
    <row r="5" spans="1:15" x14ac:dyDescent="0.25">
      <c r="A5" s="36">
        <v>2</v>
      </c>
      <c r="B5" s="46" t="s">
        <v>962</v>
      </c>
      <c r="C5" s="46">
        <v>255</v>
      </c>
      <c r="D5" s="46">
        <v>1</v>
      </c>
      <c r="E5" s="37" t="s">
        <v>159</v>
      </c>
      <c r="F5" s="37" t="s">
        <v>159</v>
      </c>
      <c r="G5" s="37" t="s">
        <v>159</v>
      </c>
      <c r="H5" s="37" t="s">
        <v>159</v>
      </c>
      <c r="I5" s="46">
        <v>49</v>
      </c>
      <c r="J5" s="46">
        <v>82</v>
      </c>
      <c r="K5" s="46">
        <v>80</v>
      </c>
      <c r="L5" s="46">
        <v>0</v>
      </c>
      <c r="M5" s="50" t="s">
        <v>159</v>
      </c>
      <c r="N5" s="37"/>
      <c r="O5" s="38"/>
    </row>
    <row r="6" spans="1:15" ht="15.75" thickBot="1" x14ac:dyDescent="0.3">
      <c r="A6" s="39">
        <v>3</v>
      </c>
      <c r="B6" s="47" t="s">
        <v>973</v>
      </c>
      <c r="C6" s="47">
        <v>14</v>
      </c>
      <c r="D6" s="47">
        <v>0</v>
      </c>
      <c r="E6" s="40" t="s">
        <v>159</v>
      </c>
      <c r="F6" s="40" t="s">
        <v>159</v>
      </c>
      <c r="G6" s="40" t="s">
        <v>159</v>
      </c>
      <c r="H6" s="40" t="s">
        <v>159</v>
      </c>
      <c r="I6" s="47">
        <v>109</v>
      </c>
      <c r="J6" s="47">
        <v>14</v>
      </c>
      <c r="K6" s="47">
        <v>1</v>
      </c>
      <c r="L6" s="47">
        <v>1</v>
      </c>
      <c r="M6" s="51" t="s">
        <v>159</v>
      </c>
      <c r="N6" s="40"/>
      <c r="O6" s="41"/>
    </row>
    <row r="7" spans="1:15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</row>
    <row r="8" spans="1: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1: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1: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  <row r="16" spans="1:15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</row>
  </sheetData>
  <mergeCells count="2">
    <mergeCell ref="A1:B1"/>
    <mergeCell ref="A2:B2"/>
  </mergeCells>
  <hyperlinks>
    <hyperlink ref="A1" location="'I2CCommFltDiag'!A1" display="'I2CCommFltDiag'!A1"/>
  </hyperlink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O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28515625" bestFit="1" customWidth="1"/>
    <col min="3" max="3" width="4.140625" bestFit="1" customWidth="1"/>
    <col min="4" max="7" width="3.28515625" bestFit="1" customWidth="1"/>
    <col min="8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279" t="s">
        <v>581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43"/>
      <c r="N1" s="43"/>
      <c r="O1" s="44"/>
    </row>
    <row r="2" spans="1:15" ht="60" customHeight="1" x14ac:dyDescent="0.25">
      <c r="A2" s="281" t="s">
        <v>718</v>
      </c>
      <c r="B2" s="282"/>
      <c r="C2" s="48" t="s">
        <v>169</v>
      </c>
      <c r="D2" s="48" t="s">
        <v>150</v>
      </c>
      <c r="E2" s="49" t="s">
        <v>151</v>
      </c>
      <c r="F2" s="26" t="s">
        <v>151</v>
      </c>
      <c r="G2" s="26" t="s">
        <v>151</v>
      </c>
      <c r="H2" s="27" t="s">
        <v>152</v>
      </c>
      <c r="I2" s="28" t="s">
        <v>153</v>
      </c>
      <c r="J2" s="28" t="s">
        <v>153</v>
      </c>
      <c r="K2" s="28" t="s">
        <v>153</v>
      </c>
      <c r="L2" s="28" t="s">
        <v>154</v>
      </c>
      <c r="M2" s="29" t="s">
        <v>21</v>
      </c>
      <c r="N2" s="29" t="s">
        <v>156</v>
      </c>
      <c r="O2" s="30" t="s">
        <v>158</v>
      </c>
    </row>
    <row r="3" spans="1:15" ht="147.75" x14ac:dyDescent="0.25">
      <c r="A3" s="31" t="s">
        <v>148</v>
      </c>
      <c r="B3" s="32" t="s">
        <v>149</v>
      </c>
      <c r="C3" s="59" t="s">
        <v>591</v>
      </c>
      <c r="D3" s="33" t="s">
        <v>563</v>
      </c>
      <c r="E3" s="34" t="s">
        <v>123</v>
      </c>
      <c r="F3" s="34" t="s">
        <v>124</v>
      </c>
      <c r="G3" s="34" t="s">
        <v>125</v>
      </c>
      <c r="H3" s="34" t="s">
        <v>55</v>
      </c>
      <c r="I3" s="35" t="s">
        <v>123</v>
      </c>
      <c r="J3" s="35" t="s">
        <v>124</v>
      </c>
      <c r="K3" s="35" t="s">
        <v>125</v>
      </c>
      <c r="L3" s="35" t="s">
        <v>55</v>
      </c>
      <c r="M3" s="29" t="s">
        <v>155</v>
      </c>
      <c r="N3" s="29" t="s">
        <v>157</v>
      </c>
      <c r="O3" s="30"/>
    </row>
    <row r="4" spans="1:15" x14ac:dyDescent="0.25">
      <c r="A4" s="36">
        <v>1</v>
      </c>
      <c r="B4" s="46" t="s">
        <v>161</v>
      </c>
      <c r="C4" s="56">
        <v>0</v>
      </c>
      <c r="D4" s="56">
        <v>0</v>
      </c>
      <c r="E4" s="37" t="s">
        <v>159</v>
      </c>
      <c r="F4" s="37" t="s">
        <v>159</v>
      </c>
      <c r="G4" s="37" t="s">
        <v>159</v>
      </c>
      <c r="H4" s="37" t="s">
        <v>159</v>
      </c>
      <c r="I4" s="46">
        <v>109</v>
      </c>
      <c r="J4" s="46">
        <v>0</v>
      </c>
      <c r="K4" s="46">
        <v>0</v>
      </c>
      <c r="L4" s="46">
        <v>1</v>
      </c>
      <c r="M4" s="50" t="s">
        <v>159</v>
      </c>
      <c r="N4" s="37"/>
      <c r="O4" s="38"/>
    </row>
    <row r="5" spans="1:15" x14ac:dyDescent="0.25">
      <c r="A5" s="36">
        <v>2</v>
      </c>
      <c r="B5" s="46" t="s">
        <v>162</v>
      </c>
      <c r="C5" s="56">
        <v>255</v>
      </c>
      <c r="D5" s="56">
        <v>1</v>
      </c>
      <c r="E5" s="37" t="s">
        <v>159</v>
      </c>
      <c r="F5" s="37" t="s">
        <v>159</v>
      </c>
      <c r="G5" s="37" t="s">
        <v>159</v>
      </c>
      <c r="H5" s="37" t="s">
        <v>159</v>
      </c>
      <c r="I5" s="46">
        <v>69</v>
      </c>
      <c r="J5" s="46">
        <v>40</v>
      </c>
      <c r="K5" s="46">
        <v>76</v>
      </c>
      <c r="L5" s="46">
        <v>0</v>
      </c>
      <c r="M5" s="50" t="s">
        <v>159</v>
      </c>
      <c r="N5" s="37"/>
      <c r="O5" s="38"/>
    </row>
    <row r="6" spans="1:15" x14ac:dyDescent="0.25">
      <c r="A6" s="36">
        <v>3</v>
      </c>
      <c r="B6" s="46" t="s">
        <v>696</v>
      </c>
      <c r="C6" s="56">
        <v>0</v>
      </c>
      <c r="D6" s="46">
        <v>0</v>
      </c>
      <c r="E6" s="37" t="s">
        <v>159</v>
      </c>
      <c r="F6" s="37" t="s">
        <v>159</v>
      </c>
      <c r="G6" s="37" t="s">
        <v>159</v>
      </c>
      <c r="H6" s="37" t="s">
        <v>159</v>
      </c>
      <c r="I6" s="46">
        <v>109</v>
      </c>
      <c r="J6" s="46">
        <v>0</v>
      </c>
      <c r="K6" s="46">
        <v>0</v>
      </c>
      <c r="L6" s="46">
        <v>1</v>
      </c>
      <c r="M6" s="50" t="s">
        <v>159</v>
      </c>
      <c r="N6" s="37"/>
      <c r="O6" s="38"/>
    </row>
    <row r="7" spans="1:15" x14ac:dyDescent="0.25">
      <c r="A7" s="36">
        <v>4</v>
      </c>
      <c r="B7" s="46" t="s">
        <v>697</v>
      </c>
      <c r="C7" s="56">
        <v>255</v>
      </c>
      <c r="D7" s="46">
        <v>1</v>
      </c>
      <c r="E7" s="37" t="s">
        <v>159</v>
      </c>
      <c r="F7" s="37" t="s">
        <v>159</v>
      </c>
      <c r="G7" s="37" t="s">
        <v>159</v>
      </c>
      <c r="H7" s="37" t="s">
        <v>159</v>
      </c>
      <c r="I7" s="46">
        <v>14</v>
      </c>
      <c r="J7" s="46">
        <v>45</v>
      </c>
      <c r="K7" s="46">
        <v>122</v>
      </c>
      <c r="L7" s="46">
        <v>0</v>
      </c>
      <c r="M7" s="50" t="s">
        <v>159</v>
      </c>
      <c r="N7" s="37"/>
      <c r="O7" s="38"/>
    </row>
    <row r="8" spans="1:15" x14ac:dyDescent="0.25">
      <c r="A8" s="36">
        <v>5</v>
      </c>
      <c r="B8" s="46" t="s">
        <v>698</v>
      </c>
      <c r="C8" s="56">
        <v>124</v>
      </c>
      <c r="D8" s="46">
        <v>1</v>
      </c>
      <c r="E8" s="37" t="s">
        <v>159</v>
      </c>
      <c r="F8" s="37" t="s">
        <v>159</v>
      </c>
      <c r="G8" s="37" t="s">
        <v>159</v>
      </c>
      <c r="H8" s="37" t="s">
        <v>159</v>
      </c>
      <c r="I8" s="46">
        <v>120</v>
      </c>
      <c r="J8" s="46">
        <v>67</v>
      </c>
      <c r="K8" s="46">
        <v>107</v>
      </c>
      <c r="L8" s="46">
        <v>0</v>
      </c>
      <c r="M8" s="50" t="s">
        <v>159</v>
      </c>
      <c r="N8" s="37"/>
      <c r="O8" s="38"/>
    </row>
    <row r="9" spans="1:15" x14ac:dyDescent="0.25">
      <c r="A9" s="36">
        <v>6</v>
      </c>
      <c r="B9" s="46" t="s">
        <v>694</v>
      </c>
      <c r="C9" s="46">
        <v>14</v>
      </c>
      <c r="D9" s="56">
        <v>0</v>
      </c>
      <c r="E9" s="37" t="s">
        <v>159</v>
      </c>
      <c r="F9" s="37" t="s">
        <v>159</v>
      </c>
      <c r="G9" s="37" t="s">
        <v>159</v>
      </c>
      <c r="H9" s="37" t="s">
        <v>159</v>
      </c>
      <c r="I9" s="46">
        <v>109</v>
      </c>
      <c r="J9" s="46">
        <v>14</v>
      </c>
      <c r="K9" s="46">
        <v>1</v>
      </c>
      <c r="L9" s="46">
        <v>1</v>
      </c>
      <c r="M9" s="50" t="s">
        <v>159</v>
      </c>
      <c r="N9" s="37"/>
      <c r="O9" s="38"/>
    </row>
    <row r="10" spans="1:15" ht="15.75" thickBot="1" x14ac:dyDescent="0.3">
      <c r="A10" s="39">
        <v>7</v>
      </c>
      <c r="B10" s="47" t="s">
        <v>695</v>
      </c>
      <c r="C10" s="47">
        <v>8</v>
      </c>
      <c r="D10" s="57">
        <v>1</v>
      </c>
      <c r="E10" s="40" t="s">
        <v>159</v>
      </c>
      <c r="F10" s="40" t="s">
        <v>159</v>
      </c>
      <c r="G10" s="40" t="s">
        <v>159</v>
      </c>
      <c r="H10" s="40" t="s">
        <v>159</v>
      </c>
      <c r="I10" s="47">
        <v>81</v>
      </c>
      <c r="J10" s="47">
        <v>73</v>
      </c>
      <c r="K10" s="47">
        <v>9</v>
      </c>
      <c r="L10" s="47">
        <v>0</v>
      </c>
      <c r="M10" s="51" t="s">
        <v>159</v>
      </c>
      <c r="N10" s="40"/>
      <c r="O10" s="41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  <row r="16" spans="1:15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</row>
    <row r="17" spans="1:15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</row>
    <row r="18" spans="1:15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</row>
    <row r="19" spans="1:15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</row>
    <row r="20" spans="1:15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</row>
  </sheetData>
  <sheetProtection sheet="1" objects="1" scenarios="1"/>
  <mergeCells count="2">
    <mergeCell ref="A1:B1"/>
    <mergeCell ref="A2:B2"/>
  </mergeCells>
  <hyperlinks>
    <hyperlink ref="A1" location="'I2CCommFltDiag'!A1" display="'I2CCommFltDiag'!A1"/>
  </hyperlink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202" t="s">
        <v>43</v>
      </c>
    </row>
    <row r="16" spans="1:6" x14ac:dyDescent="0.25">
      <c r="A16" s="211" t="s">
        <v>44</v>
      </c>
      <c r="B16" s="212" t="s">
        <v>45</v>
      </c>
      <c r="C16" s="213" t="s">
        <v>46</v>
      </c>
      <c r="D16" s="215" t="s">
        <v>47</v>
      </c>
      <c r="E16" s="214" t="s">
        <v>48</v>
      </c>
      <c r="F16" s="14" t="s">
        <v>44</v>
      </c>
    </row>
    <row r="17" spans="1:6" x14ac:dyDescent="0.25">
      <c r="A17" s="52" t="s">
        <v>577</v>
      </c>
      <c r="B17" s="15" t="s">
        <v>718</v>
      </c>
      <c r="C17" s="16">
        <v>8</v>
      </c>
      <c r="D17" s="17" t="s">
        <v>586</v>
      </c>
      <c r="E17" s="18" t="s">
        <v>586</v>
      </c>
      <c r="F17" s="19"/>
    </row>
    <row r="18" spans="1:6" x14ac:dyDescent="0.25">
      <c r="A18" s="52" t="s">
        <v>577</v>
      </c>
      <c r="B18" s="15" t="s">
        <v>193</v>
      </c>
      <c r="C18" s="16">
        <v>2</v>
      </c>
      <c r="D18" s="17" t="s">
        <v>587</v>
      </c>
      <c r="E18" s="18" t="s">
        <v>587</v>
      </c>
      <c r="F18" s="19"/>
    </row>
    <row r="19" spans="1:6" x14ac:dyDescent="0.25">
      <c r="A19" s="52" t="s">
        <v>577</v>
      </c>
      <c r="B19" s="15" t="s">
        <v>99</v>
      </c>
      <c r="C19" s="16">
        <v>2</v>
      </c>
      <c r="D19" s="17" t="s">
        <v>588</v>
      </c>
      <c r="E19" s="18" t="s">
        <v>588</v>
      </c>
      <c r="F19" s="19"/>
    </row>
    <row r="20" spans="1:6" x14ac:dyDescent="0.25">
      <c r="A20" s="15"/>
      <c r="B20" s="15"/>
      <c r="C20" s="16"/>
      <c r="D20" s="17" t="s">
        <v>589</v>
      </c>
      <c r="E20" s="18" t="s">
        <v>589</v>
      </c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18"/>
      <c r="F1017" s="19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I2CSnsrDataCheck() R'!A1" display="'I2CSnsrDataCheck() R'!A1"/>
    <hyperlink ref="A18" location="'I2CSnsrDataCheck() P'!A1" display="'I2CSnsrDataCheck() P'!A1"/>
    <hyperlink ref="A19" location="'I2CSnsrDataCheck() M'!A1" display="'I2CSnsrDataCheck() M'!A1"/>
  </hyperlinks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S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0.85546875" customWidth="1"/>
    <col min="3" max="4" width="6" bestFit="1" customWidth="1"/>
    <col min="5" max="12" width="3.28515625" bestFit="1" customWidth="1"/>
    <col min="13" max="16" width="7.2851562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279" t="s">
        <v>577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43"/>
      <c r="R1" s="43"/>
      <c r="S1" s="44"/>
    </row>
    <row r="2" spans="1:19" ht="60" customHeight="1" x14ac:dyDescent="0.25">
      <c r="A2" s="281" t="s">
        <v>99</v>
      </c>
      <c r="B2" s="282"/>
      <c r="C2" s="48" t="s">
        <v>169</v>
      </c>
      <c r="D2" s="48" t="s">
        <v>169</v>
      </c>
      <c r="E2" s="48" t="s">
        <v>150</v>
      </c>
      <c r="F2" s="48" t="s">
        <v>150</v>
      </c>
      <c r="G2" s="48" t="s">
        <v>150</v>
      </c>
      <c r="H2" s="48" t="s">
        <v>150</v>
      </c>
      <c r="I2" s="49" t="s">
        <v>151</v>
      </c>
      <c r="J2" s="26" t="s">
        <v>151</v>
      </c>
      <c r="K2" s="26" t="s">
        <v>151</v>
      </c>
      <c r="L2" s="26" t="s">
        <v>151</v>
      </c>
      <c r="M2" s="28" t="s">
        <v>153</v>
      </c>
      <c r="N2" s="28" t="s">
        <v>153</v>
      </c>
      <c r="O2" s="28" t="s">
        <v>153</v>
      </c>
      <c r="P2" s="28" t="s">
        <v>153</v>
      </c>
      <c r="Q2" s="29" t="s">
        <v>21</v>
      </c>
      <c r="R2" s="29" t="s">
        <v>156</v>
      </c>
      <c r="S2" s="30" t="s">
        <v>158</v>
      </c>
    </row>
    <row r="3" spans="1:19" ht="109.5" x14ac:dyDescent="0.25">
      <c r="A3" s="31" t="s">
        <v>148</v>
      </c>
      <c r="B3" s="32" t="s">
        <v>149</v>
      </c>
      <c r="C3" s="59" t="s">
        <v>579</v>
      </c>
      <c r="D3" s="59" t="s">
        <v>580</v>
      </c>
      <c r="E3" s="33" t="s">
        <v>586</v>
      </c>
      <c r="F3" s="33" t="s">
        <v>587</v>
      </c>
      <c r="G3" s="33" t="s">
        <v>588</v>
      </c>
      <c r="H3" s="33" t="s">
        <v>589</v>
      </c>
      <c r="I3" s="34" t="s">
        <v>586</v>
      </c>
      <c r="J3" s="34" t="s">
        <v>587</v>
      </c>
      <c r="K3" s="34" t="s">
        <v>588</v>
      </c>
      <c r="L3" s="34" t="s">
        <v>589</v>
      </c>
      <c r="M3" s="35" t="s">
        <v>586</v>
      </c>
      <c r="N3" s="35" t="s">
        <v>587</v>
      </c>
      <c r="O3" s="35" t="s">
        <v>588</v>
      </c>
      <c r="P3" s="35" t="s">
        <v>589</v>
      </c>
      <c r="Q3" s="29" t="s">
        <v>155</v>
      </c>
      <c r="R3" s="29" t="s">
        <v>157</v>
      </c>
      <c r="S3" s="30"/>
    </row>
    <row r="4" spans="1:19" ht="75" x14ac:dyDescent="0.25">
      <c r="A4" s="36">
        <v>1</v>
      </c>
      <c r="B4" s="69" t="s">
        <v>979</v>
      </c>
      <c r="C4" s="46">
        <v>0</v>
      </c>
      <c r="D4" s="46">
        <v>0</v>
      </c>
      <c r="E4" s="46">
        <v>0</v>
      </c>
      <c r="F4" s="46">
        <v>0</v>
      </c>
      <c r="G4" s="46">
        <v>0</v>
      </c>
      <c r="H4" s="46">
        <v>0</v>
      </c>
      <c r="I4" s="37" t="s">
        <v>159</v>
      </c>
      <c r="J4" s="37" t="s">
        <v>159</v>
      </c>
      <c r="K4" s="37" t="s">
        <v>159</v>
      </c>
      <c r="L4" s="37" t="s">
        <v>159</v>
      </c>
      <c r="M4" s="46">
        <v>0</v>
      </c>
      <c r="N4" s="46">
        <v>0</v>
      </c>
      <c r="O4" s="46">
        <v>0</v>
      </c>
      <c r="P4" s="46">
        <v>0</v>
      </c>
      <c r="Q4" s="50" t="s">
        <v>159</v>
      </c>
      <c r="R4" s="37"/>
      <c r="S4" s="38"/>
    </row>
    <row r="5" spans="1:19" ht="15" customHeight="1" thickBot="1" x14ac:dyDescent="0.3">
      <c r="A5" s="39">
        <v>2</v>
      </c>
      <c r="B5" s="68" t="s">
        <v>978</v>
      </c>
      <c r="C5" s="47">
        <v>65535</v>
      </c>
      <c r="D5" s="47">
        <v>65535</v>
      </c>
      <c r="E5" s="47">
        <v>1</v>
      </c>
      <c r="F5" s="47">
        <v>1</v>
      </c>
      <c r="G5" s="47">
        <v>1</v>
      </c>
      <c r="H5" s="47">
        <v>1</v>
      </c>
      <c r="I5" s="40" t="s">
        <v>159</v>
      </c>
      <c r="J5" s="40" t="s">
        <v>159</v>
      </c>
      <c r="K5" s="40" t="s">
        <v>159</v>
      </c>
      <c r="L5" s="40" t="s">
        <v>159</v>
      </c>
      <c r="M5" s="47">
        <v>1</v>
      </c>
      <c r="N5" s="47">
        <v>1</v>
      </c>
      <c r="O5" s="47">
        <v>1</v>
      </c>
      <c r="P5" s="47">
        <v>1</v>
      </c>
      <c r="Q5" s="51" t="s">
        <v>159</v>
      </c>
      <c r="R5" s="40"/>
      <c r="S5" s="41"/>
    </row>
    <row r="6" spans="1:19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</row>
    <row r="7" spans="1:19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</row>
    <row r="8" spans="1:19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</row>
    <row r="9" spans="1:19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</row>
    <row r="10" spans="1:19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</row>
    <row r="11" spans="1:1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</row>
    <row r="12" spans="1:1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</row>
    <row r="13" spans="1:1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</row>
    <row r="14" spans="1:1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</row>
    <row r="15" spans="1:1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</row>
  </sheetData>
  <mergeCells count="2">
    <mergeCell ref="A1:B1"/>
    <mergeCell ref="A2:B2"/>
  </mergeCells>
  <hyperlinks>
    <hyperlink ref="A1" location="'I2CSnsrDataCheck'!A1" display="'I2CSnsrDataCheck'!A1"/>
  </hyperlink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S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0.28515625" customWidth="1"/>
    <col min="3" max="4" width="6" bestFit="1" customWidth="1"/>
    <col min="5" max="12" width="3.28515625" bestFit="1" customWidth="1"/>
    <col min="13" max="16" width="7.2851562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279" t="s">
        <v>577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43"/>
      <c r="R1" s="43"/>
      <c r="S1" s="44"/>
    </row>
    <row r="2" spans="1:19" ht="60" customHeight="1" x14ac:dyDescent="0.25">
      <c r="A2" s="281" t="s">
        <v>193</v>
      </c>
      <c r="B2" s="282"/>
      <c r="C2" s="48" t="s">
        <v>169</v>
      </c>
      <c r="D2" s="48" t="s">
        <v>169</v>
      </c>
      <c r="E2" s="48" t="s">
        <v>150</v>
      </c>
      <c r="F2" s="48" t="s">
        <v>150</v>
      </c>
      <c r="G2" s="48" t="s">
        <v>150</v>
      </c>
      <c r="H2" s="48" t="s">
        <v>150</v>
      </c>
      <c r="I2" s="49" t="s">
        <v>151</v>
      </c>
      <c r="J2" s="26" t="s">
        <v>151</v>
      </c>
      <c r="K2" s="26" t="s">
        <v>151</v>
      </c>
      <c r="L2" s="26" t="s">
        <v>151</v>
      </c>
      <c r="M2" s="28" t="s">
        <v>153</v>
      </c>
      <c r="N2" s="28" t="s">
        <v>153</v>
      </c>
      <c r="O2" s="28" t="s">
        <v>153</v>
      </c>
      <c r="P2" s="28" t="s">
        <v>153</v>
      </c>
      <c r="Q2" s="29" t="s">
        <v>21</v>
      </c>
      <c r="R2" s="29" t="s">
        <v>156</v>
      </c>
      <c r="S2" s="30" t="s">
        <v>158</v>
      </c>
    </row>
    <row r="3" spans="1:19" ht="109.5" x14ac:dyDescent="0.25">
      <c r="A3" s="31" t="s">
        <v>148</v>
      </c>
      <c r="B3" s="32" t="s">
        <v>149</v>
      </c>
      <c r="C3" s="59" t="s">
        <v>579</v>
      </c>
      <c r="D3" s="59" t="s">
        <v>580</v>
      </c>
      <c r="E3" s="33" t="s">
        <v>586</v>
      </c>
      <c r="F3" s="33" t="s">
        <v>587</v>
      </c>
      <c r="G3" s="33" t="s">
        <v>588</v>
      </c>
      <c r="H3" s="33" t="s">
        <v>589</v>
      </c>
      <c r="I3" s="34" t="s">
        <v>586</v>
      </c>
      <c r="J3" s="34" t="s">
        <v>587</v>
      </c>
      <c r="K3" s="34" t="s">
        <v>588</v>
      </c>
      <c r="L3" s="34" t="s">
        <v>589</v>
      </c>
      <c r="M3" s="35" t="s">
        <v>586</v>
      </c>
      <c r="N3" s="35" t="s">
        <v>587</v>
      </c>
      <c r="O3" s="35" t="s">
        <v>588</v>
      </c>
      <c r="P3" s="35" t="s">
        <v>589</v>
      </c>
      <c r="Q3" s="29" t="s">
        <v>155</v>
      </c>
      <c r="R3" s="29" t="s">
        <v>157</v>
      </c>
      <c r="S3" s="30"/>
    </row>
    <row r="4" spans="1:19" ht="60" x14ac:dyDescent="0.25">
      <c r="A4" s="36">
        <v>1</v>
      </c>
      <c r="B4" s="69" t="s">
        <v>976</v>
      </c>
      <c r="C4" s="46">
        <v>0</v>
      </c>
      <c r="D4" s="46">
        <v>0</v>
      </c>
      <c r="E4" s="46">
        <v>0</v>
      </c>
      <c r="F4" s="46">
        <v>0</v>
      </c>
      <c r="G4" s="46">
        <v>0</v>
      </c>
      <c r="H4" s="46">
        <v>0</v>
      </c>
      <c r="I4" s="37" t="s">
        <v>159</v>
      </c>
      <c r="J4" s="37" t="s">
        <v>159</v>
      </c>
      <c r="K4" s="37" t="s">
        <v>159</v>
      </c>
      <c r="L4" s="37" t="s">
        <v>159</v>
      </c>
      <c r="M4" s="46">
        <v>0</v>
      </c>
      <c r="N4" s="46">
        <v>0</v>
      </c>
      <c r="O4" s="46">
        <v>0</v>
      </c>
      <c r="P4" s="46">
        <v>0</v>
      </c>
      <c r="Q4" s="50" t="s">
        <v>159</v>
      </c>
      <c r="R4" s="37"/>
      <c r="S4" s="38"/>
    </row>
    <row r="5" spans="1:19" ht="60.75" thickBot="1" x14ac:dyDescent="0.3">
      <c r="A5" s="39">
        <v>2</v>
      </c>
      <c r="B5" s="68" t="s">
        <v>977</v>
      </c>
      <c r="C5" s="47">
        <v>65535</v>
      </c>
      <c r="D5" s="47">
        <v>65535</v>
      </c>
      <c r="E5" s="47">
        <v>1</v>
      </c>
      <c r="F5" s="47">
        <v>1</v>
      </c>
      <c r="G5" s="47">
        <v>1</v>
      </c>
      <c r="H5" s="47">
        <v>1</v>
      </c>
      <c r="I5" s="40" t="s">
        <v>159</v>
      </c>
      <c r="J5" s="40" t="s">
        <v>159</v>
      </c>
      <c r="K5" s="40" t="s">
        <v>159</v>
      </c>
      <c r="L5" s="40" t="s">
        <v>159</v>
      </c>
      <c r="M5" s="47">
        <v>1</v>
      </c>
      <c r="N5" s="47">
        <v>1</v>
      </c>
      <c r="O5" s="47">
        <v>1</v>
      </c>
      <c r="P5" s="47">
        <v>1</v>
      </c>
      <c r="Q5" s="51" t="s">
        <v>159</v>
      </c>
      <c r="R5" s="40"/>
      <c r="S5" s="41"/>
    </row>
    <row r="6" spans="1:19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</row>
    <row r="7" spans="1:19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</row>
    <row r="8" spans="1:19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</row>
    <row r="9" spans="1:19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</row>
    <row r="10" spans="1:19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</row>
    <row r="11" spans="1:1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</row>
    <row r="12" spans="1:1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</row>
    <row r="13" spans="1:1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</row>
    <row r="14" spans="1:1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</row>
    <row r="15" spans="1:1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</row>
  </sheetData>
  <mergeCells count="2">
    <mergeCell ref="A1:B1"/>
    <mergeCell ref="A2:B2"/>
  </mergeCells>
  <hyperlinks>
    <hyperlink ref="A1" location="'I2CSnsrDataCheck'!A1" display="'I2CSnsrDataCheck'!A1"/>
  </hyperlink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S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.28515625" bestFit="1" customWidth="1"/>
    <col min="3" max="4" width="6" bestFit="1" customWidth="1"/>
    <col min="5" max="8" width="3.28515625" bestFit="1" customWidth="1"/>
    <col min="9" max="12" width="3.28515625" customWidth="1"/>
    <col min="13" max="16" width="7.2851562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279" t="s">
        <v>577</v>
      </c>
      <c r="B1" s="280"/>
      <c r="C1" s="45" t="s">
        <v>160</v>
      </c>
      <c r="D1" s="58" t="s">
        <v>159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43"/>
      <c r="R1" s="43"/>
      <c r="S1" s="44"/>
    </row>
    <row r="2" spans="1:19" ht="60" customHeight="1" x14ac:dyDescent="0.25">
      <c r="A2" s="281" t="s">
        <v>147</v>
      </c>
      <c r="B2" s="282"/>
      <c r="C2" s="48" t="s">
        <v>169</v>
      </c>
      <c r="D2" s="48" t="s">
        <v>169</v>
      </c>
      <c r="E2" s="48" t="s">
        <v>150</v>
      </c>
      <c r="F2" s="48" t="s">
        <v>150</v>
      </c>
      <c r="G2" s="48" t="s">
        <v>150</v>
      </c>
      <c r="H2" s="48" t="s">
        <v>150</v>
      </c>
      <c r="I2" s="49" t="s">
        <v>151</v>
      </c>
      <c r="J2" s="49" t="s">
        <v>151</v>
      </c>
      <c r="K2" s="49" t="s">
        <v>151</v>
      </c>
      <c r="L2" s="49" t="s">
        <v>151</v>
      </c>
      <c r="M2" s="28" t="s">
        <v>153</v>
      </c>
      <c r="N2" s="28" t="s">
        <v>153</v>
      </c>
      <c r="O2" s="28" t="s">
        <v>153</v>
      </c>
      <c r="P2" s="28" t="s">
        <v>153</v>
      </c>
      <c r="Q2" s="29" t="s">
        <v>21</v>
      </c>
      <c r="R2" s="29" t="s">
        <v>156</v>
      </c>
      <c r="S2" s="30" t="s">
        <v>158</v>
      </c>
    </row>
    <row r="3" spans="1:19" ht="109.5" x14ac:dyDescent="0.25">
      <c r="A3" s="31" t="s">
        <v>148</v>
      </c>
      <c r="B3" s="32" t="s">
        <v>149</v>
      </c>
      <c r="C3" s="59" t="s">
        <v>579</v>
      </c>
      <c r="D3" s="59" t="s">
        <v>580</v>
      </c>
      <c r="E3" s="33" t="s">
        <v>586</v>
      </c>
      <c r="F3" s="33" t="s">
        <v>587</v>
      </c>
      <c r="G3" s="33" t="s">
        <v>588</v>
      </c>
      <c r="H3" s="33" t="s">
        <v>589</v>
      </c>
      <c r="I3" s="34" t="s">
        <v>586</v>
      </c>
      <c r="J3" s="34" t="s">
        <v>587</v>
      </c>
      <c r="K3" s="34" t="s">
        <v>588</v>
      </c>
      <c r="L3" s="34" t="s">
        <v>589</v>
      </c>
      <c r="M3" s="35" t="s">
        <v>586</v>
      </c>
      <c r="N3" s="35" t="s">
        <v>587</v>
      </c>
      <c r="O3" s="35" t="s">
        <v>588</v>
      </c>
      <c r="P3" s="35" t="s">
        <v>589</v>
      </c>
      <c r="Q3" s="29" t="s">
        <v>155</v>
      </c>
      <c r="R3" s="29" t="s">
        <v>157</v>
      </c>
      <c r="S3" s="30"/>
    </row>
    <row r="4" spans="1:19" x14ac:dyDescent="0.25">
      <c r="A4" s="36">
        <v>1</v>
      </c>
      <c r="B4" s="46" t="s">
        <v>161</v>
      </c>
      <c r="C4" s="56">
        <v>0</v>
      </c>
      <c r="D4" s="56">
        <v>0</v>
      </c>
      <c r="E4" s="56">
        <v>0</v>
      </c>
      <c r="F4" s="56">
        <v>0</v>
      </c>
      <c r="G4" s="56">
        <v>0</v>
      </c>
      <c r="H4" s="56">
        <v>0</v>
      </c>
      <c r="I4" s="56" t="s">
        <v>159</v>
      </c>
      <c r="J4" s="56" t="s">
        <v>159</v>
      </c>
      <c r="K4" s="56" t="s">
        <v>159</v>
      </c>
      <c r="L4" s="56" t="s">
        <v>159</v>
      </c>
      <c r="M4" s="46">
        <v>0</v>
      </c>
      <c r="N4" s="46">
        <v>0</v>
      </c>
      <c r="O4" s="46">
        <v>0</v>
      </c>
      <c r="P4" s="46">
        <v>0</v>
      </c>
      <c r="Q4" s="50" t="s">
        <v>159</v>
      </c>
      <c r="R4" s="37"/>
      <c r="S4" s="38"/>
    </row>
    <row r="5" spans="1:19" x14ac:dyDescent="0.25">
      <c r="A5" s="36">
        <v>2</v>
      </c>
      <c r="B5" s="46" t="s">
        <v>162</v>
      </c>
      <c r="C5" s="56">
        <v>65535</v>
      </c>
      <c r="D5" s="56">
        <v>65535</v>
      </c>
      <c r="E5" s="56">
        <v>1</v>
      </c>
      <c r="F5" s="56">
        <v>1</v>
      </c>
      <c r="G5" s="56">
        <v>1</v>
      </c>
      <c r="H5" s="56">
        <v>1</v>
      </c>
      <c r="I5" s="56" t="s">
        <v>159</v>
      </c>
      <c r="J5" s="56" t="s">
        <v>159</v>
      </c>
      <c r="K5" s="56" t="s">
        <v>159</v>
      </c>
      <c r="L5" s="56" t="s">
        <v>159</v>
      </c>
      <c r="M5" s="46">
        <v>1</v>
      </c>
      <c r="N5" s="46">
        <v>1</v>
      </c>
      <c r="O5" s="46">
        <v>1</v>
      </c>
      <c r="P5" s="46">
        <v>1</v>
      </c>
      <c r="Q5" s="50" t="s">
        <v>159</v>
      </c>
      <c r="R5" s="37"/>
      <c r="S5" s="38"/>
    </row>
    <row r="6" spans="1:19" x14ac:dyDescent="0.25">
      <c r="A6" s="36">
        <v>3</v>
      </c>
      <c r="B6" s="46" t="s">
        <v>699</v>
      </c>
      <c r="C6" s="56">
        <v>0</v>
      </c>
      <c r="D6" s="46">
        <v>8</v>
      </c>
      <c r="E6" s="46">
        <v>0</v>
      </c>
      <c r="F6" s="46">
        <v>0</v>
      </c>
      <c r="G6" s="46">
        <v>1</v>
      </c>
      <c r="H6" s="46">
        <v>0</v>
      </c>
      <c r="I6" s="46" t="s">
        <v>159</v>
      </c>
      <c r="J6" s="46" t="s">
        <v>159</v>
      </c>
      <c r="K6" s="46" t="s">
        <v>159</v>
      </c>
      <c r="L6" s="46" t="s">
        <v>159</v>
      </c>
      <c r="M6" s="46">
        <v>0</v>
      </c>
      <c r="N6" s="46">
        <v>0</v>
      </c>
      <c r="O6" s="46">
        <v>1</v>
      </c>
      <c r="P6" s="46">
        <v>0</v>
      </c>
      <c r="Q6" s="50" t="s">
        <v>159</v>
      </c>
      <c r="R6" s="37"/>
      <c r="S6" s="38"/>
    </row>
    <row r="7" spans="1:19" x14ac:dyDescent="0.25">
      <c r="A7" s="36">
        <v>4</v>
      </c>
      <c r="B7" s="46" t="s">
        <v>701</v>
      </c>
      <c r="C7" s="56">
        <v>65535</v>
      </c>
      <c r="D7" s="46">
        <v>453</v>
      </c>
      <c r="E7" s="46">
        <v>1</v>
      </c>
      <c r="F7" s="46">
        <v>0</v>
      </c>
      <c r="G7" s="46">
        <v>0</v>
      </c>
      <c r="H7" s="46">
        <v>0</v>
      </c>
      <c r="I7" s="46" t="s">
        <v>159</v>
      </c>
      <c r="J7" s="46" t="s">
        <v>159</v>
      </c>
      <c r="K7" s="46" t="s">
        <v>159</v>
      </c>
      <c r="L7" s="46" t="s">
        <v>159</v>
      </c>
      <c r="M7" s="46">
        <v>1</v>
      </c>
      <c r="N7" s="46">
        <v>0</v>
      </c>
      <c r="O7" s="46">
        <v>1</v>
      </c>
      <c r="P7" s="46">
        <v>0</v>
      </c>
      <c r="Q7" s="50" t="s">
        <v>159</v>
      </c>
      <c r="R7" s="37"/>
      <c r="S7" s="38"/>
    </row>
    <row r="8" spans="1:19" x14ac:dyDescent="0.25">
      <c r="A8" s="36">
        <v>5</v>
      </c>
      <c r="B8" s="46" t="s">
        <v>703</v>
      </c>
      <c r="C8" s="56">
        <v>2557</v>
      </c>
      <c r="D8" s="46">
        <v>257</v>
      </c>
      <c r="E8" s="46">
        <v>0</v>
      </c>
      <c r="F8" s="46">
        <v>0</v>
      </c>
      <c r="G8" s="46">
        <v>1</v>
      </c>
      <c r="H8" s="46">
        <v>1</v>
      </c>
      <c r="I8" s="46" t="s">
        <v>159</v>
      </c>
      <c r="J8" s="46" t="s">
        <v>159</v>
      </c>
      <c r="K8" s="46" t="s">
        <v>159</v>
      </c>
      <c r="L8" s="46" t="s">
        <v>159</v>
      </c>
      <c r="M8" s="46">
        <v>0</v>
      </c>
      <c r="N8" s="46">
        <v>0</v>
      </c>
      <c r="O8" s="46">
        <v>1</v>
      </c>
      <c r="P8" s="46">
        <v>1</v>
      </c>
      <c r="Q8" s="50" t="s">
        <v>159</v>
      </c>
      <c r="R8" s="37"/>
      <c r="S8" s="38"/>
    </row>
    <row r="9" spans="1:19" x14ac:dyDescent="0.25">
      <c r="A9" s="36">
        <v>6</v>
      </c>
      <c r="B9" s="46" t="s">
        <v>700</v>
      </c>
      <c r="C9" s="46">
        <v>142</v>
      </c>
      <c r="D9" s="56">
        <v>0</v>
      </c>
      <c r="E9" s="46">
        <v>1</v>
      </c>
      <c r="F9" s="46">
        <v>1</v>
      </c>
      <c r="G9" s="46">
        <v>0</v>
      </c>
      <c r="H9" s="46">
        <v>1</v>
      </c>
      <c r="I9" s="46" t="s">
        <v>159</v>
      </c>
      <c r="J9" s="46" t="s">
        <v>159</v>
      </c>
      <c r="K9" s="46" t="s">
        <v>159</v>
      </c>
      <c r="L9" s="46" t="s">
        <v>159</v>
      </c>
      <c r="M9" s="46">
        <v>1</v>
      </c>
      <c r="N9" s="46">
        <v>1</v>
      </c>
      <c r="O9" s="46">
        <v>0</v>
      </c>
      <c r="P9" s="46">
        <v>1</v>
      </c>
      <c r="Q9" s="50" t="s">
        <v>159</v>
      </c>
      <c r="R9" s="37"/>
      <c r="S9" s="38"/>
    </row>
    <row r="10" spans="1:19" x14ac:dyDescent="0.25">
      <c r="A10" s="36">
        <v>7</v>
      </c>
      <c r="B10" s="46" t="s">
        <v>702</v>
      </c>
      <c r="C10" s="46">
        <v>358</v>
      </c>
      <c r="D10" s="56">
        <v>65535</v>
      </c>
      <c r="E10" s="46">
        <v>0</v>
      </c>
      <c r="F10" s="46">
        <v>1</v>
      </c>
      <c r="G10" s="46">
        <v>1</v>
      </c>
      <c r="H10" s="46">
        <v>0</v>
      </c>
      <c r="I10" s="46" t="s">
        <v>159</v>
      </c>
      <c r="J10" s="46" t="s">
        <v>159</v>
      </c>
      <c r="K10" s="46" t="s">
        <v>159</v>
      </c>
      <c r="L10" s="46" t="s">
        <v>159</v>
      </c>
      <c r="M10" s="46">
        <v>0</v>
      </c>
      <c r="N10" s="46">
        <v>1</v>
      </c>
      <c r="O10" s="46">
        <v>1</v>
      </c>
      <c r="P10" s="46">
        <v>1</v>
      </c>
      <c r="Q10" s="50" t="s">
        <v>159</v>
      </c>
      <c r="R10" s="37"/>
      <c r="S10" s="38"/>
    </row>
    <row r="11" spans="1:19" ht="15.75" thickBot="1" x14ac:dyDescent="0.3">
      <c r="A11" s="39">
        <v>8</v>
      </c>
      <c r="B11" s="47" t="s">
        <v>704</v>
      </c>
      <c r="C11" s="47">
        <v>64</v>
      </c>
      <c r="D11" s="57">
        <v>1245</v>
      </c>
      <c r="E11" s="47">
        <v>0</v>
      </c>
      <c r="F11" s="47">
        <v>1</v>
      </c>
      <c r="G11" s="47">
        <v>0</v>
      </c>
      <c r="H11" s="47">
        <v>0</v>
      </c>
      <c r="I11" s="47" t="s">
        <v>159</v>
      </c>
      <c r="J11" s="47" t="s">
        <v>159</v>
      </c>
      <c r="K11" s="47" t="s">
        <v>159</v>
      </c>
      <c r="L11" s="47" t="s">
        <v>159</v>
      </c>
      <c r="M11" s="47">
        <v>0</v>
      </c>
      <c r="N11" s="47">
        <v>1</v>
      </c>
      <c r="O11" s="47">
        <v>0</v>
      </c>
      <c r="P11" s="47">
        <v>0</v>
      </c>
      <c r="Q11" s="51" t="s">
        <v>159</v>
      </c>
      <c r="R11" s="40"/>
      <c r="S11" s="41"/>
    </row>
    <row r="12" spans="1:1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</row>
    <row r="13" spans="1:1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</row>
    <row r="14" spans="1:1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</row>
    <row r="15" spans="1:1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</row>
    <row r="16" spans="1:19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</row>
    <row r="17" spans="1:19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</row>
    <row r="18" spans="1:19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</row>
    <row r="19" spans="1:19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</row>
    <row r="20" spans="1:19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</row>
    <row r="21" spans="1:19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</row>
  </sheetData>
  <sheetProtection sheet="1" objects="1" scenarios="1"/>
  <mergeCells count="2">
    <mergeCell ref="A1:B1"/>
    <mergeCell ref="A2:B2"/>
  </mergeCells>
  <hyperlinks>
    <hyperlink ref="A1" location="'I2CSnsrDataCheck'!A1" display="'I2CSnsrDataCheck'!A1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1035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53" t="s">
        <v>0</v>
      </c>
      <c r="B5" s="253"/>
      <c r="C5" s="253"/>
      <c r="D5" s="253"/>
      <c r="E5" s="253"/>
      <c r="F5" s="2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54" t="s">
        <v>346</v>
      </c>
      <c r="B7" s="254"/>
      <c r="C7" s="254"/>
      <c r="D7" s="254"/>
      <c r="E7" s="254"/>
      <c r="F7" s="2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74" t="s">
        <v>40</v>
      </c>
      <c r="B9" s="275"/>
      <c r="C9" s="276"/>
      <c r="D9" s="1"/>
      <c r="E9" s="1"/>
      <c r="F9" s="1"/>
    </row>
    <row r="10" spans="1:6" ht="15.75" thickBot="1" x14ac:dyDescent="0.3">
      <c r="A10" s="13" t="s">
        <v>37</v>
      </c>
      <c r="B10" s="277">
        <v>0</v>
      </c>
      <c r="C10" s="278"/>
      <c r="D10" s="1"/>
      <c r="E10" s="1"/>
      <c r="F10" s="1"/>
    </row>
    <row r="11" spans="1:6" ht="15.75" thickBot="1" x14ac:dyDescent="0.3">
      <c r="A11" s="13" t="s">
        <v>38</v>
      </c>
      <c r="B11" s="277">
        <v>0</v>
      </c>
      <c r="C11" s="278"/>
      <c r="D11" s="1"/>
      <c r="E11" s="1"/>
      <c r="F11" s="1"/>
    </row>
    <row r="12" spans="1:6" ht="15.75" thickBot="1" x14ac:dyDescent="0.3">
      <c r="A12" s="13" t="s">
        <v>39</v>
      </c>
      <c r="B12" s="277"/>
      <c r="C12" s="27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70" t="s">
        <v>41</v>
      </c>
      <c r="B15" s="270"/>
      <c r="C15" s="270"/>
      <c r="D15" s="272" t="s">
        <v>42</v>
      </c>
      <c r="E15" s="273"/>
      <c r="F15" s="238" t="s">
        <v>43</v>
      </c>
    </row>
    <row r="16" spans="1:6" x14ac:dyDescent="0.25">
      <c r="A16" s="242" t="s">
        <v>44</v>
      </c>
      <c r="B16" s="243" t="s">
        <v>45</v>
      </c>
      <c r="C16" s="244" t="s">
        <v>46</v>
      </c>
      <c r="D16" s="246" t="s">
        <v>47</v>
      </c>
      <c r="E16" s="245" t="s">
        <v>48</v>
      </c>
      <c r="F16" s="14" t="s">
        <v>44</v>
      </c>
    </row>
    <row r="17" spans="1:6" x14ac:dyDescent="0.25">
      <c r="A17" s="52" t="s">
        <v>270</v>
      </c>
      <c r="B17" s="15" t="s">
        <v>718</v>
      </c>
      <c r="C17" s="16">
        <v>85</v>
      </c>
      <c r="D17" s="17" t="s">
        <v>388</v>
      </c>
      <c r="E17" s="18" t="s">
        <v>422</v>
      </c>
      <c r="F17" s="19" t="s">
        <v>272</v>
      </c>
    </row>
    <row r="18" spans="1:6" x14ac:dyDescent="0.25">
      <c r="A18" s="52" t="s">
        <v>270</v>
      </c>
      <c r="B18" s="15" t="s">
        <v>193</v>
      </c>
      <c r="C18" s="16">
        <v>8</v>
      </c>
      <c r="D18" s="17" t="s">
        <v>566</v>
      </c>
      <c r="E18" s="18" t="s">
        <v>281</v>
      </c>
      <c r="F18" s="19" t="s">
        <v>55</v>
      </c>
    </row>
    <row r="19" spans="1:6" x14ac:dyDescent="0.25">
      <c r="A19" s="52" t="s">
        <v>270</v>
      </c>
      <c r="B19" s="15" t="s">
        <v>99</v>
      </c>
      <c r="C19" s="16">
        <v>2</v>
      </c>
      <c r="D19" s="17" t="s">
        <v>567</v>
      </c>
      <c r="E19" s="18" t="s">
        <v>618</v>
      </c>
      <c r="F19" s="19"/>
    </row>
    <row r="20" spans="1:6" x14ac:dyDescent="0.25">
      <c r="A20" s="15"/>
      <c r="B20" s="15"/>
      <c r="C20" s="16"/>
      <c r="D20" s="17" t="s">
        <v>565</v>
      </c>
      <c r="E20" s="18" t="s">
        <v>330</v>
      </c>
      <c r="F20" s="19"/>
    </row>
    <row r="21" spans="1:6" x14ac:dyDescent="0.25">
      <c r="A21" s="15"/>
      <c r="B21" s="15"/>
      <c r="C21" s="16"/>
      <c r="D21" s="17" t="s">
        <v>563</v>
      </c>
      <c r="E21" s="18" t="s">
        <v>278</v>
      </c>
      <c r="F21" s="19"/>
    </row>
    <row r="22" spans="1:6" x14ac:dyDescent="0.25">
      <c r="A22" s="15"/>
      <c r="B22" s="15"/>
      <c r="C22" s="16"/>
      <c r="D22" s="17" t="s">
        <v>276</v>
      </c>
      <c r="E22" s="18" t="s">
        <v>569</v>
      </c>
      <c r="F22" s="19"/>
    </row>
    <row r="23" spans="1:6" x14ac:dyDescent="0.25">
      <c r="A23" s="15"/>
      <c r="B23" s="15"/>
      <c r="C23" s="16"/>
      <c r="D23" s="17" t="s">
        <v>392</v>
      </c>
      <c r="E23" s="225" t="s">
        <v>568</v>
      </c>
      <c r="F23" s="19"/>
    </row>
    <row r="24" spans="1:6" x14ac:dyDescent="0.25">
      <c r="A24" s="15"/>
      <c r="B24" s="15"/>
      <c r="C24" s="16"/>
      <c r="D24" s="17" t="s">
        <v>131</v>
      </c>
      <c r="E24" s="225" t="s">
        <v>329</v>
      </c>
      <c r="F24" s="19"/>
    </row>
    <row r="25" spans="1:6" x14ac:dyDescent="0.25">
      <c r="A25" s="15"/>
      <c r="B25" s="15"/>
      <c r="C25" s="16"/>
      <c r="D25" s="17" t="s">
        <v>569</v>
      </c>
      <c r="E25" s="225" t="s">
        <v>393</v>
      </c>
      <c r="F25" s="19"/>
    </row>
    <row r="26" spans="1:6" x14ac:dyDescent="0.25">
      <c r="A26" s="15"/>
      <c r="B26" s="15"/>
      <c r="C26" s="16"/>
      <c r="D26" s="17" t="s">
        <v>568</v>
      </c>
      <c r="E26" s="225" t="s">
        <v>276</v>
      </c>
      <c r="F26" s="19"/>
    </row>
    <row r="27" spans="1:6" x14ac:dyDescent="0.25">
      <c r="A27" s="15"/>
      <c r="B27" s="15"/>
      <c r="C27" s="16"/>
      <c r="D27" s="17" t="s">
        <v>603</v>
      </c>
      <c r="E27" s="225" t="s">
        <v>424</v>
      </c>
      <c r="F27" s="19"/>
    </row>
    <row r="28" spans="1:6" x14ac:dyDescent="0.25">
      <c r="A28" s="15"/>
      <c r="B28" s="15"/>
      <c r="C28" s="16"/>
      <c r="D28" s="17" t="s">
        <v>604</v>
      </c>
      <c r="E28" s="225" t="s">
        <v>342</v>
      </c>
      <c r="F28" s="19"/>
    </row>
    <row r="29" spans="1:6" x14ac:dyDescent="0.25">
      <c r="A29" s="15"/>
      <c r="B29" s="15"/>
      <c r="C29" s="16"/>
      <c r="D29" s="17" t="s">
        <v>285</v>
      </c>
      <c r="E29" s="225" t="s">
        <v>343</v>
      </c>
      <c r="F29" s="19"/>
    </row>
    <row r="30" spans="1:6" x14ac:dyDescent="0.25">
      <c r="A30" s="15"/>
      <c r="B30" s="15"/>
      <c r="C30" s="16"/>
      <c r="D30" s="17" t="s">
        <v>286</v>
      </c>
      <c r="E30" s="225" t="s">
        <v>344</v>
      </c>
      <c r="F30" s="19"/>
    </row>
    <row r="31" spans="1:6" x14ac:dyDescent="0.25">
      <c r="A31" s="15"/>
      <c r="B31" s="15"/>
      <c r="C31" s="16"/>
      <c r="D31" s="17" t="s">
        <v>605</v>
      </c>
      <c r="E31" s="225" t="s">
        <v>280</v>
      </c>
      <c r="F31" s="19"/>
    </row>
    <row r="32" spans="1:6" x14ac:dyDescent="0.25">
      <c r="A32" s="15"/>
      <c r="B32" s="15"/>
      <c r="C32" s="16"/>
      <c r="D32" s="17" t="s">
        <v>423</v>
      </c>
      <c r="E32" s="225" t="s">
        <v>277</v>
      </c>
      <c r="F32" s="19"/>
    </row>
    <row r="33" spans="1:6" x14ac:dyDescent="0.25">
      <c r="A33" s="15"/>
      <c r="B33" s="15"/>
      <c r="C33" s="16"/>
      <c r="D33" s="17" t="s">
        <v>606</v>
      </c>
      <c r="E33" s="225" t="s">
        <v>279</v>
      </c>
      <c r="F33" s="19"/>
    </row>
    <row r="34" spans="1:6" x14ac:dyDescent="0.25">
      <c r="A34" s="15"/>
      <c r="B34" s="15"/>
      <c r="C34" s="16"/>
      <c r="D34" s="17" t="s">
        <v>274</v>
      </c>
      <c r="E34" s="225" t="s">
        <v>392</v>
      </c>
      <c r="F34" s="19"/>
    </row>
    <row r="35" spans="1:6" x14ac:dyDescent="0.25">
      <c r="A35" s="15"/>
      <c r="B35" s="15"/>
      <c r="C35" s="16"/>
      <c r="D35" s="17" t="s">
        <v>258</v>
      </c>
      <c r="E35" s="225"/>
      <c r="F35" s="19"/>
    </row>
    <row r="36" spans="1:6" x14ac:dyDescent="0.25">
      <c r="A36" s="15"/>
      <c r="B36" s="15"/>
      <c r="C36" s="16"/>
      <c r="D36" s="17" t="s">
        <v>259</v>
      </c>
      <c r="E36" s="225"/>
      <c r="F36" s="19"/>
    </row>
    <row r="37" spans="1:6" x14ac:dyDescent="0.25">
      <c r="A37" s="15"/>
      <c r="B37" s="15"/>
      <c r="C37" s="16"/>
      <c r="D37" s="17" t="s">
        <v>380</v>
      </c>
      <c r="E37" s="225"/>
      <c r="F37" s="19"/>
    </row>
    <row r="38" spans="1:6" x14ac:dyDescent="0.25">
      <c r="A38" s="15"/>
      <c r="B38" s="15"/>
      <c r="C38" s="16"/>
      <c r="D38" s="17" t="s">
        <v>381</v>
      </c>
      <c r="E38" s="225"/>
      <c r="F38" s="19"/>
    </row>
    <row r="39" spans="1:6" x14ac:dyDescent="0.25">
      <c r="A39" s="15"/>
      <c r="B39" s="15"/>
      <c r="C39" s="16"/>
      <c r="D39" s="17" t="s">
        <v>382</v>
      </c>
      <c r="E39" s="18"/>
      <c r="F39" s="19"/>
    </row>
    <row r="40" spans="1:6" x14ac:dyDescent="0.25">
      <c r="A40" s="15"/>
      <c r="B40" s="15"/>
      <c r="C40" s="16"/>
      <c r="D40" s="221" t="s">
        <v>280</v>
      </c>
      <c r="E40" s="18"/>
      <c r="F40" s="19"/>
    </row>
    <row r="41" spans="1:6" x14ac:dyDescent="0.25">
      <c r="A41" s="15"/>
      <c r="B41" s="15"/>
      <c r="C41" s="16"/>
      <c r="D41" s="221" t="s">
        <v>281</v>
      </c>
      <c r="E41" s="18"/>
      <c r="F41" s="19"/>
    </row>
    <row r="42" spans="1:6" x14ac:dyDescent="0.25">
      <c r="A42" s="15"/>
      <c r="B42" s="15"/>
      <c r="C42" s="16"/>
      <c r="D42" s="221" t="s">
        <v>135</v>
      </c>
      <c r="E42" s="18"/>
      <c r="F42" s="19"/>
    </row>
    <row r="43" spans="1:6" x14ac:dyDescent="0.25">
      <c r="A43" s="15"/>
      <c r="B43" s="15"/>
      <c r="C43" s="16"/>
      <c r="D43" s="221" t="s">
        <v>618</v>
      </c>
      <c r="E43" s="18"/>
      <c r="F43" s="19"/>
    </row>
    <row r="44" spans="1:6" x14ac:dyDescent="0.25">
      <c r="A44" s="15"/>
      <c r="B44" s="15"/>
      <c r="C44" s="16"/>
      <c r="D44" s="221" t="s">
        <v>132</v>
      </c>
      <c r="E44" s="18"/>
      <c r="F44" s="19"/>
    </row>
    <row r="45" spans="1:6" x14ac:dyDescent="0.25">
      <c r="A45" s="15"/>
      <c r="B45" s="15"/>
      <c r="C45" s="16"/>
      <c r="D45" s="221" t="s">
        <v>230</v>
      </c>
      <c r="E45" s="18"/>
      <c r="F45" s="19"/>
    </row>
    <row r="46" spans="1:6" x14ac:dyDescent="0.25">
      <c r="A46" s="15"/>
      <c r="B46" s="15"/>
      <c r="C46" s="16"/>
      <c r="D46" s="221" t="s">
        <v>231</v>
      </c>
      <c r="E46" s="18"/>
      <c r="F46" s="19"/>
    </row>
    <row r="47" spans="1:6" x14ac:dyDescent="0.25">
      <c r="A47" s="15"/>
      <c r="B47" s="15"/>
      <c r="C47" s="16"/>
      <c r="D47" s="221" t="s">
        <v>233</v>
      </c>
      <c r="E47" s="18"/>
      <c r="F47" s="19"/>
    </row>
    <row r="48" spans="1:6" x14ac:dyDescent="0.25">
      <c r="A48" s="15"/>
      <c r="B48" s="15"/>
      <c r="C48" s="16"/>
      <c r="D48" s="221" t="s">
        <v>279</v>
      </c>
      <c r="E48" s="18"/>
      <c r="F48" s="19"/>
    </row>
    <row r="49" spans="1:6" x14ac:dyDescent="0.25">
      <c r="A49" s="15"/>
      <c r="B49" s="15"/>
      <c r="C49" s="16"/>
      <c r="D49" s="221" t="s">
        <v>277</v>
      </c>
      <c r="E49" s="18"/>
      <c r="F49" s="19"/>
    </row>
    <row r="50" spans="1:6" x14ac:dyDescent="0.25">
      <c r="A50" s="15"/>
      <c r="B50" s="15"/>
      <c r="C50" s="16"/>
      <c r="D50" s="221" t="s">
        <v>210</v>
      </c>
      <c r="E50" s="18"/>
      <c r="F50" s="19"/>
    </row>
    <row r="51" spans="1:6" x14ac:dyDescent="0.25">
      <c r="A51" s="15"/>
      <c r="B51" s="15"/>
      <c r="C51" s="16"/>
      <c r="D51" s="221" t="s">
        <v>212</v>
      </c>
      <c r="E51" s="18"/>
      <c r="F51" s="19"/>
    </row>
    <row r="52" spans="1:6" x14ac:dyDescent="0.25">
      <c r="A52" s="15"/>
      <c r="B52" s="15"/>
      <c r="C52" s="16"/>
      <c r="D52" s="221" t="s">
        <v>234</v>
      </c>
      <c r="E52" s="18"/>
      <c r="F52" s="19"/>
    </row>
    <row r="53" spans="1:6" x14ac:dyDescent="0.25">
      <c r="A53" s="15"/>
      <c r="B53" s="15"/>
      <c r="C53" s="16"/>
      <c r="D53" s="221" t="s">
        <v>424</v>
      </c>
      <c r="E53" s="18"/>
      <c r="F53" s="19"/>
    </row>
    <row r="54" spans="1:6" x14ac:dyDescent="0.25">
      <c r="A54" s="15"/>
      <c r="B54" s="15"/>
      <c r="C54" s="16"/>
      <c r="D54" s="221" t="s">
        <v>278</v>
      </c>
      <c r="E54" s="18"/>
      <c r="F54" s="19"/>
    </row>
    <row r="55" spans="1:6" x14ac:dyDescent="0.25">
      <c r="A55" s="15"/>
      <c r="B55" s="15"/>
      <c r="C55" s="16"/>
      <c r="D55" s="221" t="s">
        <v>422</v>
      </c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90"/>
      <c r="F1017" s="19"/>
    </row>
    <row r="1018" spans="1:6" x14ac:dyDescent="0.25">
      <c r="A1018" s="1"/>
      <c r="B1018" s="1"/>
      <c r="C1018" s="1"/>
      <c r="D1018" s="222"/>
      <c r="E1018" s="1"/>
      <c r="F1018" s="1"/>
    </row>
    <row r="1019" spans="1:6" x14ac:dyDescent="0.25">
      <c r="A1019" s="1"/>
      <c r="B1019" s="1"/>
      <c r="C1019" s="1"/>
      <c r="D1019" s="89"/>
      <c r="E1019" s="1"/>
      <c r="F1019" s="1"/>
    </row>
    <row r="1020" spans="1:6" x14ac:dyDescent="0.25">
      <c r="A1020" s="1"/>
      <c r="B1020" s="1"/>
      <c r="C1020" s="1"/>
      <c r="D1020" s="89"/>
      <c r="E1020" s="1"/>
      <c r="F1020" s="1"/>
    </row>
    <row r="1021" spans="1:6" x14ac:dyDescent="0.25">
      <c r="A1021" s="1"/>
      <c r="B1021" s="1"/>
      <c r="C1021" s="1"/>
      <c r="D1021" s="89"/>
      <c r="E1021" s="1"/>
      <c r="F1021" s="1"/>
    </row>
    <row r="1022" spans="1:6" x14ac:dyDescent="0.25">
      <c r="A1022" s="1"/>
      <c r="B1022" s="1"/>
      <c r="C1022" s="1"/>
      <c r="D1022" s="89"/>
      <c r="E1022" s="1"/>
      <c r="F1022" s="1"/>
    </row>
    <row r="1023" spans="1:6" x14ac:dyDescent="0.25">
      <c r="A1023" s="1"/>
      <c r="B1023" s="1"/>
      <c r="C1023" s="1"/>
      <c r="D1023" s="89"/>
      <c r="E1023" s="1"/>
      <c r="F1023" s="1"/>
    </row>
    <row r="1024" spans="1:6" x14ac:dyDescent="0.25">
      <c r="A1024" s="1"/>
      <c r="B1024" s="1"/>
      <c r="C1024" s="1"/>
      <c r="D1024" s="89"/>
      <c r="E1024" s="1"/>
      <c r="F1024" s="1"/>
    </row>
    <row r="1025" spans="1:6" x14ac:dyDescent="0.25">
      <c r="A1025" s="1"/>
      <c r="B1025" s="1"/>
      <c r="C1025" s="1"/>
      <c r="D1025" s="89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  <row r="1028" spans="1:6" x14ac:dyDescent="0.25">
      <c r="D1028" s="1"/>
    </row>
    <row r="1029" spans="1:6" x14ac:dyDescent="0.25">
      <c r="D1029" s="1"/>
    </row>
    <row r="1030" spans="1:6" x14ac:dyDescent="0.25">
      <c r="D1030" s="1"/>
    </row>
    <row r="1031" spans="1:6" x14ac:dyDescent="0.25">
      <c r="D1031" s="1"/>
    </row>
    <row r="1032" spans="1:6" x14ac:dyDescent="0.25">
      <c r="D1032" s="1"/>
    </row>
    <row r="1033" spans="1:6" x14ac:dyDescent="0.25">
      <c r="D1033" s="1"/>
    </row>
    <row r="1034" spans="1:6" x14ac:dyDescent="0.25">
      <c r="D1034" s="1"/>
    </row>
    <row r="1035" spans="1:6" x14ac:dyDescent="0.25">
      <c r="D1035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018:D1025 D17:E1017">
      <formula1>VariableNameList</formula1>
    </dataValidation>
    <dataValidation type="list" allowBlank="1" showInputMessage="1" showErrorMessage="1" sqref="A17:A1017">
      <formula1>TestFunctionNameList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_Per2() R'!A1" display="'DigColPs_Per2() R'!A1"/>
    <hyperlink ref="A18" location="'DigColPs_Per2() P'!A1" display="'DigColPs_Per2() P'!A1"/>
    <hyperlink ref="A19" location="'DigColPs_Per2() M'!A1" display="'DigColPs_Per2() M'!A1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F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12" width="3.28515625" bestFit="1" customWidth="1"/>
    <col min="13" max="14" width="6" bestFit="1" customWidth="1"/>
    <col min="15" max="15" width="8" bestFit="1" customWidth="1"/>
    <col min="16" max="16" width="9" bestFit="1" customWidth="1"/>
    <col min="17" max="17" width="3.28515625" bestFit="1" customWidth="1"/>
    <col min="18" max="18" width="4" bestFit="1" customWidth="1"/>
    <col min="19" max="19" width="3.28515625" bestFit="1" customWidth="1"/>
    <col min="20" max="20" width="5" bestFit="1" customWidth="1"/>
    <col min="21" max="21" width="6.7109375" bestFit="1" customWidth="1"/>
    <col min="22" max="22" width="6" bestFit="1" customWidth="1"/>
    <col min="23" max="23" width="8.7109375" bestFit="1" customWidth="1"/>
    <col min="24" max="24" width="9" bestFit="1" customWidth="1"/>
    <col min="25" max="25" width="5" bestFit="1" customWidth="1"/>
    <col min="26" max="26" width="3.28515625" bestFit="1" customWidth="1"/>
    <col min="27" max="27" width="9" bestFit="1" customWidth="1"/>
    <col min="28" max="28" width="10" bestFit="1" customWidth="1"/>
    <col min="29" max="29" width="7.7109375" bestFit="1" customWidth="1"/>
    <col min="30" max="30" width="7" bestFit="1" customWidth="1"/>
    <col min="31" max="31" width="4" bestFit="1" customWidth="1"/>
    <col min="32" max="33" width="3.28515625" bestFit="1" customWidth="1"/>
    <col min="34" max="36" width="4" bestFit="1" customWidth="1"/>
    <col min="37" max="40" width="3.28515625" bestFit="1" customWidth="1"/>
    <col min="41" max="41" width="5" bestFit="1" customWidth="1"/>
    <col min="42" max="52" width="3.28515625" bestFit="1" customWidth="1"/>
    <col min="53" max="59" width="3.28515625" customWidth="1"/>
    <col min="60" max="62" width="7.28515625" bestFit="1" customWidth="1"/>
    <col min="63" max="63" width="9" bestFit="1" customWidth="1"/>
    <col min="64" max="65" width="9.7109375" bestFit="1" customWidth="1"/>
    <col min="66" max="72" width="7.28515625" bestFit="1" customWidth="1"/>
    <col min="73" max="73" width="12" bestFit="1" customWidth="1"/>
    <col min="74" max="75" width="7.28515625" bestFit="1" customWidth="1"/>
    <col min="76" max="79" width="7.28515625" customWidth="1"/>
    <col min="80" max="81" width="7.28515625" bestFit="1" customWidth="1"/>
    <col min="82" max="82" width="10.5703125" bestFit="1" customWidth="1"/>
    <col min="83" max="83" width="12.42578125" bestFit="1" customWidth="1"/>
    <col min="84" max="84" width="10.5703125" bestFit="1" customWidth="1"/>
  </cols>
  <sheetData>
    <row r="1" spans="1:84" x14ac:dyDescent="0.25">
      <c r="A1" s="279" t="s">
        <v>270</v>
      </c>
      <c r="B1" s="280"/>
      <c r="C1" s="45" t="s">
        <v>160</v>
      </c>
      <c r="D1" s="58" t="s">
        <v>159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239"/>
      <c r="Z1" s="239"/>
      <c r="AA1" s="239"/>
      <c r="AB1" s="239"/>
      <c r="AC1" s="239"/>
      <c r="AD1" s="239"/>
      <c r="AE1" s="239"/>
      <c r="AF1" s="239"/>
      <c r="AG1" s="239"/>
      <c r="AH1" s="239"/>
      <c r="AI1" s="239"/>
      <c r="AJ1" s="239"/>
      <c r="AK1" s="239"/>
      <c r="AL1" s="239"/>
      <c r="AM1" s="239"/>
      <c r="AN1" s="239"/>
      <c r="AO1" s="239"/>
      <c r="AP1" s="239"/>
      <c r="AQ1" s="239"/>
      <c r="AR1" s="239"/>
      <c r="AS1" s="239"/>
      <c r="AT1" s="239"/>
      <c r="AU1" s="239"/>
      <c r="AV1" s="239"/>
      <c r="AW1" s="239"/>
      <c r="AX1" s="239"/>
      <c r="AY1" s="239"/>
      <c r="AZ1" s="239"/>
      <c r="BA1" s="239"/>
      <c r="BB1" s="239"/>
      <c r="BC1" s="239"/>
      <c r="BD1" s="239"/>
      <c r="BE1" s="239"/>
      <c r="BF1" s="239"/>
      <c r="BG1" s="239"/>
      <c r="BH1" s="239"/>
      <c r="BI1" s="239"/>
      <c r="BJ1" s="239"/>
      <c r="BK1" s="239"/>
      <c r="BL1" s="239"/>
      <c r="BM1" s="239"/>
      <c r="BN1" s="239"/>
      <c r="BO1" s="239"/>
      <c r="BP1" s="239"/>
      <c r="BQ1" s="239"/>
      <c r="BR1" s="239"/>
      <c r="BS1" s="239"/>
      <c r="BT1" s="239"/>
      <c r="BU1" s="239"/>
      <c r="BV1" s="239"/>
      <c r="BW1" s="239"/>
      <c r="BX1" s="239"/>
      <c r="BY1" s="239"/>
      <c r="BZ1" s="239"/>
      <c r="CA1" s="239"/>
      <c r="CB1" s="239"/>
      <c r="CC1" s="239"/>
      <c r="CD1" s="43"/>
      <c r="CE1" s="43"/>
      <c r="CF1" s="44"/>
    </row>
    <row r="2" spans="1:84" ht="60" customHeight="1" x14ac:dyDescent="0.25">
      <c r="A2" s="281" t="s">
        <v>99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48" t="s">
        <v>150</v>
      </c>
      <c r="O2" s="48" t="s">
        <v>150</v>
      </c>
      <c r="P2" s="48" t="s">
        <v>150</v>
      </c>
      <c r="Q2" s="48" t="s">
        <v>150</v>
      </c>
      <c r="R2" s="48" t="s">
        <v>150</v>
      </c>
      <c r="S2" s="48" t="s">
        <v>150</v>
      </c>
      <c r="T2" s="48" t="s">
        <v>150</v>
      </c>
      <c r="U2" s="48" t="s">
        <v>150</v>
      </c>
      <c r="V2" s="48" t="s">
        <v>150</v>
      </c>
      <c r="W2" s="48" t="s">
        <v>150</v>
      </c>
      <c r="X2" s="48" t="s">
        <v>150</v>
      </c>
      <c r="Y2" s="48" t="s">
        <v>150</v>
      </c>
      <c r="Z2" s="48" t="s">
        <v>150</v>
      </c>
      <c r="AA2" s="48" t="s">
        <v>150</v>
      </c>
      <c r="AB2" s="48" t="s">
        <v>150</v>
      </c>
      <c r="AC2" s="48" t="s">
        <v>150</v>
      </c>
      <c r="AD2" s="48" t="s">
        <v>150</v>
      </c>
      <c r="AE2" s="48" t="s">
        <v>150</v>
      </c>
      <c r="AF2" s="48" t="s">
        <v>150</v>
      </c>
      <c r="AG2" s="48" t="s">
        <v>150</v>
      </c>
      <c r="AH2" s="48" t="s">
        <v>150</v>
      </c>
      <c r="AI2" s="48" t="s">
        <v>150</v>
      </c>
      <c r="AJ2" s="48" t="s">
        <v>150</v>
      </c>
      <c r="AK2" s="48" t="s">
        <v>150</v>
      </c>
      <c r="AL2" s="48" t="s">
        <v>150</v>
      </c>
      <c r="AM2" s="48" t="s">
        <v>150</v>
      </c>
      <c r="AN2" s="48" t="s">
        <v>150</v>
      </c>
      <c r="AO2" s="48" t="s">
        <v>150</v>
      </c>
      <c r="AP2" s="49" t="s">
        <v>151</v>
      </c>
      <c r="AQ2" s="26" t="s">
        <v>151</v>
      </c>
      <c r="AR2" s="26" t="s">
        <v>151</v>
      </c>
      <c r="AS2" s="26" t="s">
        <v>151</v>
      </c>
      <c r="AT2" s="26" t="s">
        <v>151</v>
      </c>
      <c r="AU2" s="26" t="s">
        <v>151</v>
      </c>
      <c r="AV2" s="26" t="s">
        <v>151</v>
      </c>
      <c r="AW2" s="26" t="s">
        <v>151</v>
      </c>
      <c r="AX2" s="26" t="s">
        <v>151</v>
      </c>
      <c r="AY2" s="26" t="s">
        <v>151</v>
      </c>
      <c r="AZ2" s="26" t="s">
        <v>151</v>
      </c>
      <c r="BA2" s="26" t="s">
        <v>151</v>
      </c>
      <c r="BB2" s="26" t="s">
        <v>151</v>
      </c>
      <c r="BC2" s="26" t="s">
        <v>151</v>
      </c>
      <c r="BD2" s="26" t="s">
        <v>151</v>
      </c>
      <c r="BE2" s="26" t="s">
        <v>151</v>
      </c>
      <c r="BF2" s="26" t="s">
        <v>151</v>
      </c>
      <c r="BG2" s="26" t="s">
        <v>151</v>
      </c>
      <c r="BH2" s="27" t="s">
        <v>152</v>
      </c>
      <c r="BI2" s="27" t="s">
        <v>152</v>
      </c>
      <c r="BJ2" s="28" t="s">
        <v>153</v>
      </c>
      <c r="BK2" s="28" t="s">
        <v>153</v>
      </c>
      <c r="BL2" s="28" t="s">
        <v>153</v>
      </c>
      <c r="BM2" s="28" t="s">
        <v>153</v>
      </c>
      <c r="BN2" s="28" t="s">
        <v>153</v>
      </c>
      <c r="BO2" s="28" t="s">
        <v>153</v>
      </c>
      <c r="BP2" s="28" t="s">
        <v>153</v>
      </c>
      <c r="BQ2" s="28" t="s">
        <v>153</v>
      </c>
      <c r="BR2" s="28" t="s">
        <v>153</v>
      </c>
      <c r="BS2" s="28" t="s">
        <v>153</v>
      </c>
      <c r="BT2" s="28" t="s">
        <v>153</v>
      </c>
      <c r="BU2" s="28" t="s">
        <v>153</v>
      </c>
      <c r="BV2" s="28" t="s">
        <v>153</v>
      </c>
      <c r="BW2" s="28" t="s">
        <v>153</v>
      </c>
      <c r="BX2" s="28" t="s">
        <v>153</v>
      </c>
      <c r="BY2" s="28" t="s">
        <v>153</v>
      </c>
      <c r="BZ2" s="28" t="s">
        <v>153</v>
      </c>
      <c r="CA2" s="28" t="s">
        <v>153</v>
      </c>
      <c r="CB2" s="28" t="s">
        <v>154</v>
      </c>
      <c r="CC2" s="28" t="s">
        <v>154</v>
      </c>
      <c r="CD2" s="29" t="s">
        <v>21</v>
      </c>
      <c r="CE2" s="29" t="s">
        <v>156</v>
      </c>
      <c r="CF2" s="30" t="s">
        <v>158</v>
      </c>
    </row>
    <row r="3" spans="1:84" ht="172.5" x14ac:dyDescent="0.25">
      <c r="A3" s="31" t="s">
        <v>148</v>
      </c>
      <c r="B3" s="32" t="s">
        <v>149</v>
      </c>
      <c r="C3" s="33" t="s">
        <v>388</v>
      </c>
      <c r="D3" s="33" t="s">
        <v>566</v>
      </c>
      <c r="E3" s="33" t="s">
        <v>567</v>
      </c>
      <c r="F3" s="33" t="s">
        <v>565</v>
      </c>
      <c r="G3" s="33" t="s">
        <v>563</v>
      </c>
      <c r="H3" s="33" t="s">
        <v>276</v>
      </c>
      <c r="I3" s="33" t="s">
        <v>392</v>
      </c>
      <c r="J3" s="33" t="s">
        <v>131</v>
      </c>
      <c r="K3" s="33" t="s">
        <v>569</v>
      </c>
      <c r="L3" s="33" t="s">
        <v>568</v>
      </c>
      <c r="M3" s="33" t="s">
        <v>603</v>
      </c>
      <c r="N3" s="33" t="s">
        <v>604</v>
      </c>
      <c r="O3" s="33" t="s">
        <v>285</v>
      </c>
      <c r="P3" s="33" t="s">
        <v>286</v>
      </c>
      <c r="Q3" s="33" t="s">
        <v>605</v>
      </c>
      <c r="R3" s="33" t="s">
        <v>423</v>
      </c>
      <c r="S3" s="33" t="s">
        <v>606</v>
      </c>
      <c r="T3" s="33" t="s">
        <v>274</v>
      </c>
      <c r="U3" s="33" t="s">
        <v>258</v>
      </c>
      <c r="V3" s="33" t="s">
        <v>259</v>
      </c>
      <c r="W3" s="33" t="s">
        <v>380</v>
      </c>
      <c r="X3" s="33" t="s">
        <v>381</v>
      </c>
      <c r="Y3" s="33" t="s">
        <v>382</v>
      </c>
      <c r="Z3" s="33" t="s">
        <v>280</v>
      </c>
      <c r="AA3" s="33" t="s">
        <v>281</v>
      </c>
      <c r="AB3" s="33" t="s">
        <v>135</v>
      </c>
      <c r="AC3" s="33" t="s">
        <v>618</v>
      </c>
      <c r="AD3" s="33" t="s">
        <v>132</v>
      </c>
      <c r="AE3" s="33" t="s">
        <v>230</v>
      </c>
      <c r="AF3" s="33" t="s">
        <v>231</v>
      </c>
      <c r="AG3" s="33" t="s">
        <v>233</v>
      </c>
      <c r="AH3" s="33" t="s">
        <v>279</v>
      </c>
      <c r="AI3" s="33" t="s">
        <v>277</v>
      </c>
      <c r="AJ3" s="33" t="s">
        <v>210</v>
      </c>
      <c r="AK3" s="33" t="s">
        <v>212</v>
      </c>
      <c r="AL3" s="33" t="s">
        <v>234</v>
      </c>
      <c r="AM3" s="33" t="s">
        <v>424</v>
      </c>
      <c r="AN3" s="33" t="s">
        <v>278</v>
      </c>
      <c r="AO3" s="33" t="s">
        <v>422</v>
      </c>
      <c r="AP3" s="34" t="s">
        <v>422</v>
      </c>
      <c r="AQ3" s="34" t="s">
        <v>281</v>
      </c>
      <c r="AR3" s="34" t="s">
        <v>618</v>
      </c>
      <c r="AS3" s="34" t="s">
        <v>330</v>
      </c>
      <c r="AT3" s="34" t="s">
        <v>278</v>
      </c>
      <c r="AU3" s="34" t="s">
        <v>569</v>
      </c>
      <c r="AV3" s="34" t="s">
        <v>568</v>
      </c>
      <c r="AW3" s="34" t="s">
        <v>329</v>
      </c>
      <c r="AX3" s="34" t="s">
        <v>393</v>
      </c>
      <c r="AY3" s="34" t="s">
        <v>276</v>
      </c>
      <c r="AZ3" s="34" t="s">
        <v>424</v>
      </c>
      <c r="BA3" s="34" t="s">
        <v>342</v>
      </c>
      <c r="BB3" s="34" t="s">
        <v>343</v>
      </c>
      <c r="BC3" s="34" t="s">
        <v>344</v>
      </c>
      <c r="BD3" s="34" t="s">
        <v>280</v>
      </c>
      <c r="BE3" s="34" t="s">
        <v>277</v>
      </c>
      <c r="BF3" s="34" t="s">
        <v>279</v>
      </c>
      <c r="BG3" s="34" t="s">
        <v>392</v>
      </c>
      <c r="BH3" s="34" t="s">
        <v>272</v>
      </c>
      <c r="BI3" s="34" t="s">
        <v>55</v>
      </c>
      <c r="BJ3" s="35" t="s">
        <v>422</v>
      </c>
      <c r="BK3" s="35" t="s">
        <v>281</v>
      </c>
      <c r="BL3" s="35" t="s">
        <v>618</v>
      </c>
      <c r="BM3" s="35" t="s">
        <v>330</v>
      </c>
      <c r="BN3" s="35" t="s">
        <v>278</v>
      </c>
      <c r="BO3" s="35" t="s">
        <v>569</v>
      </c>
      <c r="BP3" s="35" t="s">
        <v>568</v>
      </c>
      <c r="BQ3" s="35" t="s">
        <v>329</v>
      </c>
      <c r="BR3" s="35" t="s">
        <v>393</v>
      </c>
      <c r="BS3" s="35" t="s">
        <v>276</v>
      </c>
      <c r="BT3" s="35" t="s">
        <v>424</v>
      </c>
      <c r="BU3" s="35" t="s">
        <v>342</v>
      </c>
      <c r="BV3" s="35" t="s">
        <v>343</v>
      </c>
      <c r="BW3" s="35" t="s">
        <v>344</v>
      </c>
      <c r="BX3" s="35" t="s">
        <v>280</v>
      </c>
      <c r="BY3" s="35" t="s">
        <v>277</v>
      </c>
      <c r="BZ3" s="35" t="s">
        <v>279</v>
      </c>
      <c r="CA3" s="35" t="s">
        <v>392</v>
      </c>
      <c r="CB3" s="35" t="s">
        <v>272</v>
      </c>
      <c r="CC3" s="35" t="s">
        <v>55</v>
      </c>
      <c r="CD3" s="29" t="s">
        <v>155</v>
      </c>
      <c r="CE3" s="29" t="s">
        <v>157</v>
      </c>
      <c r="CF3" s="30"/>
    </row>
    <row r="4" spans="1:84" ht="15" customHeight="1" x14ac:dyDescent="0.25">
      <c r="A4" s="36">
        <v>1</v>
      </c>
      <c r="B4" s="69" t="s">
        <v>970</v>
      </c>
      <c r="C4" s="46">
        <v>2</v>
      </c>
      <c r="D4" s="46">
        <v>1</v>
      </c>
      <c r="E4" s="46">
        <v>1</v>
      </c>
      <c r="F4" s="46">
        <v>1</v>
      </c>
      <c r="G4" s="46">
        <v>1</v>
      </c>
      <c r="H4" s="46">
        <v>1</v>
      </c>
      <c r="I4" s="46">
        <v>1</v>
      </c>
      <c r="J4" s="46">
        <v>1</v>
      </c>
      <c r="K4" s="46">
        <v>1</v>
      </c>
      <c r="L4" s="46">
        <v>1</v>
      </c>
      <c r="M4" s="46">
        <v>65535</v>
      </c>
      <c r="N4" s="46">
        <v>65535</v>
      </c>
      <c r="O4" s="46">
        <v>360</v>
      </c>
      <c r="P4" s="46">
        <v>360</v>
      </c>
      <c r="Q4" s="46">
        <v>4</v>
      </c>
      <c r="R4" s="46">
        <v>511</v>
      </c>
      <c r="S4" s="46">
        <v>31</v>
      </c>
      <c r="T4" s="46">
        <v>4488</v>
      </c>
      <c r="U4" s="46">
        <v>360</v>
      </c>
      <c r="V4" s="46">
        <v>360</v>
      </c>
      <c r="W4" s="46">
        <v>360</v>
      </c>
      <c r="X4" s="46">
        <v>360</v>
      </c>
      <c r="Y4" s="46">
        <v>4488</v>
      </c>
      <c r="Z4" s="46">
        <v>22</v>
      </c>
      <c r="AA4" s="46">
        <v>3600</v>
      </c>
      <c r="AB4" s="46">
        <v>1800</v>
      </c>
      <c r="AC4" s="46">
        <v>900</v>
      </c>
      <c r="AD4" s="46">
        <v>100</v>
      </c>
      <c r="AE4" s="46">
        <v>100</v>
      </c>
      <c r="AF4" s="46">
        <v>50</v>
      </c>
      <c r="AG4" s="46">
        <v>50</v>
      </c>
      <c r="AH4" s="46">
        <v>100</v>
      </c>
      <c r="AI4" s="46">
        <v>255</v>
      </c>
      <c r="AJ4" s="46">
        <v>255</v>
      </c>
      <c r="AK4" s="46">
        <v>50</v>
      </c>
      <c r="AL4" s="46">
        <v>50</v>
      </c>
      <c r="AM4" s="46">
        <v>6</v>
      </c>
      <c r="AN4" s="46">
        <v>1</v>
      </c>
      <c r="AO4" s="46">
        <v>1800</v>
      </c>
      <c r="AP4" s="37" t="s">
        <v>159</v>
      </c>
      <c r="AQ4" s="37" t="s">
        <v>159</v>
      </c>
      <c r="AR4" s="37" t="s">
        <v>159</v>
      </c>
      <c r="AS4" s="37" t="s">
        <v>159</v>
      </c>
      <c r="AT4" s="37" t="s">
        <v>159</v>
      </c>
      <c r="AU4" s="37" t="s">
        <v>159</v>
      </c>
      <c r="AV4" s="37" t="s">
        <v>159</v>
      </c>
      <c r="AW4" s="37" t="s">
        <v>159</v>
      </c>
      <c r="AX4" s="37" t="s">
        <v>159</v>
      </c>
      <c r="AY4" s="37" t="s">
        <v>159</v>
      </c>
      <c r="AZ4" s="37" t="s">
        <v>159</v>
      </c>
      <c r="BA4" s="37" t="s">
        <v>159</v>
      </c>
      <c r="BB4" s="37" t="s">
        <v>159</v>
      </c>
      <c r="BC4" s="37" t="s">
        <v>159</v>
      </c>
      <c r="BD4" s="37" t="s">
        <v>159</v>
      </c>
      <c r="BE4" s="37" t="s">
        <v>159</v>
      </c>
      <c r="BF4" s="37" t="s">
        <v>159</v>
      </c>
      <c r="BG4" s="37" t="s">
        <v>159</v>
      </c>
      <c r="BH4" s="37" t="s">
        <v>159</v>
      </c>
      <c r="BI4" s="37" t="s">
        <v>159</v>
      </c>
      <c r="BJ4" s="46">
        <v>1800</v>
      </c>
      <c r="BK4" s="46">
        <v>3600</v>
      </c>
      <c r="BL4" s="46">
        <v>900</v>
      </c>
      <c r="BM4" s="46">
        <v>900</v>
      </c>
      <c r="BN4" s="46">
        <v>1</v>
      </c>
      <c r="BO4" s="46">
        <v>1</v>
      </c>
      <c r="BP4" s="46">
        <v>1</v>
      </c>
      <c r="BQ4" s="46">
        <v>1</v>
      </c>
      <c r="BR4" s="46">
        <v>1</v>
      </c>
      <c r="BS4" s="46">
        <v>1</v>
      </c>
      <c r="BT4" s="46">
        <v>6</v>
      </c>
      <c r="BU4" s="69" t="s">
        <v>925</v>
      </c>
      <c r="BV4" s="69" t="s">
        <v>925</v>
      </c>
      <c r="BW4" s="69" t="s">
        <v>925</v>
      </c>
      <c r="BX4" s="69">
        <v>22</v>
      </c>
      <c r="BY4" s="69">
        <v>255</v>
      </c>
      <c r="BZ4" s="69">
        <v>100</v>
      </c>
      <c r="CA4" s="69">
        <v>1</v>
      </c>
      <c r="CB4" s="46">
        <v>1</v>
      </c>
      <c r="CC4" s="46">
        <v>0</v>
      </c>
      <c r="CD4" s="50" t="s">
        <v>159</v>
      </c>
      <c r="CE4" s="37">
        <v>1113</v>
      </c>
      <c r="CF4" s="38"/>
    </row>
    <row r="5" spans="1:84" ht="15" customHeight="1" thickBot="1" x14ac:dyDescent="0.3">
      <c r="A5" s="39">
        <v>2</v>
      </c>
      <c r="B5" s="68" t="s">
        <v>971</v>
      </c>
      <c r="C5" s="47">
        <v>0</v>
      </c>
      <c r="D5" s="47">
        <v>0</v>
      </c>
      <c r="E5" s="47">
        <v>1</v>
      </c>
      <c r="F5" s="47">
        <v>1</v>
      </c>
      <c r="G5" s="47">
        <v>0</v>
      </c>
      <c r="H5" s="47">
        <v>0</v>
      </c>
      <c r="I5" s="47">
        <v>1</v>
      </c>
      <c r="J5" s="47">
        <v>1</v>
      </c>
      <c r="K5" s="47">
        <v>0</v>
      </c>
      <c r="L5" s="47">
        <v>0</v>
      </c>
      <c r="M5" s="47">
        <v>22278</v>
      </c>
      <c r="N5" s="47">
        <v>32535</v>
      </c>
      <c r="O5" s="47">
        <v>35.7712</v>
      </c>
      <c r="P5" s="47">
        <v>214.1909</v>
      </c>
      <c r="Q5" s="47">
        <v>1</v>
      </c>
      <c r="R5" s="47">
        <v>0</v>
      </c>
      <c r="S5" s="47">
        <v>2</v>
      </c>
      <c r="T5" s="47">
        <v>201</v>
      </c>
      <c r="U5" s="47">
        <v>-175.2</v>
      </c>
      <c r="V5" s="47">
        <v>358.2</v>
      </c>
      <c r="W5" s="47">
        <v>-39.871899999999997</v>
      </c>
      <c r="X5" s="47">
        <v>341.67230000000001</v>
      </c>
      <c r="Y5" s="47">
        <v>3936</v>
      </c>
      <c r="Z5" s="47">
        <v>12</v>
      </c>
      <c r="AA5" s="47">
        <v>157.2621</v>
      </c>
      <c r="AB5" s="47">
        <v>1649.1143</v>
      </c>
      <c r="AC5" s="47">
        <v>-848.12</v>
      </c>
      <c r="AD5" s="47">
        <v>54.624000000000002</v>
      </c>
      <c r="AE5" s="47">
        <v>31</v>
      </c>
      <c r="AF5" s="47">
        <v>19</v>
      </c>
      <c r="AG5" s="47">
        <v>19</v>
      </c>
      <c r="AH5" s="47">
        <v>81</v>
      </c>
      <c r="AI5" s="47">
        <v>215</v>
      </c>
      <c r="AJ5" s="47">
        <v>178</v>
      </c>
      <c r="AK5" s="47">
        <v>1</v>
      </c>
      <c r="AL5" s="47">
        <v>12</v>
      </c>
      <c r="AM5" s="47">
        <v>6</v>
      </c>
      <c r="AN5" s="47">
        <v>0</v>
      </c>
      <c r="AO5" s="47">
        <v>10.199999999999999</v>
      </c>
      <c r="AP5" s="40" t="s">
        <v>159</v>
      </c>
      <c r="AQ5" s="40" t="s">
        <v>159</v>
      </c>
      <c r="AR5" s="40" t="s">
        <v>159</v>
      </c>
      <c r="AS5" s="40" t="s">
        <v>159</v>
      </c>
      <c r="AT5" s="40" t="s">
        <v>159</v>
      </c>
      <c r="AU5" s="40" t="s">
        <v>159</v>
      </c>
      <c r="AV5" s="40" t="s">
        <v>159</v>
      </c>
      <c r="AW5" s="40" t="s">
        <v>159</v>
      </c>
      <c r="AX5" s="40" t="s">
        <v>159</v>
      </c>
      <c r="AY5" s="40" t="s">
        <v>159</v>
      </c>
      <c r="AZ5" s="40" t="s">
        <v>159</v>
      </c>
      <c r="BA5" s="40" t="s">
        <v>159</v>
      </c>
      <c r="BB5" s="40" t="s">
        <v>159</v>
      </c>
      <c r="BC5" s="40" t="s">
        <v>159</v>
      </c>
      <c r="BD5" s="40" t="s">
        <v>159</v>
      </c>
      <c r="BE5" s="40" t="s">
        <v>159</v>
      </c>
      <c r="BF5" s="40" t="s">
        <v>159</v>
      </c>
      <c r="BG5" s="40" t="s">
        <v>159</v>
      </c>
      <c r="BH5" s="40" t="s">
        <v>159</v>
      </c>
      <c r="BI5" s="40" t="s">
        <v>159</v>
      </c>
      <c r="BJ5" s="47">
        <v>10.199999999999999</v>
      </c>
      <c r="BK5" s="47">
        <v>435.6431</v>
      </c>
      <c r="BL5" s="47">
        <v>-464.3569</v>
      </c>
      <c r="BM5" s="47">
        <v>-464.3569</v>
      </c>
      <c r="BN5" s="47">
        <v>0</v>
      </c>
      <c r="BO5" s="47">
        <v>0</v>
      </c>
      <c r="BP5" s="47">
        <v>0</v>
      </c>
      <c r="BQ5" s="47">
        <v>0</v>
      </c>
      <c r="BR5" s="47">
        <v>0</v>
      </c>
      <c r="BS5" s="47">
        <v>0</v>
      </c>
      <c r="BT5" s="47">
        <v>5</v>
      </c>
      <c r="BU5" s="68" t="s">
        <v>939</v>
      </c>
      <c r="BV5" s="68" t="s">
        <v>940</v>
      </c>
      <c r="BW5" s="68" t="s">
        <v>924</v>
      </c>
      <c r="BX5" s="68">
        <v>5</v>
      </c>
      <c r="BY5" s="68">
        <v>178</v>
      </c>
      <c r="BZ5" s="68">
        <v>62</v>
      </c>
      <c r="CA5" s="68">
        <v>1</v>
      </c>
      <c r="CB5" s="47">
        <v>1</v>
      </c>
      <c r="CC5" s="47">
        <v>3</v>
      </c>
      <c r="CD5" s="51" t="s">
        <v>159</v>
      </c>
      <c r="CE5" s="40">
        <v>3936</v>
      </c>
      <c r="CF5" s="41"/>
    </row>
    <row r="6" spans="1:8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</row>
    <row r="7" spans="1:8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</row>
    <row r="8" spans="1:8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</row>
    <row r="9" spans="1:8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</row>
    <row r="10" spans="1:8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</row>
    <row r="11" spans="1:8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</row>
    <row r="12" spans="1:8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</row>
    <row r="13" spans="1:8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</row>
    <row r="14" spans="1:8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</row>
    <row r="15" spans="1:8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</row>
  </sheetData>
  <mergeCells count="2">
    <mergeCell ref="A1:B1"/>
    <mergeCell ref="A2:B2"/>
  </mergeCells>
  <hyperlinks>
    <hyperlink ref="A1" location="'DigColPs_Per2'!A1" display="'DigColPs_Per2'!A1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F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7" customWidth="1"/>
    <col min="3" max="12" width="3.28515625" bestFit="1" customWidth="1"/>
    <col min="13" max="14" width="6" bestFit="1" customWidth="1"/>
    <col min="15" max="16" width="9" bestFit="1" customWidth="1"/>
    <col min="17" max="17" width="3.28515625" bestFit="1" customWidth="1"/>
    <col min="18" max="18" width="4" bestFit="1" customWidth="1"/>
    <col min="19" max="19" width="3.28515625" bestFit="1" customWidth="1"/>
    <col min="20" max="20" width="5" bestFit="1" customWidth="1"/>
    <col min="21" max="22" width="6.7109375" bestFit="1" customWidth="1"/>
    <col min="23" max="24" width="9" bestFit="1" customWidth="1"/>
    <col min="25" max="25" width="5" bestFit="1" customWidth="1"/>
    <col min="26" max="26" width="3.28515625" bestFit="1" customWidth="1"/>
    <col min="27" max="28" width="10" bestFit="1" customWidth="1"/>
    <col min="29" max="29" width="7.7109375" bestFit="1" customWidth="1"/>
    <col min="30" max="30" width="8" bestFit="1" customWidth="1"/>
    <col min="31" max="31" width="4" bestFit="1" customWidth="1"/>
    <col min="32" max="33" width="3.28515625" bestFit="1" customWidth="1"/>
    <col min="34" max="36" width="4" bestFit="1" customWidth="1"/>
    <col min="37" max="40" width="3.28515625" bestFit="1" customWidth="1"/>
    <col min="41" max="41" width="6" bestFit="1" customWidth="1"/>
    <col min="42" max="52" width="3.28515625" bestFit="1" customWidth="1"/>
    <col min="53" max="59" width="3.28515625" customWidth="1"/>
    <col min="60" max="61" width="7.28515625" bestFit="1" customWidth="1"/>
    <col min="62" max="62" width="12" bestFit="1" customWidth="1"/>
    <col min="63" max="63" width="10" bestFit="1" customWidth="1"/>
    <col min="64" max="65" width="12.7109375" bestFit="1" customWidth="1"/>
    <col min="66" max="72" width="7.28515625" bestFit="1" customWidth="1"/>
    <col min="73" max="73" width="12" bestFit="1" customWidth="1"/>
    <col min="74" max="75" width="7.28515625" bestFit="1" customWidth="1"/>
    <col min="76" max="79" width="7.28515625" customWidth="1"/>
    <col min="80" max="81" width="7.28515625" bestFit="1" customWidth="1"/>
    <col min="82" max="82" width="10.5703125" bestFit="1" customWidth="1"/>
    <col min="83" max="83" width="12.42578125" bestFit="1" customWidth="1"/>
    <col min="84" max="84" width="10.5703125" bestFit="1" customWidth="1"/>
  </cols>
  <sheetData>
    <row r="1" spans="1:84" x14ac:dyDescent="0.25">
      <c r="A1" s="279" t="s">
        <v>270</v>
      </c>
      <c r="B1" s="280"/>
      <c r="C1" s="45" t="s">
        <v>160</v>
      </c>
      <c r="D1" s="58" t="s">
        <v>159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239"/>
      <c r="Z1" s="239"/>
      <c r="AA1" s="239"/>
      <c r="AB1" s="239"/>
      <c r="AC1" s="239"/>
      <c r="AD1" s="239"/>
      <c r="AE1" s="239"/>
      <c r="AF1" s="239"/>
      <c r="AG1" s="239"/>
      <c r="AH1" s="239"/>
      <c r="AI1" s="239"/>
      <c r="AJ1" s="239"/>
      <c r="AK1" s="239"/>
      <c r="AL1" s="239"/>
      <c r="AM1" s="239"/>
      <c r="AN1" s="239"/>
      <c r="AO1" s="239"/>
      <c r="AP1" s="239"/>
      <c r="AQ1" s="239"/>
      <c r="AR1" s="239"/>
      <c r="AS1" s="239"/>
      <c r="AT1" s="239"/>
      <c r="AU1" s="239"/>
      <c r="AV1" s="239"/>
      <c r="AW1" s="239"/>
      <c r="AX1" s="239"/>
      <c r="AY1" s="239"/>
      <c r="AZ1" s="239"/>
      <c r="BA1" s="239"/>
      <c r="BB1" s="239"/>
      <c r="BC1" s="239"/>
      <c r="BD1" s="239"/>
      <c r="BE1" s="239"/>
      <c r="BF1" s="239"/>
      <c r="BG1" s="239"/>
      <c r="BH1" s="239"/>
      <c r="BI1" s="239"/>
      <c r="BJ1" s="239"/>
      <c r="BK1" s="239"/>
      <c r="BL1" s="239"/>
      <c r="BM1" s="239"/>
      <c r="BN1" s="239"/>
      <c r="BO1" s="239"/>
      <c r="BP1" s="239"/>
      <c r="BQ1" s="239"/>
      <c r="BR1" s="239"/>
      <c r="BS1" s="239"/>
      <c r="BT1" s="239"/>
      <c r="BU1" s="239"/>
      <c r="BV1" s="239"/>
      <c r="BW1" s="239"/>
      <c r="BX1" s="239"/>
      <c r="BY1" s="239"/>
      <c r="BZ1" s="239"/>
      <c r="CA1" s="239"/>
      <c r="CB1" s="239"/>
      <c r="CC1" s="239"/>
      <c r="CD1" s="43"/>
      <c r="CE1" s="43"/>
      <c r="CF1" s="44"/>
    </row>
    <row r="2" spans="1:84" ht="60" customHeight="1" x14ac:dyDescent="0.25">
      <c r="A2" s="281" t="s">
        <v>193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48" t="s">
        <v>150</v>
      </c>
      <c r="O2" s="48" t="s">
        <v>150</v>
      </c>
      <c r="P2" s="48" t="s">
        <v>150</v>
      </c>
      <c r="Q2" s="48" t="s">
        <v>150</v>
      </c>
      <c r="R2" s="48" t="s">
        <v>150</v>
      </c>
      <c r="S2" s="48" t="s">
        <v>150</v>
      </c>
      <c r="T2" s="48" t="s">
        <v>150</v>
      </c>
      <c r="U2" s="48" t="s">
        <v>150</v>
      </c>
      <c r="V2" s="48" t="s">
        <v>150</v>
      </c>
      <c r="W2" s="48" t="s">
        <v>150</v>
      </c>
      <c r="X2" s="48" t="s">
        <v>150</v>
      </c>
      <c r="Y2" s="48" t="s">
        <v>150</v>
      </c>
      <c r="Z2" s="48" t="s">
        <v>150</v>
      </c>
      <c r="AA2" s="48" t="s">
        <v>150</v>
      </c>
      <c r="AB2" s="48" t="s">
        <v>150</v>
      </c>
      <c r="AC2" s="48" t="s">
        <v>150</v>
      </c>
      <c r="AD2" s="48" t="s">
        <v>150</v>
      </c>
      <c r="AE2" s="48" t="s">
        <v>150</v>
      </c>
      <c r="AF2" s="48" t="s">
        <v>150</v>
      </c>
      <c r="AG2" s="48" t="s">
        <v>150</v>
      </c>
      <c r="AH2" s="48" t="s">
        <v>150</v>
      </c>
      <c r="AI2" s="48" t="s">
        <v>150</v>
      </c>
      <c r="AJ2" s="48" t="s">
        <v>150</v>
      </c>
      <c r="AK2" s="48" t="s">
        <v>150</v>
      </c>
      <c r="AL2" s="48" t="s">
        <v>150</v>
      </c>
      <c r="AM2" s="48" t="s">
        <v>150</v>
      </c>
      <c r="AN2" s="48" t="s">
        <v>150</v>
      </c>
      <c r="AO2" s="48" t="s">
        <v>150</v>
      </c>
      <c r="AP2" s="49" t="s">
        <v>151</v>
      </c>
      <c r="AQ2" s="26" t="s">
        <v>151</v>
      </c>
      <c r="AR2" s="26" t="s">
        <v>151</v>
      </c>
      <c r="AS2" s="26" t="s">
        <v>151</v>
      </c>
      <c r="AT2" s="26" t="s">
        <v>151</v>
      </c>
      <c r="AU2" s="26" t="s">
        <v>151</v>
      </c>
      <c r="AV2" s="26" t="s">
        <v>151</v>
      </c>
      <c r="AW2" s="26" t="s">
        <v>151</v>
      </c>
      <c r="AX2" s="26" t="s">
        <v>151</v>
      </c>
      <c r="AY2" s="26" t="s">
        <v>151</v>
      </c>
      <c r="AZ2" s="26" t="s">
        <v>151</v>
      </c>
      <c r="BA2" s="26" t="s">
        <v>151</v>
      </c>
      <c r="BB2" s="26" t="s">
        <v>151</v>
      </c>
      <c r="BC2" s="26" t="s">
        <v>151</v>
      </c>
      <c r="BD2" s="26" t="s">
        <v>151</v>
      </c>
      <c r="BE2" s="26" t="s">
        <v>151</v>
      </c>
      <c r="BF2" s="26" t="s">
        <v>151</v>
      </c>
      <c r="BG2" s="26" t="s">
        <v>151</v>
      </c>
      <c r="BH2" s="27" t="s">
        <v>152</v>
      </c>
      <c r="BI2" s="27" t="s">
        <v>152</v>
      </c>
      <c r="BJ2" s="28" t="s">
        <v>153</v>
      </c>
      <c r="BK2" s="28" t="s">
        <v>153</v>
      </c>
      <c r="BL2" s="28" t="s">
        <v>153</v>
      </c>
      <c r="BM2" s="28" t="s">
        <v>153</v>
      </c>
      <c r="BN2" s="28" t="s">
        <v>153</v>
      </c>
      <c r="BO2" s="28" t="s">
        <v>153</v>
      </c>
      <c r="BP2" s="28" t="s">
        <v>153</v>
      </c>
      <c r="BQ2" s="28" t="s">
        <v>153</v>
      </c>
      <c r="BR2" s="28" t="s">
        <v>153</v>
      </c>
      <c r="BS2" s="28" t="s">
        <v>153</v>
      </c>
      <c r="BT2" s="28" t="s">
        <v>153</v>
      </c>
      <c r="BU2" s="28" t="s">
        <v>153</v>
      </c>
      <c r="BV2" s="28" t="s">
        <v>153</v>
      </c>
      <c r="BW2" s="28" t="s">
        <v>153</v>
      </c>
      <c r="BX2" s="28" t="s">
        <v>153</v>
      </c>
      <c r="BY2" s="28" t="s">
        <v>153</v>
      </c>
      <c r="BZ2" s="28" t="s">
        <v>153</v>
      </c>
      <c r="CA2" s="28" t="s">
        <v>153</v>
      </c>
      <c r="CB2" s="28" t="s">
        <v>154</v>
      </c>
      <c r="CC2" s="28" t="s">
        <v>154</v>
      </c>
      <c r="CD2" s="29" t="s">
        <v>21</v>
      </c>
      <c r="CE2" s="29" t="s">
        <v>156</v>
      </c>
      <c r="CF2" s="30" t="s">
        <v>158</v>
      </c>
    </row>
    <row r="3" spans="1:84" ht="172.5" x14ac:dyDescent="0.25">
      <c r="A3" s="31" t="s">
        <v>148</v>
      </c>
      <c r="B3" s="32" t="s">
        <v>149</v>
      </c>
      <c r="C3" s="33" t="s">
        <v>388</v>
      </c>
      <c r="D3" s="33" t="s">
        <v>566</v>
      </c>
      <c r="E3" s="33" t="s">
        <v>567</v>
      </c>
      <c r="F3" s="33" t="s">
        <v>565</v>
      </c>
      <c r="G3" s="33" t="s">
        <v>563</v>
      </c>
      <c r="H3" s="33" t="s">
        <v>276</v>
      </c>
      <c r="I3" s="33" t="s">
        <v>392</v>
      </c>
      <c r="J3" s="33" t="s">
        <v>131</v>
      </c>
      <c r="K3" s="33" t="s">
        <v>569</v>
      </c>
      <c r="L3" s="33" t="s">
        <v>568</v>
      </c>
      <c r="M3" s="33" t="s">
        <v>603</v>
      </c>
      <c r="N3" s="33" t="s">
        <v>604</v>
      </c>
      <c r="O3" s="33" t="s">
        <v>285</v>
      </c>
      <c r="P3" s="33" t="s">
        <v>286</v>
      </c>
      <c r="Q3" s="33" t="s">
        <v>605</v>
      </c>
      <c r="R3" s="33" t="s">
        <v>423</v>
      </c>
      <c r="S3" s="33" t="s">
        <v>606</v>
      </c>
      <c r="T3" s="33" t="s">
        <v>274</v>
      </c>
      <c r="U3" s="33" t="s">
        <v>258</v>
      </c>
      <c r="V3" s="33" t="s">
        <v>259</v>
      </c>
      <c r="W3" s="33" t="s">
        <v>380</v>
      </c>
      <c r="X3" s="33" t="s">
        <v>381</v>
      </c>
      <c r="Y3" s="33" t="s">
        <v>382</v>
      </c>
      <c r="Z3" s="33" t="s">
        <v>280</v>
      </c>
      <c r="AA3" s="33" t="s">
        <v>281</v>
      </c>
      <c r="AB3" s="33" t="s">
        <v>135</v>
      </c>
      <c r="AC3" s="33" t="s">
        <v>618</v>
      </c>
      <c r="AD3" s="33" t="s">
        <v>132</v>
      </c>
      <c r="AE3" s="33" t="s">
        <v>230</v>
      </c>
      <c r="AF3" s="33" t="s">
        <v>231</v>
      </c>
      <c r="AG3" s="33" t="s">
        <v>233</v>
      </c>
      <c r="AH3" s="33" t="s">
        <v>279</v>
      </c>
      <c r="AI3" s="33" t="s">
        <v>277</v>
      </c>
      <c r="AJ3" s="33" t="s">
        <v>210</v>
      </c>
      <c r="AK3" s="33" t="s">
        <v>212</v>
      </c>
      <c r="AL3" s="33" t="s">
        <v>234</v>
      </c>
      <c r="AM3" s="33" t="s">
        <v>424</v>
      </c>
      <c r="AN3" s="33" t="s">
        <v>278</v>
      </c>
      <c r="AO3" s="33" t="s">
        <v>422</v>
      </c>
      <c r="AP3" s="34" t="s">
        <v>422</v>
      </c>
      <c r="AQ3" s="34" t="s">
        <v>281</v>
      </c>
      <c r="AR3" s="34" t="s">
        <v>618</v>
      </c>
      <c r="AS3" s="34" t="s">
        <v>330</v>
      </c>
      <c r="AT3" s="34" t="s">
        <v>278</v>
      </c>
      <c r="AU3" s="34" t="s">
        <v>569</v>
      </c>
      <c r="AV3" s="34" t="s">
        <v>568</v>
      </c>
      <c r="AW3" s="34" t="s">
        <v>329</v>
      </c>
      <c r="AX3" s="34" t="s">
        <v>393</v>
      </c>
      <c r="AY3" s="34" t="s">
        <v>276</v>
      </c>
      <c r="AZ3" s="34" t="s">
        <v>424</v>
      </c>
      <c r="BA3" s="34" t="s">
        <v>342</v>
      </c>
      <c r="BB3" s="34" t="s">
        <v>343</v>
      </c>
      <c r="BC3" s="34" t="s">
        <v>344</v>
      </c>
      <c r="BD3" s="34" t="s">
        <v>280</v>
      </c>
      <c r="BE3" s="34" t="s">
        <v>277</v>
      </c>
      <c r="BF3" s="34" t="s">
        <v>279</v>
      </c>
      <c r="BG3" s="34" t="s">
        <v>392</v>
      </c>
      <c r="BH3" s="34" t="s">
        <v>272</v>
      </c>
      <c r="BI3" s="34" t="s">
        <v>55</v>
      </c>
      <c r="BJ3" s="35" t="s">
        <v>422</v>
      </c>
      <c r="BK3" s="35" t="s">
        <v>281</v>
      </c>
      <c r="BL3" s="35" t="s">
        <v>618</v>
      </c>
      <c r="BM3" s="35" t="s">
        <v>330</v>
      </c>
      <c r="BN3" s="35" t="s">
        <v>278</v>
      </c>
      <c r="BO3" s="35" t="s">
        <v>569</v>
      </c>
      <c r="BP3" s="35" t="s">
        <v>568</v>
      </c>
      <c r="BQ3" s="35" t="s">
        <v>329</v>
      </c>
      <c r="BR3" s="35" t="s">
        <v>393</v>
      </c>
      <c r="BS3" s="35" t="s">
        <v>276</v>
      </c>
      <c r="BT3" s="35" t="s">
        <v>424</v>
      </c>
      <c r="BU3" s="35" t="s">
        <v>342</v>
      </c>
      <c r="BV3" s="35" t="s">
        <v>343</v>
      </c>
      <c r="BW3" s="35" t="s">
        <v>344</v>
      </c>
      <c r="BX3" s="35" t="s">
        <v>280</v>
      </c>
      <c r="BY3" s="35" t="s">
        <v>277</v>
      </c>
      <c r="BZ3" s="35" t="s">
        <v>279</v>
      </c>
      <c r="CA3" s="35" t="s">
        <v>392</v>
      </c>
      <c r="CB3" s="35" t="s">
        <v>272</v>
      </c>
      <c r="CC3" s="35" t="s">
        <v>55</v>
      </c>
      <c r="CD3" s="29" t="s">
        <v>155</v>
      </c>
      <c r="CE3" s="29" t="s">
        <v>157</v>
      </c>
      <c r="CF3" s="30"/>
    </row>
    <row r="4" spans="1:84" x14ac:dyDescent="0.25">
      <c r="A4" s="36">
        <v>1</v>
      </c>
      <c r="B4" s="46" t="s">
        <v>963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0</v>
      </c>
      <c r="I4" s="63">
        <v>0</v>
      </c>
      <c r="J4" s="63">
        <v>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  <c r="Q4" s="63">
        <v>0</v>
      </c>
      <c r="R4" s="63">
        <v>0</v>
      </c>
      <c r="S4" s="63">
        <v>0</v>
      </c>
      <c r="T4" s="63">
        <v>0</v>
      </c>
      <c r="U4" s="63">
        <v>-180</v>
      </c>
      <c r="V4" s="63">
        <v>-180</v>
      </c>
      <c r="W4" s="63">
        <v>-360</v>
      </c>
      <c r="X4" s="63">
        <v>-360</v>
      </c>
      <c r="Y4" s="63">
        <v>0</v>
      </c>
      <c r="Z4" s="63">
        <v>0</v>
      </c>
      <c r="AA4" s="63">
        <v>0</v>
      </c>
      <c r="AB4" s="63">
        <v>100</v>
      </c>
      <c r="AC4" s="63">
        <v>-900</v>
      </c>
      <c r="AD4" s="63">
        <v>1</v>
      </c>
      <c r="AE4" s="63">
        <v>0</v>
      </c>
      <c r="AF4" s="63">
        <v>0</v>
      </c>
      <c r="AG4" s="63">
        <v>0</v>
      </c>
      <c r="AH4" s="63">
        <v>0</v>
      </c>
      <c r="AI4" s="63">
        <v>0</v>
      </c>
      <c r="AJ4" s="63">
        <v>10</v>
      </c>
      <c r="AK4" s="63">
        <v>0</v>
      </c>
      <c r="AL4" s="63">
        <v>0</v>
      </c>
      <c r="AM4" s="63">
        <v>0</v>
      </c>
      <c r="AN4" s="63">
        <v>0</v>
      </c>
      <c r="AO4" s="63">
        <v>0</v>
      </c>
      <c r="AP4" s="37" t="s">
        <v>159</v>
      </c>
      <c r="AQ4" s="37" t="s">
        <v>159</v>
      </c>
      <c r="AR4" s="37" t="s">
        <v>159</v>
      </c>
      <c r="AS4" s="37" t="s">
        <v>159</v>
      </c>
      <c r="AT4" s="37" t="s">
        <v>159</v>
      </c>
      <c r="AU4" s="37" t="s">
        <v>159</v>
      </c>
      <c r="AV4" s="37" t="s">
        <v>159</v>
      </c>
      <c r="AW4" s="37" t="s">
        <v>159</v>
      </c>
      <c r="AX4" s="37" t="s">
        <v>159</v>
      </c>
      <c r="AY4" s="37" t="s">
        <v>159</v>
      </c>
      <c r="AZ4" s="37" t="s">
        <v>159</v>
      </c>
      <c r="BA4" s="37" t="s">
        <v>159</v>
      </c>
      <c r="BB4" s="37" t="s">
        <v>159</v>
      </c>
      <c r="BC4" s="37" t="s">
        <v>159</v>
      </c>
      <c r="BD4" s="37" t="s">
        <v>159</v>
      </c>
      <c r="BE4" s="37" t="s">
        <v>159</v>
      </c>
      <c r="BF4" s="37" t="s">
        <v>159</v>
      </c>
      <c r="BG4" s="37" t="s">
        <v>159</v>
      </c>
      <c r="BH4" s="37" t="s">
        <v>159</v>
      </c>
      <c r="BI4" s="37" t="s">
        <v>159</v>
      </c>
      <c r="BJ4" s="46">
        <v>0</v>
      </c>
      <c r="BK4" s="46">
        <v>0</v>
      </c>
      <c r="BL4" s="46">
        <v>-900</v>
      </c>
      <c r="BM4" s="46">
        <v>-900</v>
      </c>
      <c r="BN4" s="46">
        <v>0</v>
      </c>
      <c r="BO4" s="46">
        <v>0</v>
      </c>
      <c r="BP4" s="46">
        <v>0</v>
      </c>
      <c r="BQ4" s="46">
        <v>0</v>
      </c>
      <c r="BR4" s="46">
        <v>0</v>
      </c>
      <c r="BS4" s="46">
        <v>0</v>
      </c>
      <c r="BT4" s="46">
        <v>0</v>
      </c>
      <c r="BU4" s="69" t="s">
        <v>930</v>
      </c>
      <c r="BV4" s="69" t="s">
        <v>925</v>
      </c>
      <c r="BW4" s="69" t="s">
        <v>925</v>
      </c>
      <c r="BX4" s="69">
        <v>0</v>
      </c>
      <c r="BY4" s="69">
        <v>0</v>
      </c>
      <c r="BZ4" s="69">
        <v>0</v>
      </c>
      <c r="CA4" s="69">
        <v>0</v>
      </c>
      <c r="CB4" s="46">
        <v>1</v>
      </c>
      <c r="CC4" s="46">
        <v>2</v>
      </c>
      <c r="CD4" s="50" t="s">
        <v>159</v>
      </c>
      <c r="CE4" s="37"/>
      <c r="CF4" s="38"/>
    </row>
    <row r="5" spans="1:84" x14ac:dyDescent="0.25">
      <c r="A5" s="36">
        <v>2</v>
      </c>
      <c r="B5" s="46" t="s">
        <v>962</v>
      </c>
      <c r="C5" s="63">
        <v>2</v>
      </c>
      <c r="D5" s="63">
        <v>1</v>
      </c>
      <c r="E5" s="63">
        <v>1</v>
      </c>
      <c r="F5" s="63">
        <v>1</v>
      </c>
      <c r="G5" s="63">
        <v>1</v>
      </c>
      <c r="H5" s="63">
        <v>1</v>
      </c>
      <c r="I5" s="63">
        <v>1</v>
      </c>
      <c r="J5" s="63">
        <v>1</v>
      </c>
      <c r="K5" s="63">
        <v>1</v>
      </c>
      <c r="L5" s="63">
        <v>1</v>
      </c>
      <c r="M5" s="63">
        <v>65535</v>
      </c>
      <c r="N5" s="63">
        <v>65535</v>
      </c>
      <c r="O5" s="63">
        <v>360</v>
      </c>
      <c r="P5" s="63">
        <v>360</v>
      </c>
      <c r="Q5" s="63">
        <v>4</v>
      </c>
      <c r="R5" s="63">
        <v>511</v>
      </c>
      <c r="S5" s="63">
        <v>31</v>
      </c>
      <c r="T5" s="63">
        <v>4488</v>
      </c>
      <c r="U5" s="63">
        <v>360</v>
      </c>
      <c r="V5" s="63">
        <v>360</v>
      </c>
      <c r="W5" s="63">
        <v>360</v>
      </c>
      <c r="X5" s="63">
        <v>360</v>
      </c>
      <c r="Y5" s="63">
        <v>4488</v>
      </c>
      <c r="Z5" s="63">
        <v>22</v>
      </c>
      <c r="AA5" s="63">
        <v>3600</v>
      </c>
      <c r="AB5" s="63">
        <v>1800</v>
      </c>
      <c r="AC5" s="63">
        <v>900</v>
      </c>
      <c r="AD5" s="63">
        <v>100</v>
      </c>
      <c r="AE5" s="63">
        <v>100</v>
      </c>
      <c r="AF5" s="63">
        <v>50</v>
      </c>
      <c r="AG5" s="63">
        <v>50</v>
      </c>
      <c r="AH5" s="63">
        <v>100</v>
      </c>
      <c r="AI5" s="63">
        <v>255</v>
      </c>
      <c r="AJ5" s="63">
        <v>255</v>
      </c>
      <c r="AK5" s="63">
        <v>50</v>
      </c>
      <c r="AL5" s="63">
        <v>50</v>
      </c>
      <c r="AM5" s="63">
        <v>6</v>
      </c>
      <c r="AN5" s="63">
        <v>1</v>
      </c>
      <c r="AO5" s="63">
        <v>1800</v>
      </c>
      <c r="AP5" s="37" t="s">
        <v>159</v>
      </c>
      <c r="AQ5" s="37" t="s">
        <v>159</v>
      </c>
      <c r="AR5" s="37" t="s">
        <v>159</v>
      </c>
      <c r="AS5" s="37" t="s">
        <v>159</v>
      </c>
      <c r="AT5" s="37" t="s">
        <v>159</v>
      </c>
      <c r="AU5" s="37" t="s">
        <v>159</v>
      </c>
      <c r="AV5" s="37" t="s">
        <v>159</v>
      </c>
      <c r="AW5" s="37" t="s">
        <v>159</v>
      </c>
      <c r="AX5" s="37" t="s">
        <v>159</v>
      </c>
      <c r="AY5" s="37" t="s">
        <v>159</v>
      </c>
      <c r="AZ5" s="37" t="s">
        <v>159</v>
      </c>
      <c r="BA5" s="37" t="s">
        <v>159</v>
      </c>
      <c r="BB5" s="37" t="s">
        <v>159</v>
      </c>
      <c r="BC5" s="37" t="s">
        <v>159</v>
      </c>
      <c r="BD5" s="37" t="s">
        <v>159</v>
      </c>
      <c r="BE5" s="37" t="s">
        <v>159</v>
      </c>
      <c r="BF5" s="37" t="s">
        <v>159</v>
      </c>
      <c r="BG5" s="37" t="s">
        <v>159</v>
      </c>
      <c r="BH5" s="37" t="s">
        <v>159</v>
      </c>
      <c r="BI5" s="37" t="s">
        <v>159</v>
      </c>
      <c r="BJ5" s="46">
        <v>1800</v>
      </c>
      <c r="BK5" s="46">
        <v>3600</v>
      </c>
      <c r="BL5" s="46">
        <v>900</v>
      </c>
      <c r="BM5" s="46">
        <v>900</v>
      </c>
      <c r="BN5" s="46">
        <v>1</v>
      </c>
      <c r="BO5" s="46">
        <v>1</v>
      </c>
      <c r="BP5" s="46">
        <v>1</v>
      </c>
      <c r="BQ5" s="46">
        <v>1</v>
      </c>
      <c r="BR5" s="46">
        <v>1</v>
      </c>
      <c r="BS5" s="46">
        <v>1</v>
      </c>
      <c r="BT5" s="46">
        <v>6</v>
      </c>
      <c r="BU5" s="69" t="s">
        <v>925</v>
      </c>
      <c r="BV5" s="69" t="s">
        <v>925</v>
      </c>
      <c r="BW5" s="69" t="s">
        <v>925</v>
      </c>
      <c r="BX5" s="69">
        <v>22</v>
      </c>
      <c r="BY5" s="69">
        <v>255</v>
      </c>
      <c r="BZ5" s="69">
        <v>100</v>
      </c>
      <c r="CA5" s="69">
        <v>1</v>
      </c>
      <c r="CB5" s="46">
        <v>1</v>
      </c>
      <c r="CC5" s="46">
        <v>0</v>
      </c>
      <c r="CD5" s="50" t="s">
        <v>159</v>
      </c>
      <c r="CE5" s="37"/>
      <c r="CF5" s="38"/>
    </row>
    <row r="6" spans="1:84" ht="135" x14ac:dyDescent="0.25">
      <c r="A6" s="36">
        <v>3</v>
      </c>
      <c r="B6" s="69" t="s">
        <v>969</v>
      </c>
      <c r="C6" s="63">
        <v>0</v>
      </c>
      <c r="D6" s="63">
        <v>0</v>
      </c>
      <c r="E6" s="63">
        <v>1</v>
      </c>
      <c r="F6" s="63">
        <v>1</v>
      </c>
      <c r="G6" s="63">
        <v>0</v>
      </c>
      <c r="H6" s="63">
        <v>0</v>
      </c>
      <c r="I6" s="63">
        <v>1</v>
      </c>
      <c r="J6" s="63">
        <v>1</v>
      </c>
      <c r="K6" s="63">
        <v>0</v>
      </c>
      <c r="L6" s="63">
        <v>0</v>
      </c>
      <c r="M6" s="63">
        <v>22278</v>
      </c>
      <c r="N6" s="63">
        <v>32535</v>
      </c>
      <c r="O6" s="63">
        <v>35.7712</v>
      </c>
      <c r="P6" s="63">
        <v>214.1909</v>
      </c>
      <c r="Q6" s="63">
        <v>1</v>
      </c>
      <c r="R6" s="63">
        <v>0</v>
      </c>
      <c r="S6" s="63">
        <v>2</v>
      </c>
      <c r="T6" s="63">
        <v>201</v>
      </c>
      <c r="U6" s="63">
        <v>-175.2</v>
      </c>
      <c r="V6" s="63">
        <v>358.2</v>
      </c>
      <c r="W6" s="63">
        <v>-39.871899999999997</v>
      </c>
      <c r="X6" s="63">
        <v>341.67230000000001</v>
      </c>
      <c r="Y6" s="63">
        <v>3936</v>
      </c>
      <c r="Z6" s="63">
        <v>12</v>
      </c>
      <c r="AA6" s="63">
        <v>157.2621</v>
      </c>
      <c r="AB6" s="63">
        <v>1649.1143</v>
      </c>
      <c r="AC6" s="63">
        <v>-848.12</v>
      </c>
      <c r="AD6" s="63">
        <v>54.624000000000002</v>
      </c>
      <c r="AE6" s="63">
        <v>31</v>
      </c>
      <c r="AF6" s="63">
        <v>19</v>
      </c>
      <c r="AG6" s="63">
        <v>19</v>
      </c>
      <c r="AH6" s="63">
        <v>81</v>
      </c>
      <c r="AI6" s="63">
        <v>215</v>
      </c>
      <c r="AJ6" s="63">
        <v>178</v>
      </c>
      <c r="AK6" s="63">
        <v>1</v>
      </c>
      <c r="AL6" s="63">
        <v>12</v>
      </c>
      <c r="AM6" s="63">
        <v>6</v>
      </c>
      <c r="AN6" s="63">
        <v>0</v>
      </c>
      <c r="AO6" s="63">
        <v>10.199999999999999</v>
      </c>
      <c r="AP6" s="37" t="s">
        <v>159</v>
      </c>
      <c r="AQ6" s="37" t="s">
        <v>159</v>
      </c>
      <c r="AR6" s="37" t="s">
        <v>159</v>
      </c>
      <c r="AS6" s="37" t="s">
        <v>159</v>
      </c>
      <c r="AT6" s="37" t="s">
        <v>159</v>
      </c>
      <c r="AU6" s="37" t="s">
        <v>159</v>
      </c>
      <c r="AV6" s="37" t="s">
        <v>159</v>
      </c>
      <c r="AW6" s="37" t="s">
        <v>159</v>
      </c>
      <c r="AX6" s="37" t="s">
        <v>159</v>
      </c>
      <c r="AY6" s="37" t="s">
        <v>159</v>
      </c>
      <c r="AZ6" s="37" t="s">
        <v>159</v>
      </c>
      <c r="BA6" s="37" t="s">
        <v>159</v>
      </c>
      <c r="BB6" s="37" t="s">
        <v>159</v>
      </c>
      <c r="BC6" s="37" t="s">
        <v>159</v>
      </c>
      <c r="BD6" s="37" t="s">
        <v>159</v>
      </c>
      <c r="BE6" s="37" t="s">
        <v>159</v>
      </c>
      <c r="BF6" s="37" t="s">
        <v>159</v>
      </c>
      <c r="BG6" s="37" t="s">
        <v>159</v>
      </c>
      <c r="BH6" s="37" t="s">
        <v>159</v>
      </c>
      <c r="BI6" s="37" t="s">
        <v>159</v>
      </c>
      <c r="BJ6" s="46">
        <v>10.199999999999999</v>
      </c>
      <c r="BK6" s="46">
        <v>435.6431</v>
      </c>
      <c r="BL6" s="46">
        <v>-464.3569</v>
      </c>
      <c r="BM6" s="46">
        <v>-464.3569</v>
      </c>
      <c r="BN6" s="46">
        <v>0</v>
      </c>
      <c r="BO6" s="46">
        <v>0</v>
      </c>
      <c r="BP6" s="46">
        <v>0</v>
      </c>
      <c r="BQ6" s="46">
        <v>0</v>
      </c>
      <c r="BR6" s="46">
        <v>0</v>
      </c>
      <c r="BS6" s="46">
        <v>0</v>
      </c>
      <c r="BT6" s="46">
        <v>5</v>
      </c>
      <c r="BU6" s="69" t="s">
        <v>939</v>
      </c>
      <c r="BV6" s="69" t="s">
        <v>940</v>
      </c>
      <c r="BW6" s="69" t="s">
        <v>924</v>
      </c>
      <c r="BX6" s="69">
        <v>5</v>
      </c>
      <c r="BY6" s="69">
        <v>178</v>
      </c>
      <c r="BZ6" s="69">
        <v>62</v>
      </c>
      <c r="CA6" s="69">
        <v>1</v>
      </c>
      <c r="CB6" s="46">
        <v>1</v>
      </c>
      <c r="CC6" s="46">
        <v>3</v>
      </c>
      <c r="CD6" s="50" t="s">
        <v>159</v>
      </c>
      <c r="CE6" s="37"/>
      <c r="CF6" s="38"/>
    </row>
    <row r="7" spans="1:84" x14ac:dyDescent="0.25">
      <c r="A7" s="36">
        <v>4</v>
      </c>
      <c r="B7" s="46" t="s">
        <v>966</v>
      </c>
      <c r="C7" s="63">
        <v>2</v>
      </c>
      <c r="D7" s="63">
        <v>0</v>
      </c>
      <c r="E7" s="63">
        <v>0</v>
      </c>
      <c r="F7" s="63">
        <v>1</v>
      </c>
      <c r="G7" s="63">
        <v>0</v>
      </c>
      <c r="H7" s="63">
        <v>0</v>
      </c>
      <c r="I7" s="63">
        <v>0</v>
      </c>
      <c r="J7" s="63">
        <v>1</v>
      </c>
      <c r="K7" s="63">
        <v>0</v>
      </c>
      <c r="L7" s="63">
        <v>1</v>
      </c>
      <c r="M7" s="63">
        <v>9991</v>
      </c>
      <c r="N7" s="63">
        <v>64813</v>
      </c>
      <c r="O7" s="63">
        <v>238.2338</v>
      </c>
      <c r="P7" s="63">
        <v>307.7115</v>
      </c>
      <c r="Q7" s="63">
        <v>0</v>
      </c>
      <c r="R7" s="63">
        <v>12</v>
      </c>
      <c r="S7" s="63">
        <v>9</v>
      </c>
      <c r="T7" s="63">
        <v>102</v>
      </c>
      <c r="U7" s="63">
        <v>-162.19999999999999</v>
      </c>
      <c r="V7" s="63">
        <v>321.3</v>
      </c>
      <c r="W7" s="63">
        <v>84.416799999999995</v>
      </c>
      <c r="X7" s="63">
        <v>85.621300000000005</v>
      </c>
      <c r="Y7" s="63">
        <v>967</v>
      </c>
      <c r="Z7" s="63">
        <v>9</v>
      </c>
      <c r="AA7" s="63">
        <v>2336.8114</v>
      </c>
      <c r="AB7" s="63">
        <v>366.3596</v>
      </c>
      <c r="AC7" s="63">
        <v>-821.4</v>
      </c>
      <c r="AD7" s="63">
        <v>97.139099999999999</v>
      </c>
      <c r="AE7" s="63">
        <v>56</v>
      </c>
      <c r="AF7" s="63">
        <v>18</v>
      </c>
      <c r="AG7" s="63">
        <v>0</v>
      </c>
      <c r="AH7" s="63">
        <v>70</v>
      </c>
      <c r="AI7" s="63">
        <v>23</v>
      </c>
      <c r="AJ7" s="63">
        <v>215</v>
      </c>
      <c r="AK7" s="63">
        <v>2</v>
      </c>
      <c r="AL7" s="63">
        <v>24</v>
      </c>
      <c r="AM7" s="63">
        <v>0</v>
      </c>
      <c r="AN7" s="63">
        <v>0</v>
      </c>
      <c r="AO7" s="63">
        <v>15.5</v>
      </c>
      <c r="AP7" s="37" t="s">
        <v>159</v>
      </c>
      <c r="AQ7" s="37" t="s">
        <v>159</v>
      </c>
      <c r="AR7" s="37" t="s">
        <v>159</v>
      </c>
      <c r="AS7" s="37" t="s">
        <v>159</v>
      </c>
      <c r="AT7" s="37" t="s">
        <v>159</v>
      </c>
      <c r="AU7" s="37" t="s">
        <v>159</v>
      </c>
      <c r="AV7" s="37" t="s">
        <v>159</v>
      </c>
      <c r="AW7" s="37" t="s">
        <v>159</v>
      </c>
      <c r="AX7" s="37" t="s">
        <v>159</v>
      </c>
      <c r="AY7" s="37" t="s">
        <v>159</v>
      </c>
      <c r="AZ7" s="37" t="s">
        <v>159</v>
      </c>
      <c r="BA7" s="37" t="s">
        <v>159</v>
      </c>
      <c r="BB7" s="37" t="s">
        <v>159</v>
      </c>
      <c r="BC7" s="37" t="s">
        <v>159</v>
      </c>
      <c r="BD7" s="37" t="s">
        <v>159</v>
      </c>
      <c r="BE7" s="37" t="s">
        <v>159</v>
      </c>
      <c r="BF7" s="37" t="s">
        <v>159</v>
      </c>
      <c r="BG7" s="37" t="s">
        <v>159</v>
      </c>
      <c r="BH7" s="37" t="s">
        <v>159</v>
      </c>
      <c r="BI7" s="37" t="s">
        <v>159</v>
      </c>
      <c r="BJ7" s="46">
        <v>15.5</v>
      </c>
      <c r="BK7" s="46">
        <v>1233.817</v>
      </c>
      <c r="BL7" s="46">
        <v>333.81700000000001</v>
      </c>
      <c r="BM7" s="46">
        <v>333.81700000000001</v>
      </c>
      <c r="BN7" s="46">
        <v>0</v>
      </c>
      <c r="BO7" s="46">
        <v>0</v>
      </c>
      <c r="BP7" s="46">
        <v>0</v>
      </c>
      <c r="BQ7" s="46">
        <v>0</v>
      </c>
      <c r="BR7" s="46">
        <v>0</v>
      </c>
      <c r="BS7" s="46">
        <v>0</v>
      </c>
      <c r="BT7" s="46">
        <v>0</v>
      </c>
      <c r="BU7" s="69" t="s">
        <v>930</v>
      </c>
      <c r="BV7" s="69" t="s">
        <v>925</v>
      </c>
      <c r="BW7" s="69" t="s">
        <v>925</v>
      </c>
      <c r="BX7" s="69">
        <v>12</v>
      </c>
      <c r="BY7" s="69">
        <v>70</v>
      </c>
      <c r="BZ7" s="69">
        <v>70</v>
      </c>
      <c r="CA7" s="69">
        <v>0</v>
      </c>
      <c r="CB7" s="46">
        <v>1</v>
      </c>
      <c r="CC7" s="46">
        <v>2</v>
      </c>
      <c r="CD7" s="50" t="s">
        <v>159</v>
      </c>
      <c r="CE7" s="37"/>
      <c r="CF7" s="38"/>
    </row>
    <row r="8" spans="1:84" x14ac:dyDescent="0.25">
      <c r="A8" s="36">
        <v>5</v>
      </c>
      <c r="B8" s="46" t="s">
        <v>968</v>
      </c>
      <c r="C8" s="63">
        <v>1</v>
      </c>
      <c r="D8" s="63">
        <v>0</v>
      </c>
      <c r="E8" s="63">
        <v>0</v>
      </c>
      <c r="F8" s="63">
        <v>1</v>
      </c>
      <c r="G8" s="63">
        <v>0</v>
      </c>
      <c r="H8" s="63">
        <v>0</v>
      </c>
      <c r="I8" s="63">
        <v>0</v>
      </c>
      <c r="J8" s="63">
        <v>0</v>
      </c>
      <c r="K8" s="63">
        <v>0</v>
      </c>
      <c r="L8" s="63">
        <v>0</v>
      </c>
      <c r="M8" s="63">
        <v>59360</v>
      </c>
      <c r="N8" s="63">
        <v>55910</v>
      </c>
      <c r="O8" s="63">
        <v>281.08240000000001</v>
      </c>
      <c r="P8" s="63">
        <v>198.8142</v>
      </c>
      <c r="Q8" s="63">
        <v>4</v>
      </c>
      <c r="R8" s="63">
        <v>23</v>
      </c>
      <c r="S8" s="63">
        <v>21</v>
      </c>
      <c r="T8" s="63">
        <v>143</v>
      </c>
      <c r="U8" s="63">
        <v>-149.19999999999999</v>
      </c>
      <c r="V8" s="63">
        <v>284.39999999999998</v>
      </c>
      <c r="W8" s="63">
        <v>314.56970000000001</v>
      </c>
      <c r="X8" s="63">
        <v>27.819099999999999</v>
      </c>
      <c r="Y8" s="63">
        <v>869</v>
      </c>
      <c r="Z8" s="63">
        <v>9</v>
      </c>
      <c r="AA8" s="63">
        <v>3036.8681000000001</v>
      </c>
      <c r="AB8" s="63">
        <v>727.80229999999995</v>
      </c>
      <c r="AC8" s="63">
        <v>-794.68</v>
      </c>
      <c r="AD8" s="63">
        <v>67.048699999999997</v>
      </c>
      <c r="AE8" s="63">
        <v>43</v>
      </c>
      <c r="AF8" s="63">
        <v>21</v>
      </c>
      <c r="AG8" s="63">
        <v>42</v>
      </c>
      <c r="AH8" s="63">
        <v>26</v>
      </c>
      <c r="AI8" s="63">
        <v>2</v>
      </c>
      <c r="AJ8" s="63">
        <v>93</v>
      </c>
      <c r="AK8" s="63">
        <v>3</v>
      </c>
      <c r="AL8" s="63">
        <v>36</v>
      </c>
      <c r="AM8" s="63">
        <v>4</v>
      </c>
      <c r="AN8" s="63">
        <v>1</v>
      </c>
      <c r="AO8" s="63">
        <v>20.8</v>
      </c>
      <c r="AP8" s="37" t="s">
        <v>159</v>
      </c>
      <c r="AQ8" s="37" t="s">
        <v>159</v>
      </c>
      <c r="AR8" s="37" t="s">
        <v>159</v>
      </c>
      <c r="AS8" s="37" t="s">
        <v>159</v>
      </c>
      <c r="AT8" s="37" t="s">
        <v>159</v>
      </c>
      <c r="AU8" s="37" t="s">
        <v>159</v>
      </c>
      <c r="AV8" s="37" t="s">
        <v>159</v>
      </c>
      <c r="AW8" s="37" t="s">
        <v>159</v>
      </c>
      <c r="AX8" s="37" t="s">
        <v>159</v>
      </c>
      <c r="AY8" s="37" t="s">
        <v>159</v>
      </c>
      <c r="AZ8" s="37" t="s">
        <v>159</v>
      </c>
      <c r="BA8" s="37" t="s">
        <v>159</v>
      </c>
      <c r="BB8" s="37" t="s">
        <v>159</v>
      </c>
      <c r="BC8" s="37" t="s">
        <v>159</v>
      </c>
      <c r="BD8" s="37" t="s">
        <v>159</v>
      </c>
      <c r="BE8" s="37" t="s">
        <v>159</v>
      </c>
      <c r="BF8" s="37" t="s">
        <v>159</v>
      </c>
      <c r="BG8" s="37" t="s">
        <v>159</v>
      </c>
      <c r="BH8" s="37" t="s">
        <v>159</v>
      </c>
      <c r="BI8" s="37" t="s">
        <v>159</v>
      </c>
      <c r="BJ8" s="46">
        <v>1059.5432272727301</v>
      </c>
      <c r="BK8" s="46">
        <v>1046.5127</v>
      </c>
      <c r="BL8" s="46">
        <v>159.54322727272699</v>
      </c>
      <c r="BM8" s="46">
        <v>159.54322727272699</v>
      </c>
      <c r="BN8" s="46">
        <v>1</v>
      </c>
      <c r="BO8" s="46">
        <v>0</v>
      </c>
      <c r="BP8" s="46">
        <v>0</v>
      </c>
      <c r="BQ8" s="46">
        <v>0</v>
      </c>
      <c r="BR8" s="46">
        <v>0</v>
      </c>
      <c r="BS8" s="46">
        <v>0</v>
      </c>
      <c r="BT8" s="46">
        <v>3</v>
      </c>
      <c r="BU8" s="69" t="s">
        <v>939</v>
      </c>
      <c r="BV8" s="69" t="s">
        <v>941</v>
      </c>
      <c r="BW8" s="69" t="s">
        <v>924</v>
      </c>
      <c r="BX8" s="69">
        <v>10</v>
      </c>
      <c r="BY8" s="69">
        <v>0</v>
      </c>
      <c r="BZ8" s="69">
        <v>0</v>
      </c>
      <c r="CA8" s="69">
        <v>1</v>
      </c>
      <c r="CB8" s="46">
        <v>1</v>
      </c>
      <c r="CC8" s="46">
        <v>3</v>
      </c>
      <c r="CD8" s="50" t="s">
        <v>159</v>
      </c>
      <c r="CE8" s="37"/>
      <c r="CF8" s="38"/>
    </row>
    <row r="9" spans="1:84" ht="45" x14ac:dyDescent="0.25">
      <c r="A9" s="36">
        <v>6</v>
      </c>
      <c r="B9" s="69" t="s">
        <v>965</v>
      </c>
      <c r="C9" s="63">
        <v>2</v>
      </c>
      <c r="D9" s="63">
        <v>1</v>
      </c>
      <c r="E9" s="63">
        <v>1</v>
      </c>
      <c r="F9" s="63">
        <v>1</v>
      </c>
      <c r="G9" s="63">
        <v>0</v>
      </c>
      <c r="H9" s="63">
        <v>0</v>
      </c>
      <c r="I9" s="63">
        <v>0</v>
      </c>
      <c r="J9" s="63">
        <v>0</v>
      </c>
      <c r="K9" s="63">
        <v>0</v>
      </c>
      <c r="L9" s="63">
        <v>0</v>
      </c>
      <c r="M9" s="63">
        <v>16771</v>
      </c>
      <c r="N9" s="63">
        <v>65436</v>
      </c>
      <c r="O9" s="63">
        <v>29.111999999999998</v>
      </c>
      <c r="P9" s="63">
        <v>100.5309</v>
      </c>
      <c r="Q9" s="63">
        <v>4</v>
      </c>
      <c r="R9" s="63">
        <v>25</v>
      </c>
      <c r="S9" s="63">
        <v>7</v>
      </c>
      <c r="T9" s="63">
        <v>1</v>
      </c>
      <c r="U9" s="63">
        <v>-180</v>
      </c>
      <c r="V9" s="63">
        <v>-105.7</v>
      </c>
      <c r="W9" s="63">
        <v>86.971800000000002</v>
      </c>
      <c r="X9" s="63">
        <v>-80.385400000000004</v>
      </c>
      <c r="Y9" s="63">
        <v>224</v>
      </c>
      <c r="Z9" s="63">
        <v>4</v>
      </c>
      <c r="AA9" s="63">
        <v>2357.7116000000001</v>
      </c>
      <c r="AB9" s="63">
        <v>748.15480000000002</v>
      </c>
      <c r="AC9" s="63">
        <v>354.28</v>
      </c>
      <c r="AD9" s="63">
        <v>2.9432999999999998</v>
      </c>
      <c r="AE9" s="63">
        <v>74</v>
      </c>
      <c r="AF9" s="63">
        <v>7</v>
      </c>
      <c r="AG9" s="63">
        <v>22</v>
      </c>
      <c r="AH9" s="63">
        <v>20</v>
      </c>
      <c r="AI9" s="63">
        <v>200</v>
      </c>
      <c r="AJ9" s="63">
        <v>201</v>
      </c>
      <c r="AK9" s="63">
        <v>46</v>
      </c>
      <c r="AL9" s="63">
        <v>23</v>
      </c>
      <c r="AM9" s="63">
        <v>5</v>
      </c>
      <c r="AN9" s="63">
        <v>1</v>
      </c>
      <c r="AO9" s="63">
        <v>248.7</v>
      </c>
      <c r="AP9" s="37" t="s">
        <v>159</v>
      </c>
      <c r="AQ9" s="37" t="s">
        <v>159</v>
      </c>
      <c r="AR9" s="37" t="s">
        <v>159</v>
      </c>
      <c r="AS9" s="37" t="s">
        <v>159</v>
      </c>
      <c r="AT9" s="37" t="s">
        <v>159</v>
      </c>
      <c r="AU9" s="37" t="s">
        <v>159</v>
      </c>
      <c r="AV9" s="37" t="s">
        <v>159</v>
      </c>
      <c r="AW9" s="37" t="s">
        <v>159</v>
      </c>
      <c r="AX9" s="37" t="s">
        <v>159</v>
      </c>
      <c r="AY9" s="37" t="s">
        <v>159</v>
      </c>
      <c r="AZ9" s="37" t="s">
        <v>159</v>
      </c>
      <c r="BA9" s="37" t="s">
        <v>159</v>
      </c>
      <c r="BB9" s="37" t="s">
        <v>159</v>
      </c>
      <c r="BC9" s="37" t="s">
        <v>159</v>
      </c>
      <c r="BD9" s="37" t="s">
        <v>159</v>
      </c>
      <c r="BE9" s="37" t="s">
        <v>159</v>
      </c>
      <c r="BF9" s="37" t="s">
        <v>159</v>
      </c>
      <c r="BG9" s="37" t="s">
        <v>159</v>
      </c>
      <c r="BH9" s="37" t="s">
        <v>159</v>
      </c>
      <c r="BI9" s="37" t="s">
        <v>159</v>
      </c>
      <c r="BJ9" s="46">
        <v>584.65040909090897</v>
      </c>
      <c r="BK9" s="46">
        <v>569.11199999999997</v>
      </c>
      <c r="BL9" s="46">
        <v>-315.34959090909098</v>
      </c>
      <c r="BM9" s="46">
        <v>-315.34959090909098</v>
      </c>
      <c r="BN9" s="46">
        <v>1</v>
      </c>
      <c r="BO9" s="46">
        <v>0</v>
      </c>
      <c r="BP9" s="46">
        <v>1</v>
      </c>
      <c r="BQ9" s="46">
        <v>0</v>
      </c>
      <c r="BR9" s="46">
        <v>1</v>
      </c>
      <c r="BS9" s="46">
        <v>0</v>
      </c>
      <c r="BT9" s="46">
        <v>4</v>
      </c>
      <c r="BU9" s="69" t="s">
        <v>939</v>
      </c>
      <c r="BV9" s="69" t="s">
        <v>942</v>
      </c>
      <c r="BW9" s="69" t="s">
        <v>924</v>
      </c>
      <c r="BX9" s="69">
        <v>6</v>
      </c>
      <c r="BY9" s="69">
        <v>201</v>
      </c>
      <c r="BZ9" s="69">
        <v>27</v>
      </c>
      <c r="CA9" s="69">
        <v>1</v>
      </c>
      <c r="CB9" s="46">
        <v>1</v>
      </c>
      <c r="CC9" s="46">
        <v>3</v>
      </c>
      <c r="CD9" s="50" t="s">
        <v>159</v>
      </c>
      <c r="CE9" s="37"/>
      <c r="CF9" s="38"/>
    </row>
    <row r="10" spans="1:84" x14ac:dyDescent="0.25">
      <c r="A10" s="36">
        <v>7</v>
      </c>
      <c r="B10" s="46" t="s">
        <v>964</v>
      </c>
      <c r="C10" s="46">
        <v>0</v>
      </c>
      <c r="D10" s="63">
        <v>0</v>
      </c>
      <c r="E10" s="63">
        <v>1</v>
      </c>
      <c r="F10" s="63">
        <v>1</v>
      </c>
      <c r="G10" s="63">
        <v>0</v>
      </c>
      <c r="H10" s="63">
        <v>1</v>
      </c>
      <c r="I10" s="63">
        <v>1</v>
      </c>
      <c r="J10" s="63">
        <v>1</v>
      </c>
      <c r="K10" s="63">
        <v>0</v>
      </c>
      <c r="L10" s="63">
        <v>0</v>
      </c>
      <c r="M10" s="63">
        <v>22278</v>
      </c>
      <c r="N10" s="63">
        <v>32535</v>
      </c>
      <c r="O10" s="63">
        <v>35.7712</v>
      </c>
      <c r="P10" s="63">
        <v>214.1909</v>
      </c>
      <c r="Q10" s="63">
        <v>1</v>
      </c>
      <c r="R10" s="63">
        <v>2</v>
      </c>
      <c r="S10" s="63">
        <v>2</v>
      </c>
      <c r="T10" s="63">
        <v>201</v>
      </c>
      <c r="U10" s="63">
        <v>-175.2</v>
      </c>
      <c r="V10" s="63">
        <v>358.2</v>
      </c>
      <c r="W10" s="63">
        <v>-39.871899999999997</v>
      </c>
      <c r="X10" s="63">
        <v>341.67230000000001</v>
      </c>
      <c r="Y10" s="63">
        <v>1</v>
      </c>
      <c r="Z10" s="63">
        <v>12</v>
      </c>
      <c r="AA10" s="63">
        <v>157.2621</v>
      </c>
      <c r="AB10" s="63">
        <v>169.11429999999999</v>
      </c>
      <c r="AC10" s="63">
        <v>-848.12</v>
      </c>
      <c r="AD10" s="63">
        <v>54.624000000000002</v>
      </c>
      <c r="AE10" s="63">
        <v>31</v>
      </c>
      <c r="AF10" s="63">
        <v>19</v>
      </c>
      <c r="AG10" s="63">
        <v>19</v>
      </c>
      <c r="AH10" s="63">
        <v>81</v>
      </c>
      <c r="AI10" s="63">
        <v>215</v>
      </c>
      <c r="AJ10" s="63">
        <v>178</v>
      </c>
      <c r="AK10" s="63">
        <v>1</v>
      </c>
      <c r="AL10" s="63">
        <v>12</v>
      </c>
      <c r="AM10" s="63">
        <v>6</v>
      </c>
      <c r="AN10" s="63">
        <v>0</v>
      </c>
      <c r="AO10" s="63">
        <v>10.199999999999999</v>
      </c>
      <c r="AP10" s="37" t="s">
        <v>159</v>
      </c>
      <c r="AQ10" s="37" t="s">
        <v>159</v>
      </c>
      <c r="AR10" s="37" t="s">
        <v>159</v>
      </c>
      <c r="AS10" s="37" t="s">
        <v>159</v>
      </c>
      <c r="AT10" s="37" t="s">
        <v>159</v>
      </c>
      <c r="AU10" s="37" t="s">
        <v>159</v>
      </c>
      <c r="AV10" s="37" t="s">
        <v>159</v>
      </c>
      <c r="AW10" s="37" t="s">
        <v>159</v>
      </c>
      <c r="AX10" s="37" t="s">
        <v>159</v>
      </c>
      <c r="AY10" s="37" t="s">
        <v>159</v>
      </c>
      <c r="AZ10" s="37" t="s">
        <v>159</v>
      </c>
      <c r="BA10" s="37" t="s">
        <v>159</v>
      </c>
      <c r="BB10" s="37" t="s">
        <v>159</v>
      </c>
      <c r="BC10" s="37" t="s">
        <v>159</v>
      </c>
      <c r="BD10" s="37" t="s">
        <v>159</v>
      </c>
      <c r="BE10" s="37" t="s">
        <v>159</v>
      </c>
      <c r="BF10" s="37" t="s">
        <v>159</v>
      </c>
      <c r="BG10" s="37" t="s">
        <v>159</v>
      </c>
      <c r="BH10" s="37" t="s">
        <v>159</v>
      </c>
      <c r="BI10" s="37" t="s">
        <v>159</v>
      </c>
      <c r="BJ10" s="46">
        <v>10.199999999999999</v>
      </c>
      <c r="BK10" s="46">
        <v>757.82155</v>
      </c>
      <c r="BL10" s="46">
        <v>-142.17845</v>
      </c>
      <c r="BM10" s="46">
        <v>-142.17845</v>
      </c>
      <c r="BN10" s="46">
        <v>1</v>
      </c>
      <c r="BO10" s="46">
        <v>0</v>
      </c>
      <c r="BP10" s="46">
        <v>1</v>
      </c>
      <c r="BQ10" s="46">
        <v>0</v>
      </c>
      <c r="BR10" s="46">
        <v>1</v>
      </c>
      <c r="BS10" s="46">
        <v>1</v>
      </c>
      <c r="BT10" s="46">
        <v>5</v>
      </c>
      <c r="BU10" s="69" t="s">
        <v>939</v>
      </c>
      <c r="BV10" s="69" t="s">
        <v>942</v>
      </c>
      <c r="BW10" s="69" t="s">
        <v>924</v>
      </c>
      <c r="BX10" s="69">
        <v>9</v>
      </c>
      <c r="BY10" s="69">
        <v>178</v>
      </c>
      <c r="BZ10" s="69">
        <v>62</v>
      </c>
      <c r="CA10" s="69">
        <v>1</v>
      </c>
      <c r="CB10" s="46">
        <v>1</v>
      </c>
      <c r="CC10" s="46">
        <v>3</v>
      </c>
      <c r="CD10" s="50" t="s">
        <v>159</v>
      </c>
      <c r="CE10" s="37"/>
      <c r="CF10" s="38"/>
    </row>
    <row r="11" spans="1:84" ht="90.75" thickBot="1" x14ac:dyDescent="0.3">
      <c r="A11" s="39">
        <v>8</v>
      </c>
      <c r="B11" s="68" t="s">
        <v>967</v>
      </c>
      <c r="C11" s="47">
        <v>1</v>
      </c>
      <c r="D11" s="67">
        <v>0</v>
      </c>
      <c r="E11" s="67">
        <v>1</v>
      </c>
      <c r="F11" s="67">
        <v>1</v>
      </c>
      <c r="G11" s="67">
        <v>0</v>
      </c>
      <c r="H11" s="67">
        <v>1</v>
      </c>
      <c r="I11" s="67">
        <v>0</v>
      </c>
      <c r="J11" s="67">
        <v>1</v>
      </c>
      <c r="K11" s="67">
        <v>0</v>
      </c>
      <c r="L11" s="67">
        <v>0</v>
      </c>
      <c r="M11" s="67">
        <v>22278</v>
      </c>
      <c r="N11" s="67">
        <v>32535</v>
      </c>
      <c r="O11" s="67">
        <v>35.7712</v>
      </c>
      <c r="P11" s="67">
        <v>214.1909</v>
      </c>
      <c r="Q11" s="67">
        <v>1</v>
      </c>
      <c r="R11" s="67">
        <v>2</v>
      </c>
      <c r="S11" s="67">
        <v>2</v>
      </c>
      <c r="T11" s="67">
        <v>201</v>
      </c>
      <c r="U11" s="67">
        <v>-175.2</v>
      </c>
      <c r="V11" s="67">
        <v>358.2</v>
      </c>
      <c r="W11" s="67">
        <v>-39.871899999999997</v>
      </c>
      <c r="X11" s="67">
        <v>341.67230000000001</v>
      </c>
      <c r="Y11" s="67">
        <v>1</v>
      </c>
      <c r="Z11" s="67">
        <v>9</v>
      </c>
      <c r="AA11" s="67">
        <v>157.2621</v>
      </c>
      <c r="AB11" s="67">
        <v>169.11429999999999</v>
      </c>
      <c r="AC11" s="67">
        <v>-848.12</v>
      </c>
      <c r="AD11" s="67">
        <v>54.624000000000002</v>
      </c>
      <c r="AE11" s="67">
        <v>31</v>
      </c>
      <c r="AF11" s="67">
        <v>19</v>
      </c>
      <c r="AG11" s="67">
        <v>19</v>
      </c>
      <c r="AH11" s="67">
        <v>81</v>
      </c>
      <c r="AI11" s="67">
        <v>143</v>
      </c>
      <c r="AJ11" s="67">
        <v>203</v>
      </c>
      <c r="AK11" s="67">
        <v>1</v>
      </c>
      <c r="AL11" s="67">
        <v>12</v>
      </c>
      <c r="AM11" s="67">
        <v>6</v>
      </c>
      <c r="AN11" s="67">
        <v>0</v>
      </c>
      <c r="AO11" s="67">
        <v>10.199999999999999</v>
      </c>
      <c r="AP11" s="40" t="s">
        <v>159</v>
      </c>
      <c r="AQ11" s="40" t="s">
        <v>159</v>
      </c>
      <c r="AR11" s="40" t="s">
        <v>159</v>
      </c>
      <c r="AS11" s="40" t="s">
        <v>159</v>
      </c>
      <c r="AT11" s="40" t="s">
        <v>159</v>
      </c>
      <c r="AU11" s="40" t="s">
        <v>159</v>
      </c>
      <c r="AV11" s="40" t="s">
        <v>159</v>
      </c>
      <c r="AW11" s="40" t="s">
        <v>159</v>
      </c>
      <c r="AX11" s="40" t="s">
        <v>159</v>
      </c>
      <c r="AY11" s="40" t="s">
        <v>159</v>
      </c>
      <c r="AZ11" s="40" t="s">
        <v>159</v>
      </c>
      <c r="BA11" s="40" t="s">
        <v>159</v>
      </c>
      <c r="BB11" s="40" t="s">
        <v>159</v>
      </c>
      <c r="BC11" s="40" t="s">
        <v>159</v>
      </c>
      <c r="BD11" s="40" t="s">
        <v>159</v>
      </c>
      <c r="BE11" s="40" t="s">
        <v>159</v>
      </c>
      <c r="BF11" s="40" t="s">
        <v>159</v>
      </c>
      <c r="BG11" s="40" t="s">
        <v>159</v>
      </c>
      <c r="BH11" s="40" t="s">
        <v>159</v>
      </c>
      <c r="BI11" s="40" t="s">
        <v>159</v>
      </c>
      <c r="BJ11" s="47">
        <v>10.199999999999999</v>
      </c>
      <c r="BK11" s="47">
        <v>757.82155</v>
      </c>
      <c r="BL11" s="47">
        <v>-142.17845</v>
      </c>
      <c r="BM11" s="47">
        <v>-142.17845</v>
      </c>
      <c r="BN11" s="47">
        <v>0</v>
      </c>
      <c r="BO11" s="47">
        <v>1</v>
      </c>
      <c r="BP11" s="47">
        <v>1</v>
      </c>
      <c r="BQ11" s="47">
        <v>1</v>
      </c>
      <c r="BR11" s="47">
        <v>1</v>
      </c>
      <c r="BS11" s="47">
        <v>1</v>
      </c>
      <c r="BT11" s="47">
        <v>5</v>
      </c>
      <c r="BU11" s="68" t="s">
        <v>930</v>
      </c>
      <c r="BV11" s="68" t="s">
        <v>925</v>
      </c>
      <c r="BW11" s="68" t="s">
        <v>925</v>
      </c>
      <c r="BX11" s="68">
        <v>9</v>
      </c>
      <c r="BY11" s="68">
        <v>193</v>
      </c>
      <c r="BZ11" s="68">
        <v>62</v>
      </c>
      <c r="CA11" s="68">
        <v>0</v>
      </c>
      <c r="CB11" s="47">
        <v>1</v>
      </c>
      <c r="CC11" s="47">
        <v>2</v>
      </c>
      <c r="CD11" s="51" t="s">
        <v>159</v>
      </c>
      <c r="CE11" s="40"/>
      <c r="CF11" s="41"/>
    </row>
    <row r="12" spans="1:8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</row>
    <row r="13" spans="1:8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</row>
    <row r="14" spans="1:8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</row>
    <row r="15" spans="1:8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</row>
    <row r="16" spans="1:8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</row>
    <row r="17" spans="1:8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</row>
    <row r="18" spans="1:84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</row>
    <row r="19" spans="1:84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</row>
    <row r="20" spans="1:84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</row>
    <row r="21" spans="1:84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</row>
  </sheetData>
  <mergeCells count="2">
    <mergeCell ref="A1:B1"/>
    <mergeCell ref="A2:B2"/>
  </mergeCells>
  <hyperlinks>
    <hyperlink ref="A1" location="'DigColPs_Per2'!A1" display="'DigColPs_Per2'!A1"/>
  </hyperlink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F9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.28515625" bestFit="1" customWidth="1"/>
    <col min="3" max="12" width="3.28515625" bestFit="1" customWidth="1"/>
    <col min="13" max="14" width="6" bestFit="1" customWidth="1"/>
    <col min="15" max="16" width="9" bestFit="1" customWidth="1"/>
    <col min="17" max="17" width="3.28515625" bestFit="1" customWidth="1"/>
    <col min="18" max="19" width="4" bestFit="1" customWidth="1"/>
    <col min="20" max="20" width="5" bestFit="1" customWidth="1"/>
    <col min="21" max="22" width="7.7109375" bestFit="1" customWidth="1"/>
    <col min="23" max="24" width="9.7109375" bestFit="1" customWidth="1"/>
    <col min="25" max="25" width="5" bestFit="1" customWidth="1"/>
    <col min="26" max="26" width="3.28515625" bestFit="1" customWidth="1"/>
    <col min="27" max="28" width="10" bestFit="1" customWidth="1"/>
    <col min="29" max="29" width="7.7109375" bestFit="1" customWidth="1"/>
    <col min="30" max="30" width="8" bestFit="1" customWidth="1"/>
    <col min="31" max="31" width="4" bestFit="1" customWidth="1"/>
    <col min="32" max="33" width="3.28515625" bestFit="1" customWidth="1"/>
    <col min="34" max="36" width="4" bestFit="1" customWidth="1"/>
    <col min="37" max="40" width="3.28515625" bestFit="1" customWidth="1"/>
    <col min="41" max="41" width="7" bestFit="1" customWidth="1"/>
    <col min="42" max="52" width="3.28515625" bestFit="1" customWidth="1"/>
    <col min="53" max="59" width="3.28515625" customWidth="1"/>
    <col min="60" max="61" width="7.28515625" bestFit="1" customWidth="1"/>
    <col min="62" max="62" width="12" bestFit="1" customWidth="1"/>
    <col min="63" max="63" width="10" bestFit="1" customWidth="1"/>
    <col min="64" max="65" width="12.7109375" bestFit="1" customWidth="1"/>
    <col min="66" max="72" width="7.28515625" bestFit="1" customWidth="1"/>
    <col min="73" max="73" width="12" bestFit="1" customWidth="1"/>
    <col min="74" max="75" width="7.28515625" bestFit="1" customWidth="1"/>
    <col min="76" max="79" width="7.28515625" customWidth="1"/>
    <col min="80" max="81" width="7.28515625" bestFit="1" customWidth="1"/>
    <col min="82" max="82" width="10.5703125" bestFit="1" customWidth="1"/>
    <col min="83" max="83" width="12.42578125" bestFit="1" customWidth="1"/>
    <col min="84" max="84" width="10.5703125" bestFit="1" customWidth="1"/>
  </cols>
  <sheetData>
    <row r="1" spans="1:84" x14ac:dyDescent="0.25">
      <c r="A1" s="279" t="s">
        <v>270</v>
      </c>
      <c r="B1" s="280"/>
      <c r="C1" s="45" t="s">
        <v>160</v>
      </c>
      <c r="D1" s="58" t="s">
        <v>159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239"/>
      <c r="Z1" s="239"/>
      <c r="AA1" s="239"/>
      <c r="AB1" s="239"/>
      <c r="AC1" s="239"/>
      <c r="AD1" s="239"/>
      <c r="AE1" s="239"/>
      <c r="AF1" s="239"/>
      <c r="AG1" s="239"/>
      <c r="AH1" s="239"/>
      <c r="AI1" s="239"/>
      <c r="AJ1" s="239"/>
      <c r="AK1" s="239"/>
      <c r="AL1" s="239"/>
      <c r="AM1" s="239"/>
      <c r="AN1" s="239"/>
      <c r="AO1" s="239"/>
      <c r="AP1" s="239"/>
      <c r="AQ1" s="239"/>
      <c r="AR1" s="239"/>
      <c r="AS1" s="239"/>
      <c r="AT1" s="239"/>
      <c r="AU1" s="239"/>
      <c r="AV1" s="239"/>
      <c r="AW1" s="239"/>
      <c r="AX1" s="239"/>
      <c r="AY1" s="239"/>
      <c r="AZ1" s="239"/>
      <c r="BA1" s="239"/>
      <c r="BB1" s="239"/>
      <c r="BC1" s="239"/>
      <c r="BD1" s="239"/>
      <c r="BE1" s="239"/>
      <c r="BF1" s="239"/>
      <c r="BG1" s="239"/>
      <c r="BH1" s="239"/>
      <c r="BI1" s="239"/>
      <c r="BJ1" s="239"/>
      <c r="BK1" s="239"/>
      <c r="BL1" s="239"/>
      <c r="BM1" s="239"/>
      <c r="BN1" s="239"/>
      <c r="BO1" s="239"/>
      <c r="BP1" s="239"/>
      <c r="BQ1" s="239"/>
      <c r="BR1" s="239"/>
      <c r="BS1" s="239"/>
      <c r="BT1" s="239"/>
      <c r="BU1" s="239"/>
      <c r="BV1" s="239"/>
      <c r="BW1" s="239"/>
      <c r="BX1" s="239"/>
      <c r="BY1" s="239"/>
      <c r="BZ1" s="239"/>
      <c r="CA1" s="239"/>
      <c r="CB1" s="239"/>
      <c r="CC1" s="239"/>
      <c r="CD1" s="43"/>
      <c r="CE1" s="43"/>
      <c r="CF1" s="44"/>
    </row>
    <row r="2" spans="1:84" ht="60" customHeight="1" x14ac:dyDescent="0.25">
      <c r="A2" s="281" t="s">
        <v>718</v>
      </c>
      <c r="B2" s="282"/>
      <c r="C2" s="48" t="s">
        <v>150</v>
      </c>
      <c r="D2" s="48" t="s">
        <v>150</v>
      </c>
      <c r="E2" s="48" t="s">
        <v>150</v>
      </c>
      <c r="F2" s="48" t="s">
        <v>150</v>
      </c>
      <c r="G2" s="48" t="s">
        <v>150</v>
      </c>
      <c r="H2" s="48" t="s">
        <v>150</v>
      </c>
      <c r="I2" s="48" t="s">
        <v>150</v>
      </c>
      <c r="J2" s="48" t="s">
        <v>150</v>
      </c>
      <c r="K2" s="48" t="s">
        <v>150</v>
      </c>
      <c r="L2" s="48" t="s">
        <v>150</v>
      </c>
      <c r="M2" s="48" t="s">
        <v>150</v>
      </c>
      <c r="N2" s="48" t="s">
        <v>150</v>
      </c>
      <c r="O2" s="48" t="s">
        <v>150</v>
      </c>
      <c r="P2" s="48" t="s">
        <v>150</v>
      </c>
      <c r="Q2" s="48" t="s">
        <v>150</v>
      </c>
      <c r="R2" s="48" t="s">
        <v>150</v>
      </c>
      <c r="S2" s="48" t="s">
        <v>150</v>
      </c>
      <c r="T2" s="48" t="s">
        <v>150</v>
      </c>
      <c r="U2" s="48" t="s">
        <v>150</v>
      </c>
      <c r="V2" s="48" t="s">
        <v>150</v>
      </c>
      <c r="W2" s="48" t="s">
        <v>150</v>
      </c>
      <c r="X2" s="48" t="s">
        <v>150</v>
      </c>
      <c r="Y2" s="48" t="s">
        <v>150</v>
      </c>
      <c r="Z2" s="48" t="s">
        <v>150</v>
      </c>
      <c r="AA2" s="48" t="s">
        <v>150</v>
      </c>
      <c r="AB2" s="48" t="s">
        <v>150</v>
      </c>
      <c r="AC2" s="48" t="s">
        <v>150</v>
      </c>
      <c r="AD2" s="48" t="s">
        <v>150</v>
      </c>
      <c r="AE2" s="48" t="s">
        <v>150</v>
      </c>
      <c r="AF2" s="48" t="s">
        <v>150</v>
      </c>
      <c r="AG2" s="48" t="s">
        <v>150</v>
      </c>
      <c r="AH2" s="48" t="s">
        <v>150</v>
      </c>
      <c r="AI2" s="48" t="s">
        <v>150</v>
      </c>
      <c r="AJ2" s="48" t="s">
        <v>150</v>
      </c>
      <c r="AK2" s="48" t="s">
        <v>150</v>
      </c>
      <c r="AL2" s="48" t="s">
        <v>150</v>
      </c>
      <c r="AM2" s="48" t="s">
        <v>150</v>
      </c>
      <c r="AN2" s="48" t="s">
        <v>150</v>
      </c>
      <c r="AO2" s="48" t="s">
        <v>150</v>
      </c>
      <c r="AP2" s="49" t="s">
        <v>151</v>
      </c>
      <c r="AQ2" s="26" t="s">
        <v>151</v>
      </c>
      <c r="AR2" s="26" t="s">
        <v>151</v>
      </c>
      <c r="AS2" s="26" t="s">
        <v>151</v>
      </c>
      <c r="AT2" s="26" t="s">
        <v>151</v>
      </c>
      <c r="AU2" s="26" t="s">
        <v>151</v>
      </c>
      <c r="AV2" s="26" t="s">
        <v>151</v>
      </c>
      <c r="AW2" s="26" t="s">
        <v>151</v>
      </c>
      <c r="AX2" s="26" t="s">
        <v>151</v>
      </c>
      <c r="AY2" s="26" t="s">
        <v>151</v>
      </c>
      <c r="AZ2" s="26" t="s">
        <v>151</v>
      </c>
      <c r="BA2" s="26" t="s">
        <v>151</v>
      </c>
      <c r="BB2" s="26" t="s">
        <v>151</v>
      </c>
      <c r="BC2" s="26" t="s">
        <v>151</v>
      </c>
      <c r="BD2" s="26" t="s">
        <v>151</v>
      </c>
      <c r="BE2" s="26" t="s">
        <v>151</v>
      </c>
      <c r="BF2" s="26" t="s">
        <v>151</v>
      </c>
      <c r="BG2" s="26" t="s">
        <v>151</v>
      </c>
      <c r="BH2" s="27" t="s">
        <v>152</v>
      </c>
      <c r="BI2" s="27" t="s">
        <v>152</v>
      </c>
      <c r="BJ2" s="28" t="s">
        <v>153</v>
      </c>
      <c r="BK2" s="28" t="s">
        <v>153</v>
      </c>
      <c r="BL2" s="28" t="s">
        <v>153</v>
      </c>
      <c r="BM2" s="28" t="s">
        <v>153</v>
      </c>
      <c r="BN2" s="28" t="s">
        <v>153</v>
      </c>
      <c r="BO2" s="28" t="s">
        <v>153</v>
      </c>
      <c r="BP2" s="28" t="s">
        <v>153</v>
      </c>
      <c r="BQ2" s="28" t="s">
        <v>153</v>
      </c>
      <c r="BR2" s="28" t="s">
        <v>153</v>
      </c>
      <c r="BS2" s="28" t="s">
        <v>153</v>
      </c>
      <c r="BT2" s="28" t="s">
        <v>153</v>
      </c>
      <c r="BU2" s="28" t="s">
        <v>153</v>
      </c>
      <c r="BV2" s="28" t="s">
        <v>153</v>
      </c>
      <c r="BW2" s="28" t="s">
        <v>153</v>
      </c>
      <c r="BX2" s="28" t="s">
        <v>153</v>
      </c>
      <c r="BY2" s="28" t="s">
        <v>153</v>
      </c>
      <c r="BZ2" s="28" t="s">
        <v>153</v>
      </c>
      <c r="CA2" s="28" t="s">
        <v>153</v>
      </c>
      <c r="CB2" s="28" t="s">
        <v>154</v>
      </c>
      <c r="CC2" s="28" t="s">
        <v>154</v>
      </c>
      <c r="CD2" s="29" t="s">
        <v>21</v>
      </c>
      <c r="CE2" s="29" t="s">
        <v>156</v>
      </c>
      <c r="CF2" s="30" t="s">
        <v>158</v>
      </c>
    </row>
    <row r="3" spans="1:84" ht="172.5" x14ac:dyDescent="0.25">
      <c r="A3" s="31" t="s">
        <v>148</v>
      </c>
      <c r="B3" s="32" t="s">
        <v>149</v>
      </c>
      <c r="C3" s="33" t="s">
        <v>388</v>
      </c>
      <c r="D3" s="33" t="s">
        <v>566</v>
      </c>
      <c r="E3" s="33" t="s">
        <v>567</v>
      </c>
      <c r="F3" s="33" t="s">
        <v>565</v>
      </c>
      <c r="G3" s="33" t="s">
        <v>563</v>
      </c>
      <c r="H3" s="33" t="s">
        <v>276</v>
      </c>
      <c r="I3" s="33" t="s">
        <v>392</v>
      </c>
      <c r="J3" s="33" t="s">
        <v>131</v>
      </c>
      <c r="K3" s="33" t="s">
        <v>569</v>
      </c>
      <c r="L3" s="33" t="s">
        <v>568</v>
      </c>
      <c r="M3" s="33" t="s">
        <v>603</v>
      </c>
      <c r="N3" s="33" t="s">
        <v>604</v>
      </c>
      <c r="O3" s="33" t="s">
        <v>285</v>
      </c>
      <c r="P3" s="33" t="s">
        <v>286</v>
      </c>
      <c r="Q3" s="33" t="s">
        <v>605</v>
      </c>
      <c r="R3" s="33" t="s">
        <v>423</v>
      </c>
      <c r="S3" s="33" t="s">
        <v>606</v>
      </c>
      <c r="T3" s="33" t="s">
        <v>274</v>
      </c>
      <c r="U3" s="33" t="s">
        <v>258</v>
      </c>
      <c r="V3" s="33" t="s">
        <v>259</v>
      </c>
      <c r="W3" s="33" t="s">
        <v>380</v>
      </c>
      <c r="X3" s="33" t="s">
        <v>381</v>
      </c>
      <c r="Y3" s="33" t="s">
        <v>382</v>
      </c>
      <c r="Z3" s="33" t="s">
        <v>280</v>
      </c>
      <c r="AA3" s="33" t="s">
        <v>281</v>
      </c>
      <c r="AB3" s="33" t="s">
        <v>135</v>
      </c>
      <c r="AC3" s="33" t="s">
        <v>618</v>
      </c>
      <c r="AD3" s="33" t="s">
        <v>132</v>
      </c>
      <c r="AE3" s="33" t="s">
        <v>230</v>
      </c>
      <c r="AF3" s="33" t="s">
        <v>231</v>
      </c>
      <c r="AG3" s="33" t="s">
        <v>233</v>
      </c>
      <c r="AH3" s="33" t="s">
        <v>279</v>
      </c>
      <c r="AI3" s="33" t="s">
        <v>277</v>
      </c>
      <c r="AJ3" s="33" t="s">
        <v>210</v>
      </c>
      <c r="AK3" s="33" t="s">
        <v>212</v>
      </c>
      <c r="AL3" s="33" t="s">
        <v>234</v>
      </c>
      <c r="AM3" s="33" t="s">
        <v>424</v>
      </c>
      <c r="AN3" s="33" t="s">
        <v>278</v>
      </c>
      <c r="AO3" s="33" t="s">
        <v>422</v>
      </c>
      <c r="AP3" s="34" t="s">
        <v>422</v>
      </c>
      <c r="AQ3" s="34" t="s">
        <v>281</v>
      </c>
      <c r="AR3" s="34" t="s">
        <v>618</v>
      </c>
      <c r="AS3" s="34" t="s">
        <v>330</v>
      </c>
      <c r="AT3" s="34" t="s">
        <v>278</v>
      </c>
      <c r="AU3" s="34" t="s">
        <v>569</v>
      </c>
      <c r="AV3" s="34" t="s">
        <v>568</v>
      </c>
      <c r="AW3" s="34" t="s">
        <v>329</v>
      </c>
      <c r="AX3" s="34" t="s">
        <v>393</v>
      </c>
      <c r="AY3" s="34" t="s">
        <v>276</v>
      </c>
      <c r="AZ3" s="34" t="s">
        <v>424</v>
      </c>
      <c r="BA3" s="34" t="s">
        <v>342</v>
      </c>
      <c r="BB3" s="34" t="s">
        <v>343</v>
      </c>
      <c r="BC3" s="34" t="s">
        <v>344</v>
      </c>
      <c r="BD3" s="34" t="s">
        <v>280</v>
      </c>
      <c r="BE3" s="34" t="s">
        <v>277</v>
      </c>
      <c r="BF3" s="34" t="s">
        <v>279</v>
      </c>
      <c r="BG3" s="34" t="s">
        <v>392</v>
      </c>
      <c r="BH3" s="34" t="s">
        <v>272</v>
      </c>
      <c r="BI3" s="34" t="s">
        <v>55</v>
      </c>
      <c r="BJ3" s="35" t="s">
        <v>422</v>
      </c>
      <c r="BK3" s="35" t="s">
        <v>281</v>
      </c>
      <c r="BL3" s="35" t="s">
        <v>618</v>
      </c>
      <c r="BM3" s="35" t="s">
        <v>330</v>
      </c>
      <c r="BN3" s="35" t="s">
        <v>278</v>
      </c>
      <c r="BO3" s="35" t="s">
        <v>569</v>
      </c>
      <c r="BP3" s="35" t="s">
        <v>568</v>
      </c>
      <c r="BQ3" s="35" t="s">
        <v>329</v>
      </c>
      <c r="BR3" s="35" t="s">
        <v>393</v>
      </c>
      <c r="BS3" s="35" t="s">
        <v>276</v>
      </c>
      <c r="BT3" s="35" t="s">
        <v>424</v>
      </c>
      <c r="BU3" s="35" t="s">
        <v>342</v>
      </c>
      <c r="BV3" s="35" t="s">
        <v>343</v>
      </c>
      <c r="BW3" s="35" t="s">
        <v>344</v>
      </c>
      <c r="BX3" s="35" t="s">
        <v>280</v>
      </c>
      <c r="BY3" s="35" t="s">
        <v>277</v>
      </c>
      <c r="BZ3" s="35" t="s">
        <v>279</v>
      </c>
      <c r="CA3" s="35" t="s">
        <v>392</v>
      </c>
      <c r="CB3" s="35" t="s">
        <v>272</v>
      </c>
      <c r="CC3" s="35" t="s">
        <v>55</v>
      </c>
      <c r="CD3" s="29" t="s">
        <v>155</v>
      </c>
      <c r="CE3" s="29" t="s">
        <v>157</v>
      </c>
      <c r="CF3" s="30"/>
    </row>
    <row r="4" spans="1:84" x14ac:dyDescent="0.25">
      <c r="A4" s="36">
        <v>1</v>
      </c>
      <c r="B4" s="46" t="s">
        <v>161</v>
      </c>
      <c r="C4" s="56">
        <v>0</v>
      </c>
      <c r="D4" s="56">
        <v>0</v>
      </c>
      <c r="E4" s="56">
        <v>0</v>
      </c>
      <c r="F4" s="56">
        <v>0</v>
      </c>
      <c r="G4" s="56">
        <v>0</v>
      </c>
      <c r="H4" s="56">
        <v>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6">
        <v>0</v>
      </c>
      <c r="O4" s="56">
        <v>0</v>
      </c>
      <c r="P4" s="56">
        <v>0</v>
      </c>
      <c r="Q4" s="56">
        <v>0</v>
      </c>
      <c r="R4" s="56">
        <v>0</v>
      </c>
      <c r="S4" s="56">
        <v>0</v>
      </c>
      <c r="T4" s="56">
        <v>0</v>
      </c>
      <c r="U4" s="56">
        <v>-180</v>
      </c>
      <c r="V4" s="56">
        <v>-180</v>
      </c>
      <c r="W4" s="56">
        <v>-360</v>
      </c>
      <c r="X4" s="56">
        <v>-360</v>
      </c>
      <c r="Y4" s="56">
        <v>0</v>
      </c>
      <c r="Z4" s="56">
        <v>0</v>
      </c>
      <c r="AA4" s="56">
        <v>0</v>
      </c>
      <c r="AB4" s="56">
        <v>100</v>
      </c>
      <c r="AC4" s="56">
        <v>-900</v>
      </c>
      <c r="AD4" s="56">
        <v>1</v>
      </c>
      <c r="AE4" s="56">
        <v>0</v>
      </c>
      <c r="AF4" s="56">
        <v>0</v>
      </c>
      <c r="AG4" s="56">
        <v>0</v>
      </c>
      <c r="AH4" s="56">
        <v>0</v>
      </c>
      <c r="AI4" s="56">
        <v>0</v>
      </c>
      <c r="AJ4" s="56">
        <v>10</v>
      </c>
      <c r="AK4" s="56">
        <v>0</v>
      </c>
      <c r="AL4" s="56">
        <v>0</v>
      </c>
      <c r="AM4" s="56">
        <v>0</v>
      </c>
      <c r="AN4" s="56">
        <v>0</v>
      </c>
      <c r="AO4" s="56">
        <v>0</v>
      </c>
      <c r="AP4" s="37" t="s">
        <v>159</v>
      </c>
      <c r="AQ4" s="37" t="s">
        <v>159</v>
      </c>
      <c r="AR4" s="37" t="s">
        <v>159</v>
      </c>
      <c r="AS4" s="37" t="s">
        <v>159</v>
      </c>
      <c r="AT4" s="37" t="s">
        <v>159</v>
      </c>
      <c r="AU4" s="37" t="s">
        <v>159</v>
      </c>
      <c r="AV4" s="37" t="s">
        <v>159</v>
      </c>
      <c r="AW4" s="37" t="s">
        <v>159</v>
      </c>
      <c r="AX4" s="37" t="s">
        <v>159</v>
      </c>
      <c r="AY4" s="37" t="s">
        <v>159</v>
      </c>
      <c r="AZ4" s="37" t="s">
        <v>159</v>
      </c>
      <c r="BA4" s="37" t="s">
        <v>159</v>
      </c>
      <c r="BB4" s="37" t="s">
        <v>159</v>
      </c>
      <c r="BC4" s="37" t="s">
        <v>159</v>
      </c>
      <c r="BD4" s="37" t="s">
        <v>159</v>
      </c>
      <c r="BE4" s="37" t="s">
        <v>159</v>
      </c>
      <c r="BF4" s="37" t="s">
        <v>159</v>
      </c>
      <c r="BG4" s="37" t="s">
        <v>159</v>
      </c>
      <c r="BH4" s="37" t="s">
        <v>159</v>
      </c>
      <c r="BI4" s="37" t="s">
        <v>159</v>
      </c>
      <c r="BJ4" s="46">
        <v>0</v>
      </c>
      <c r="BK4" s="46">
        <v>0</v>
      </c>
      <c r="BL4" s="46">
        <v>-900</v>
      </c>
      <c r="BM4" s="46">
        <v>-900</v>
      </c>
      <c r="BN4" s="46">
        <v>0</v>
      </c>
      <c r="BO4" s="46">
        <v>0</v>
      </c>
      <c r="BP4" s="46">
        <v>0</v>
      </c>
      <c r="BQ4" s="46">
        <v>0</v>
      </c>
      <c r="BR4" s="46">
        <v>0</v>
      </c>
      <c r="BS4" s="46">
        <v>0</v>
      </c>
      <c r="BT4" s="46">
        <v>0</v>
      </c>
      <c r="BU4" s="69" t="s">
        <v>930</v>
      </c>
      <c r="BV4" s="69" t="s">
        <v>925</v>
      </c>
      <c r="BW4" s="69" t="s">
        <v>925</v>
      </c>
      <c r="BX4" s="69">
        <v>0</v>
      </c>
      <c r="BY4" s="69">
        <v>0</v>
      </c>
      <c r="BZ4" s="69">
        <v>0</v>
      </c>
      <c r="CA4" s="69">
        <v>0</v>
      </c>
      <c r="CB4" s="46">
        <v>1</v>
      </c>
      <c r="CC4" s="46">
        <v>2</v>
      </c>
      <c r="CD4" s="50" t="s">
        <v>159</v>
      </c>
      <c r="CE4" s="37"/>
      <c r="CF4" s="38"/>
    </row>
    <row r="5" spans="1:84" x14ac:dyDescent="0.25">
      <c r="A5" s="36">
        <v>2</v>
      </c>
      <c r="B5" s="46" t="s">
        <v>162</v>
      </c>
      <c r="C5" s="56">
        <v>2</v>
      </c>
      <c r="D5" s="56">
        <v>1</v>
      </c>
      <c r="E5" s="56">
        <v>1</v>
      </c>
      <c r="F5" s="56">
        <v>1</v>
      </c>
      <c r="G5" s="56">
        <v>1</v>
      </c>
      <c r="H5" s="56">
        <v>1</v>
      </c>
      <c r="I5" s="56">
        <v>1</v>
      </c>
      <c r="J5" s="56">
        <v>1</v>
      </c>
      <c r="K5" s="56">
        <v>1</v>
      </c>
      <c r="L5" s="56">
        <v>1</v>
      </c>
      <c r="M5" s="56">
        <v>65535</v>
      </c>
      <c r="N5" s="56">
        <v>65535</v>
      </c>
      <c r="O5" s="56">
        <v>360</v>
      </c>
      <c r="P5" s="56">
        <v>360</v>
      </c>
      <c r="Q5" s="56">
        <v>4</v>
      </c>
      <c r="R5" s="56">
        <v>511</v>
      </c>
      <c r="S5" s="56">
        <v>31</v>
      </c>
      <c r="T5" s="56">
        <v>4488</v>
      </c>
      <c r="U5" s="56">
        <v>360</v>
      </c>
      <c r="V5" s="56">
        <v>360</v>
      </c>
      <c r="W5" s="56">
        <v>360</v>
      </c>
      <c r="X5" s="56">
        <v>360</v>
      </c>
      <c r="Y5" s="56">
        <v>4488</v>
      </c>
      <c r="Z5" s="56">
        <v>22</v>
      </c>
      <c r="AA5" s="56">
        <v>3600</v>
      </c>
      <c r="AB5" s="56">
        <v>1800</v>
      </c>
      <c r="AC5" s="56">
        <v>900</v>
      </c>
      <c r="AD5" s="56">
        <v>100</v>
      </c>
      <c r="AE5" s="56">
        <v>100</v>
      </c>
      <c r="AF5" s="56">
        <v>50</v>
      </c>
      <c r="AG5" s="56">
        <v>50</v>
      </c>
      <c r="AH5" s="56">
        <v>100</v>
      </c>
      <c r="AI5" s="56">
        <v>255</v>
      </c>
      <c r="AJ5" s="56">
        <v>255</v>
      </c>
      <c r="AK5" s="56">
        <v>50</v>
      </c>
      <c r="AL5" s="56">
        <v>50</v>
      </c>
      <c r="AM5" s="56">
        <v>6</v>
      </c>
      <c r="AN5" s="56">
        <v>1</v>
      </c>
      <c r="AO5" s="56">
        <v>1800</v>
      </c>
      <c r="AP5" s="37" t="s">
        <v>159</v>
      </c>
      <c r="AQ5" s="37" t="s">
        <v>159</v>
      </c>
      <c r="AR5" s="37" t="s">
        <v>159</v>
      </c>
      <c r="AS5" s="37" t="s">
        <v>159</v>
      </c>
      <c r="AT5" s="37" t="s">
        <v>159</v>
      </c>
      <c r="AU5" s="37" t="s">
        <v>159</v>
      </c>
      <c r="AV5" s="37" t="s">
        <v>159</v>
      </c>
      <c r="AW5" s="37" t="s">
        <v>159</v>
      </c>
      <c r="AX5" s="37" t="s">
        <v>159</v>
      </c>
      <c r="AY5" s="37" t="s">
        <v>159</v>
      </c>
      <c r="AZ5" s="37" t="s">
        <v>159</v>
      </c>
      <c r="BA5" s="37" t="s">
        <v>159</v>
      </c>
      <c r="BB5" s="37" t="s">
        <v>159</v>
      </c>
      <c r="BC5" s="37" t="s">
        <v>159</v>
      </c>
      <c r="BD5" s="37" t="s">
        <v>159</v>
      </c>
      <c r="BE5" s="37" t="s">
        <v>159</v>
      </c>
      <c r="BF5" s="37" t="s">
        <v>159</v>
      </c>
      <c r="BG5" s="37" t="s">
        <v>159</v>
      </c>
      <c r="BH5" s="37" t="s">
        <v>159</v>
      </c>
      <c r="BI5" s="37" t="s">
        <v>159</v>
      </c>
      <c r="BJ5" s="46">
        <v>1800</v>
      </c>
      <c r="BK5" s="46">
        <v>3600</v>
      </c>
      <c r="BL5" s="46">
        <v>900</v>
      </c>
      <c r="BM5" s="46">
        <v>900</v>
      </c>
      <c r="BN5" s="46">
        <v>1</v>
      </c>
      <c r="BO5" s="46">
        <v>1</v>
      </c>
      <c r="BP5" s="46">
        <v>1</v>
      </c>
      <c r="BQ5" s="46">
        <v>1</v>
      </c>
      <c r="BR5" s="46">
        <v>1</v>
      </c>
      <c r="BS5" s="46">
        <v>1</v>
      </c>
      <c r="BT5" s="46">
        <v>6</v>
      </c>
      <c r="BU5" s="69" t="s">
        <v>925</v>
      </c>
      <c r="BV5" s="69" t="s">
        <v>925</v>
      </c>
      <c r="BW5" s="69" t="s">
        <v>925</v>
      </c>
      <c r="BX5" s="69">
        <v>22</v>
      </c>
      <c r="BY5" s="69">
        <v>255</v>
      </c>
      <c r="BZ5" s="69">
        <v>100</v>
      </c>
      <c r="CA5" s="69">
        <v>1</v>
      </c>
      <c r="CB5" s="46">
        <v>1</v>
      </c>
      <c r="CC5" s="46">
        <v>0</v>
      </c>
      <c r="CD5" s="50" t="s">
        <v>159</v>
      </c>
      <c r="CE5" s="37"/>
      <c r="CF5" s="38"/>
    </row>
    <row r="6" spans="1:84" x14ac:dyDescent="0.25">
      <c r="A6" s="36">
        <v>3</v>
      </c>
      <c r="B6" s="46" t="s">
        <v>873</v>
      </c>
      <c r="C6" s="56">
        <v>0</v>
      </c>
      <c r="D6" s="46">
        <v>0</v>
      </c>
      <c r="E6" s="46">
        <v>1</v>
      </c>
      <c r="F6" s="46">
        <v>1</v>
      </c>
      <c r="G6" s="46">
        <v>0</v>
      </c>
      <c r="H6" s="46">
        <v>0</v>
      </c>
      <c r="I6" s="46">
        <v>1</v>
      </c>
      <c r="J6" s="46">
        <v>1</v>
      </c>
      <c r="K6" s="46">
        <v>0</v>
      </c>
      <c r="L6" s="46">
        <v>0</v>
      </c>
      <c r="M6" s="46">
        <v>22278</v>
      </c>
      <c r="N6" s="46">
        <v>32535</v>
      </c>
      <c r="O6" s="46">
        <v>35.7712</v>
      </c>
      <c r="P6" s="46">
        <v>214.1909</v>
      </c>
      <c r="Q6" s="46">
        <v>1</v>
      </c>
      <c r="R6" s="46">
        <v>0</v>
      </c>
      <c r="S6" s="46">
        <v>2</v>
      </c>
      <c r="T6" s="46">
        <v>201</v>
      </c>
      <c r="U6" s="46">
        <v>-175.2</v>
      </c>
      <c r="V6" s="46">
        <v>358.2</v>
      </c>
      <c r="W6" s="46">
        <v>-39.871899999999997</v>
      </c>
      <c r="X6" s="46">
        <v>341.67230000000001</v>
      </c>
      <c r="Y6" s="46">
        <v>3936</v>
      </c>
      <c r="Z6" s="46">
        <v>12</v>
      </c>
      <c r="AA6" s="46">
        <v>157.2621</v>
      </c>
      <c r="AB6" s="46">
        <v>1649.1143</v>
      </c>
      <c r="AC6" s="46">
        <v>-848.12</v>
      </c>
      <c r="AD6" s="46">
        <v>54.624000000000002</v>
      </c>
      <c r="AE6" s="46">
        <v>31</v>
      </c>
      <c r="AF6" s="46">
        <v>19</v>
      </c>
      <c r="AG6" s="46">
        <v>19</v>
      </c>
      <c r="AH6" s="46">
        <v>81</v>
      </c>
      <c r="AI6" s="46">
        <v>215</v>
      </c>
      <c r="AJ6" s="46">
        <v>178</v>
      </c>
      <c r="AK6" s="46">
        <v>1</v>
      </c>
      <c r="AL6" s="46">
        <v>12</v>
      </c>
      <c r="AM6" s="46">
        <v>6</v>
      </c>
      <c r="AN6" s="46">
        <v>0</v>
      </c>
      <c r="AO6" s="46">
        <v>10.199999999999999</v>
      </c>
      <c r="AP6" s="37" t="s">
        <v>159</v>
      </c>
      <c r="AQ6" s="37" t="s">
        <v>159</v>
      </c>
      <c r="AR6" s="37" t="s">
        <v>159</v>
      </c>
      <c r="AS6" s="37" t="s">
        <v>159</v>
      </c>
      <c r="AT6" s="37" t="s">
        <v>159</v>
      </c>
      <c r="AU6" s="37" t="s">
        <v>159</v>
      </c>
      <c r="AV6" s="37" t="s">
        <v>159</v>
      </c>
      <c r="AW6" s="37" t="s">
        <v>159</v>
      </c>
      <c r="AX6" s="37" t="s">
        <v>159</v>
      </c>
      <c r="AY6" s="37" t="s">
        <v>159</v>
      </c>
      <c r="AZ6" s="37" t="s">
        <v>159</v>
      </c>
      <c r="BA6" s="37" t="s">
        <v>159</v>
      </c>
      <c r="BB6" s="37" t="s">
        <v>159</v>
      </c>
      <c r="BC6" s="37" t="s">
        <v>159</v>
      </c>
      <c r="BD6" s="37" t="s">
        <v>159</v>
      </c>
      <c r="BE6" s="37" t="s">
        <v>159</v>
      </c>
      <c r="BF6" s="37" t="s">
        <v>159</v>
      </c>
      <c r="BG6" s="37" t="s">
        <v>159</v>
      </c>
      <c r="BH6" s="37" t="s">
        <v>159</v>
      </c>
      <c r="BI6" s="37" t="s">
        <v>159</v>
      </c>
      <c r="BJ6" s="46">
        <v>10.199999999999999</v>
      </c>
      <c r="BK6" s="46">
        <v>435.6431</v>
      </c>
      <c r="BL6" s="46">
        <v>-464.3569</v>
      </c>
      <c r="BM6" s="46">
        <v>-464.3569</v>
      </c>
      <c r="BN6" s="46">
        <v>0</v>
      </c>
      <c r="BO6" s="46">
        <v>0</v>
      </c>
      <c r="BP6" s="46">
        <v>0</v>
      </c>
      <c r="BQ6" s="46">
        <v>0</v>
      </c>
      <c r="BR6" s="46">
        <v>0</v>
      </c>
      <c r="BS6" s="46">
        <v>0</v>
      </c>
      <c r="BT6" s="46">
        <v>5</v>
      </c>
      <c r="BU6" s="69" t="s">
        <v>939</v>
      </c>
      <c r="BV6" s="69" t="s">
        <v>940</v>
      </c>
      <c r="BW6" s="69" t="s">
        <v>924</v>
      </c>
      <c r="BX6" s="69">
        <v>5</v>
      </c>
      <c r="BY6" s="69">
        <v>178</v>
      </c>
      <c r="BZ6" s="69">
        <v>62</v>
      </c>
      <c r="CA6" s="69">
        <v>1</v>
      </c>
      <c r="CB6" s="46">
        <v>1</v>
      </c>
      <c r="CC6" s="46">
        <v>3</v>
      </c>
      <c r="CD6" s="50" t="s">
        <v>159</v>
      </c>
      <c r="CE6" s="37"/>
      <c r="CF6" s="38"/>
    </row>
    <row r="7" spans="1:84" x14ac:dyDescent="0.25">
      <c r="A7" s="36">
        <v>4</v>
      </c>
      <c r="B7" s="46" t="s">
        <v>875</v>
      </c>
      <c r="C7" s="56">
        <v>2</v>
      </c>
      <c r="D7" s="46">
        <v>0</v>
      </c>
      <c r="E7" s="46">
        <v>0</v>
      </c>
      <c r="F7" s="46">
        <v>1</v>
      </c>
      <c r="G7" s="46">
        <v>0</v>
      </c>
      <c r="H7" s="46">
        <v>0</v>
      </c>
      <c r="I7" s="46">
        <v>0</v>
      </c>
      <c r="J7" s="46">
        <v>1</v>
      </c>
      <c r="K7" s="46">
        <v>0</v>
      </c>
      <c r="L7" s="46">
        <v>1</v>
      </c>
      <c r="M7" s="46">
        <v>9991</v>
      </c>
      <c r="N7" s="46">
        <v>64813</v>
      </c>
      <c r="O7" s="46">
        <v>238.2338</v>
      </c>
      <c r="P7" s="46">
        <v>307.7115</v>
      </c>
      <c r="Q7" s="46">
        <v>0</v>
      </c>
      <c r="R7" s="46">
        <v>12</v>
      </c>
      <c r="S7" s="46">
        <v>9</v>
      </c>
      <c r="T7" s="46">
        <v>102</v>
      </c>
      <c r="U7" s="46">
        <v>-162.19999999999999</v>
      </c>
      <c r="V7" s="46">
        <v>321.3</v>
      </c>
      <c r="W7" s="46">
        <v>84.416799999999995</v>
      </c>
      <c r="X7" s="46">
        <v>85.621300000000005</v>
      </c>
      <c r="Y7" s="46">
        <v>967</v>
      </c>
      <c r="Z7" s="46">
        <v>9</v>
      </c>
      <c r="AA7" s="46">
        <v>2336.8114</v>
      </c>
      <c r="AB7" s="46">
        <v>366.3596</v>
      </c>
      <c r="AC7" s="46">
        <v>-821.4</v>
      </c>
      <c r="AD7" s="46">
        <v>97.139099999999999</v>
      </c>
      <c r="AE7" s="46">
        <v>56</v>
      </c>
      <c r="AF7" s="46">
        <v>18</v>
      </c>
      <c r="AG7" s="46">
        <v>0</v>
      </c>
      <c r="AH7" s="46">
        <v>70</v>
      </c>
      <c r="AI7" s="46">
        <v>23</v>
      </c>
      <c r="AJ7" s="46">
        <v>215</v>
      </c>
      <c r="AK7" s="46">
        <v>2</v>
      </c>
      <c r="AL7" s="46">
        <v>24</v>
      </c>
      <c r="AM7" s="46">
        <v>0</v>
      </c>
      <c r="AN7" s="46">
        <v>0</v>
      </c>
      <c r="AO7" s="46">
        <v>15.5</v>
      </c>
      <c r="AP7" s="37" t="s">
        <v>159</v>
      </c>
      <c r="AQ7" s="37" t="s">
        <v>159</v>
      </c>
      <c r="AR7" s="37" t="s">
        <v>159</v>
      </c>
      <c r="AS7" s="37" t="s">
        <v>159</v>
      </c>
      <c r="AT7" s="37" t="s">
        <v>159</v>
      </c>
      <c r="AU7" s="37" t="s">
        <v>159</v>
      </c>
      <c r="AV7" s="37" t="s">
        <v>159</v>
      </c>
      <c r="AW7" s="37" t="s">
        <v>159</v>
      </c>
      <c r="AX7" s="37" t="s">
        <v>159</v>
      </c>
      <c r="AY7" s="37" t="s">
        <v>159</v>
      </c>
      <c r="AZ7" s="37" t="s">
        <v>159</v>
      </c>
      <c r="BA7" s="37" t="s">
        <v>159</v>
      </c>
      <c r="BB7" s="37" t="s">
        <v>159</v>
      </c>
      <c r="BC7" s="37" t="s">
        <v>159</v>
      </c>
      <c r="BD7" s="37" t="s">
        <v>159</v>
      </c>
      <c r="BE7" s="37" t="s">
        <v>159</v>
      </c>
      <c r="BF7" s="37" t="s">
        <v>159</v>
      </c>
      <c r="BG7" s="37" t="s">
        <v>159</v>
      </c>
      <c r="BH7" s="37" t="s">
        <v>159</v>
      </c>
      <c r="BI7" s="37" t="s">
        <v>159</v>
      </c>
      <c r="BJ7" s="46">
        <v>15.5</v>
      </c>
      <c r="BK7" s="46">
        <v>1233.817</v>
      </c>
      <c r="BL7" s="46">
        <v>333.81700000000001</v>
      </c>
      <c r="BM7" s="46">
        <v>333.81700000000001</v>
      </c>
      <c r="BN7" s="46">
        <v>0</v>
      </c>
      <c r="BO7" s="46">
        <v>0</v>
      </c>
      <c r="BP7" s="46">
        <v>0</v>
      </c>
      <c r="BQ7" s="46">
        <v>0</v>
      </c>
      <c r="BR7" s="46">
        <v>0</v>
      </c>
      <c r="BS7" s="46">
        <v>0</v>
      </c>
      <c r="BT7" s="46">
        <v>0</v>
      </c>
      <c r="BU7" s="69" t="s">
        <v>930</v>
      </c>
      <c r="BV7" s="69" t="s">
        <v>925</v>
      </c>
      <c r="BW7" s="69" t="s">
        <v>925</v>
      </c>
      <c r="BX7" s="69">
        <v>12</v>
      </c>
      <c r="BY7" s="69">
        <v>70</v>
      </c>
      <c r="BZ7" s="69">
        <v>70</v>
      </c>
      <c r="CA7" s="69">
        <v>0</v>
      </c>
      <c r="CB7" s="46">
        <v>1</v>
      </c>
      <c r="CC7" s="46">
        <v>2</v>
      </c>
      <c r="CD7" s="50" t="s">
        <v>159</v>
      </c>
      <c r="CE7" s="37"/>
      <c r="CF7" s="38"/>
    </row>
    <row r="8" spans="1:84" x14ac:dyDescent="0.25">
      <c r="A8" s="36">
        <v>5</v>
      </c>
      <c r="B8" s="46" t="s">
        <v>874</v>
      </c>
      <c r="C8" s="56">
        <v>1</v>
      </c>
      <c r="D8" s="46">
        <v>0</v>
      </c>
      <c r="E8" s="46">
        <v>0</v>
      </c>
      <c r="F8" s="46">
        <v>1</v>
      </c>
      <c r="G8" s="46">
        <v>0</v>
      </c>
      <c r="H8" s="46">
        <v>0</v>
      </c>
      <c r="I8" s="46">
        <v>0</v>
      </c>
      <c r="J8" s="46">
        <v>0</v>
      </c>
      <c r="K8" s="46">
        <v>0</v>
      </c>
      <c r="L8" s="46">
        <v>0</v>
      </c>
      <c r="M8" s="46">
        <v>59360</v>
      </c>
      <c r="N8" s="46">
        <v>55910</v>
      </c>
      <c r="O8" s="46">
        <v>281.08240000000001</v>
      </c>
      <c r="P8" s="46">
        <v>198.8142</v>
      </c>
      <c r="Q8" s="46">
        <v>4</v>
      </c>
      <c r="R8" s="46">
        <v>23</v>
      </c>
      <c r="S8" s="46">
        <v>21</v>
      </c>
      <c r="T8" s="46">
        <v>143</v>
      </c>
      <c r="U8" s="46">
        <v>-149.19999999999999</v>
      </c>
      <c r="V8" s="46">
        <v>284.39999999999998</v>
      </c>
      <c r="W8" s="46">
        <v>314.56970000000001</v>
      </c>
      <c r="X8" s="46">
        <v>27.819099999999999</v>
      </c>
      <c r="Y8" s="46">
        <v>869</v>
      </c>
      <c r="Z8" s="46">
        <v>9</v>
      </c>
      <c r="AA8" s="46">
        <v>3036.8681000000001</v>
      </c>
      <c r="AB8" s="46">
        <v>727.80229999999995</v>
      </c>
      <c r="AC8" s="46">
        <v>-794.68</v>
      </c>
      <c r="AD8" s="46">
        <v>67.048699999999997</v>
      </c>
      <c r="AE8" s="46">
        <v>43</v>
      </c>
      <c r="AF8" s="46">
        <v>21</v>
      </c>
      <c r="AG8" s="46">
        <v>42</v>
      </c>
      <c r="AH8" s="46">
        <v>26</v>
      </c>
      <c r="AI8" s="46">
        <v>2</v>
      </c>
      <c r="AJ8" s="46">
        <v>93</v>
      </c>
      <c r="AK8" s="46">
        <v>3</v>
      </c>
      <c r="AL8" s="46">
        <v>36</v>
      </c>
      <c r="AM8" s="46">
        <v>4</v>
      </c>
      <c r="AN8" s="46">
        <v>1</v>
      </c>
      <c r="AO8" s="46">
        <v>20.8</v>
      </c>
      <c r="AP8" s="37" t="s">
        <v>159</v>
      </c>
      <c r="AQ8" s="37" t="s">
        <v>159</v>
      </c>
      <c r="AR8" s="37" t="s">
        <v>159</v>
      </c>
      <c r="AS8" s="37" t="s">
        <v>159</v>
      </c>
      <c r="AT8" s="37" t="s">
        <v>159</v>
      </c>
      <c r="AU8" s="37" t="s">
        <v>159</v>
      </c>
      <c r="AV8" s="37" t="s">
        <v>159</v>
      </c>
      <c r="AW8" s="37" t="s">
        <v>159</v>
      </c>
      <c r="AX8" s="37" t="s">
        <v>159</v>
      </c>
      <c r="AY8" s="37" t="s">
        <v>159</v>
      </c>
      <c r="AZ8" s="37" t="s">
        <v>159</v>
      </c>
      <c r="BA8" s="37" t="s">
        <v>159</v>
      </c>
      <c r="BB8" s="37" t="s">
        <v>159</v>
      </c>
      <c r="BC8" s="37" t="s">
        <v>159</v>
      </c>
      <c r="BD8" s="37" t="s">
        <v>159</v>
      </c>
      <c r="BE8" s="37" t="s">
        <v>159</v>
      </c>
      <c r="BF8" s="37" t="s">
        <v>159</v>
      </c>
      <c r="BG8" s="37" t="s">
        <v>159</v>
      </c>
      <c r="BH8" s="37" t="s">
        <v>159</v>
      </c>
      <c r="BI8" s="37" t="s">
        <v>159</v>
      </c>
      <c r="BJ8" s="46">
        <v>1059.5432272727301</v>
      </c>
      <c r="BK8" s="46">
        <v>1046.5127</v>
      </c>
      <c r="BL8" s="46">
        <v>159.54322727272699</v>
      </c>
      <c r="BM8" s="46">
        <v>159.54322727272699</v>
      </c>
      <c r="BN8" s="46">
        <v>1</v>
      </c>
      <c r="BO8" s="46">
        <v>0</v>
      </c>
      <c r="BP8" s="46">
        <v>0</v>
      </c>
      <c r="BQ8" s="46">
        <v>0</v>
      </c>
      <c r="BR8" s="46">
        <v>0</v>
      </c>
      <c r="BS8" s="46">
        <v>0</v>
      </c>
      <c r="BT8" s="46">
        <v>3</v>
      </c>
      <c r="BU8" s="69" t="s">
        <v>939</v>
      </c>
      <c r="BV8" s="69" t="s">
        <v>941</v>
      </c>
      <c r="BW8" s="69" t="s">
        <v>924</v>
      </c>
      <c r="BX8" s="69">
        <v>10</v>
      </c>
      <c r="BY8" s="69">
        <v>0</v>
      </c>
      <c r="BZ8" s="69">
        <v>0</v>
      </c>
      <c r="CA8" s="69">
        <v>1</v>
      </c>
      <c r="CB8" s="46">
        <v>1</v>
      </c>
      <c r="CC8" s="46">
        <v>3</v>
      </c>
      <c r="CD8" s="50" t="s">
        <v>159</v>
      </c>
      <c r="CE8" s="37"/>
      <c r="CF8" s="38"/>
    </row>
    <row r="9" spans="1:84" x14ac:dyDescent="0.25">
      <c r="A9" s="36">
        <v>6</v>
      </c>
      <c r="B9" s="46" t="s">
        <v>806</v>
      </c>
      <c r="C9" s="46">
        <v>0</v>
      </c>
      <c r="D9" s="56">
        <v>0</v>
      </c>
      <c r="E9" s="46">
        <v>0</v>
      </c>
      <c r="F9" s="46">
        <v>1</v>
      </c>
      <c r="G9" s="46">
        <v>0</v>
      </c>
      <c r="H9" s="46">
        <v>0</v>
      </c>
      <c r="I9" s="46">
        <v>0</v>
      </c>
      <c r="J9" s="46">
        <v>0</v>
      </c>
      <c r="K9" s="46">
        <v>0</v>
      </c>
      <c r="L9" s="46">
        <v>1</v>
      </c>
      <c r="M9" s="46">
        <v>33473</v>
      </c>
      <c r="N9" s="46">
        <v>11334</v>
      </c>
      <c r="O9" s="46">
        <v>164.7654</v>
      </c>
      <c r="P9" s="46">
        <v>348.9502</v>
      </c>
      <c r="Q9" s="46">
        <v>2</v>
      </c>
      <c r="R9" s="46">
        <v>34</v>
      </c>
      <c r="S9" s="46">
        <v>23</v>
      </c>
      <c r="T9" s="46">
        <v>184</v>
      </c>
      <c r="U9" s="46">
        <v>-136.19999999999999</v>
      </c>
      <c r="V9" s="46">
        <v>247.5</v>
      </c>
      <c r="W9" s="46">
        <v>293.49130000000002</v>
      </c>
      <c r="X9" s="46">
        <v>-249.97130000000001</v>
      </c>
      <c r="Y9" s="46">
        <v>3213</v>
      </c>
      <c r="Z9" s="46">
        <v>7</v>
      </c>
      <c r="AA9" s="46">
        <v>2402.0216999999998</v>
      </c>
      <c r="AB9" s="46">
        <v>1492.6265000000001</v>
      </c>
      <c r="AC9" s="46">
        <v>-767.96</v>
      </c>
      <c r="AD9" s="46">
        <v>58.705399999999997</v>
      </c>
      <c r="AE9" s="46">
        <v>40</v>
      </c>
      <c r="AF9" s="46">
        <v>11</v>
      </c>
      <c r="AG9" s="46">
        <v>34</v>
      </c>
      <c r="AH9" s="46">
        <v>84</v>
      </c>
      <c r="AI9" s="46">
        <v>174</v>
      </c>
      <c r="AJ9" s="46">
        <v>230</v>
      </c>
      <c r="AK9" s="46">
        <v>4</v>
      </c>
      <c r="AL9" s="46">
        <v>48</v>
      </c>
      <c r="AM9" s="46">
        <v>5</v>
      </c>
      <c r="AN9" s="46">
        <v>1</v>
      </c>
      <c r="AO9" s="46">
        <v>26.1</v>
      </c>
      <c r="AP9" s="37" t="s">
        <v>159</v>
      </c>
      <c r="AQ9" s="37" t="s">
        <v>159</v>
      </c>
      <c r="AR9" s="37" t="s">
        <v>159</v>
      </c>
      <c r="AS9" s="37" t="s">
        <v>159</v>
      </c>
      <c r="AT9" s="37" t="s">
        <v>159</v>
      </c>
      <c r="AU9" s="37" t="s">
        <v>159</v>
      </c>
      <c r="AV9" s="37" t="s">
        <v>159</v>
      </c>
      <c r="AW9" s="37" t="s">
        <v>159</v>
      </c>
      <c r="AX9" s="37" t="s">
        <v>159</v>
      </c>
      <c r="AY9" s="37" t="s">
        <v>159</v>
      </c>
      <c r="AZ9" s="37" t="s">
        <v>159</v>
      </c>
      <c r="BA9" s="37" t="s">
        <v>159</v>
      </c>
      <c r="BB9" s="37" t="s">
        <v>159</v>
      </c>
      <c r="BC9" s="37" t="s">
        <v>159</v>
      </c>
      <c r="BD9" s="37" t="s">
        <v>159</v>
      </c>
      <c r="BE9" s="37" t="s">
        <v>159</v>
      </c>
      <c r="BF9" s="37" t="s">
        <v>159</v>
      </c>
      <c r="BG9" s="37" t="s">
        <v>159</v>
      </c>
      <c r="BH9" s="37" t="s">
        <v>159</v>
      </c>
      <c r="BI9" s="37" t="s">
        <v>159</v>
      </c>
      <c r="BJ9" s="46">
        <v>599.509772727273</v>
      </c>
      <c r="BK9" s="46">
        <v>591.27409999999998</v>
      </c>
      <c r="BL9" s="46">
        <v>-300.490227272727</v>
      </c>
      <c r="BM9" s="46">
        <v>-300.490227272727</v>
      </c>
      <c r="BN9" s="46">
        <v>1</v>
      </c>
      <c r="BO9" s="46">
        <v>0</v>
      </c>
      <c r="BP9" s="46">
        <v>0</v>
      </c>
      <c r="BQ9" s="46">
        <v>0</v>
      </c>
      <c r="BR9" s="46">
        <v>0</v>
      </c>
      <c r="BS9" s="46">
        <v>0</v>
      </c>
      <c r="BT9" s="46">
        <v>4</v>
      </c>
      <c r="BU9" s="69" t="s">
        <v>939</v>
      </c>
      <c r="BV9" s="69" t="s">
        <v>941</v>
      </c>
      <c r="BW9" s="69" t="s">
        <v>924</v>
      </c>
      <c r="BX9" s="69">
        <v>6</v>
      </c>
      <c r="BY9" s="69">
        <v>176</v>
      </c>
      <c r="BZ9" s="69">
        <v>50</v>
      </c>
      <c r="CA9" s="69">
        <v>1</v>
      </c>
      <c r="CB9" s="46">
        <v>1</v>
      </c>
      <c r="CC9" s="46">
        <v>3</v>
      </c>
      <c r="CD9" s="50" t="s">
        <v>159</v>
      </c>
      <c r="CE9" s="37"/>
      <c r="CF9" s="38"/>
    </row>
    <row r="10" spans="1:84" x14ac:dyDescent="0.25">
      <c r="A10" s="36">
        <v>7</v>
      </c>
      <c r="B10" s="46" t="s">
        <v>807</v>
      </c>
      <c r="C10" s="46">
        <v>0</v>
      </c>
      <c r="D10" s="56">
        <v>1</v>
      </c>
      <c r="E10" s="46">
        <v>0</v>
      </c>
      <c r="F10" s="46">
        <v>1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51673</v>
      </c>
      <c r="N10" s="46">
        <v>43523</v>
      </c>
      <c r="O10" s="46">
        <v>3.2176</v>
      </c>
      <c r="P10" s="46">
        <v>134.89760000000001</v>
      </c>
      <c r="Q10" s="46">
        <v>1</v>
      </c>
      <c r="R10" s="46">
        <v>45</v>
      </c>
      <c r="S10" s="46">
        <v>26</v>
      </c>
      <c r="T10" s="46">
        <v>225</v>
      </c>
      <c r="U10" s="46">
        <v>-123.2</v>
      </c>
      <c r="V10" s="46">
        <v>210.6</v>
      </c>
      <c r="W10" s="46">
        <v>286.2724</v>
      </c>
      <c r="X10" s="46">
        <v>-90.821200000000005</v>
      </c>
      <c r="Y10" s="46">
        <v>2094</v>
      </c>
      <c r="Z10" s="46">
        <v>21</v>
      </c>
      <c r="AA10" s="46">
        <v>2386.2766999999999</v>
      </c>
      <c r="AB10" s="46">
        <v>773.6345</v>
      </c>
      <c r="AC10" s="46">
        <v>-741.24</v>
      </c>
      <c r="AD10" s="46">
        <v>98.328699999999998</v>
      </c>
      <c r="AE10" s="46">
        <v>48</v>
      </c>
      <c r="AF10" s="46">
        <v>0</v>
      </c>
      <c r="AG10" s="46">
        <v>49</v>
      </c>
      <c r="AH10" s="46">
        <v>53</v>
      </c>
      <c r="AI10" s="46">
        <v>19</v>
      </c>
      <c r="AJ10" s="46">
        <v>58</v>
      </c>
      <c r="AK10" s="46">
        <v>5</v>
      </c>
      <c r="AL10" s="46">
        <v>46</v>
      </c>
      <c r="AM10" s="46">
        <v>0</v>
      </c>
      <c r="AN10" s="46">
        <v>0</v>
      </c>
      <c r="AO10" s="46">
        <v>31.4</v>
      </c>
      <c r="AP10" s="37" t="s">
        <v>159</v>
      </c>
      <c r="AQ10" s="37" t="s">
        <v>159</v>
      </c>
      <c r="AR10" s="37" t="s">
        <v>159</v>
      </c>
      <c r="AS10" s="37" t="s">
        <v>159</v>
      </c>
      <c r="AT10" s="37" t="s">
        <v>159</v>
      </c>
      <c r="AU10" s="37" t="s">
        <v>159</v>
      </c>
      <c r="AV10" s="37" t="s">
        <v>159</v>
      </c>
      <c r="AW10" s="37" t="s">
        <v>159</v>
      </c>
      <c r="AX10" s="37" t="s">
        <v>159</v>
      </c>
      <c r="AY10" s="37" t="s">
        <v>159</v>
      </c>
      <c r="AZ10" s="37" t="s">
        <v>159</v>
      </c>
      <c r="BA10" s="37" t="s">
        <v>159</v>
      </c>
      <c r="BB10" s="37" t="s">
        <v>159</v>
      </c>
      <c r="BC10" s="37" t="s">
        <v>159</v>
      </c>
      <c r="BD10" s="37" t="s">
        <v>159</v>
      </c>
      <c r="BE10" s="37" t="s">
        <v>159</v>
      </c>
      <c r="BF10" s="37" t="s">
        <v>159</v>
      </c>
      <c r="BG10" s="37" t="s">
        <v>159</v>
      </c>
      <c r="BH10" s="37" t="s">
        <v>159</v>
      </c>
      <c r="BI10" s="37" t="s">
        <v>159</v>
      </c>
      <c r="BJ10" s="46">
        <v>429.87218181818201</v>
      </c>
      <c r="BK10" s="46">
        <v>436.9452</v>
      </c>
      <c r="BL10" s="46">
        <v>-470.12781818181799</v>
      </c>
      <c r="BM10" s="46">
        <v>-470.12781818181799</v>
      </c>
      <c r="BN10" s="46">
        <v>0</v>
      </c>
      <c r="BO10" s="46">
        <v>0</v>
      </c>
      <c r="BP10" s="46">
        <v>0</v>
      </c>
      <c r="BQ10" s="46">
        <v>0</v>
      </c>
      <c r="BR10" s="46">
        <v>0</v>
      </c>
      <c r="BS10" s="46">
        <v>0</v>
      </c>
      <c r="BT10" s="46">
        <v>0</v>
      </c>
      <c r="BU10" s="69" t="s">
        <v>930</v>
      </c>
      <c r="BV10" s="69" t="s">
        <v>925</v>
      </c>
      <c r="BW10" s="69" t="s">
        <v>925</v>
      </c>
      <c r="BX10" s="69">
        <v>5</v>
      </c>
      <c r="BY10" s="69">
        <v>4</v>
      </c>
      <c r="BZ10" s="69">
        <v>4</v>
      </c>
      <c r="CA10" s="69">
        <v>0</v>
      </c>
      <c r="CB10" s="46">
        <v>1</v>
      </c>
      <c r="CC10" s="46">
        <v>2</v>
      </c>
      <c r="CD10" s="50" t="s">
        <v>159</v>
      </c>
      <c r="CE10" s="37"/>
      <c r="CF10" s="38"/>
    </row>
    <row r="11" spans="1:84" x14ac:dyDescent="0.25">
      <c r="A11" s="36">
        <v>8</v>
      </c>
      <c r="B11" s="46" t="s">
        <v>808</v>
      </c>
      <c r="C11" s="46">
        <v>0</v>
      </c>
      <c r="D11" s="46">
        <v>0</v>
      </c>
      <c r="E11" s="56">
        <v>0</v>
      </c>
      <c r="F11" s="46">
        <v>1</v>
      </c>
      <c r="G11" s="46">
        <v>0</v>
      </c>
      <c r="H11" s="46">
        <v>0</v>
      </c>
      <c r="I11" s="46">
        <v>1</v>
      </c>
      <c r="J11" s="46">
        <v>0</v>
      </c>
      <c r="K11" s="46">
        <v>0</v>
      </c>
      <c r="L11" s="46">
        <v>1</v>
      </c>
      <c r="M11" s="46">
        <v>22639</v>
      </c>
      <c r="N11" s="46">
        <v>57045</v>
      </c>
      <c r="O11" s="46">
        <v>220.95150000000001</v>
      </c>
      <c r="P11" s="46">
        <v>49.4131</v>
      </c>
      <c r="Q11" s="46">
        <v>1</v>
      </c>
      <c r="R11" s="46">
        <v>56</v>
      </c>
      <c r="S11" s="46">
        <v>2</v>
      </c>
      <c r="T11" s="46">
        <v>266</v>
      </c>
      <c r="U11" s="46">
        <v>-110.2</v>
      </c>
      <c r="V11" s="46">
        <v>173.7</v>
      </c>
      <c r="W11" s="46">
        <v>267.64609999999999</v>
      </c>
      <c r="X11" s="46">
        <v>-236.73929999999999</v>
      </c>
      <c r="Y11" s="46">
        <v>1032</v>
      </c>
      <c r="Z11" s="46">
        <v>17</v>
      </c>
      <c r="AA11" s="46">
        <v>495.04259999999999</v>
      </c>
      <c r="AB11" s="46">
        <v>530.39229999999998</v>
      </c>
      <c r="AC11" s="46">
        <v>-714.52</v>
      </c>
      <c r="AD11" s="46">
        <v>4.9713000000000003</v>
      </c>
      <c r="AE11" s="46">
        <v>100</v>
      </c>
      <c r="AF11" s="46">
        <v>24</v>
      </c>
      <c r="AG11" s="46">
        <v>30</v>
      </c>
      <c r="AH11" s="46">
        <v>42</v>
      </c>
      <c r="AI11" s="46">
        <v>17</v>
      </c>
      <c r="AJ11" s="46">
        <v>237</v>
      </c>
      <c r="AK11" s="46">
        <v>6</v>
      </c>
      <c r="AL11" s="46">
        <v>44</v>
      </c>
      <c r="AM11" s="46">
        <v>0</v>
      </c>
      <c r="AN11" s="46">
        <v>0</v>
      </c>
      <c r="AO11" s="46">
        <v>36.700000000000003</v>
      </c>
      <c r="AP11" s="37" t="s">
        <v>159</v>
      </c>
      <c r="AQ11" s="37" t="s">
        <v>159</v>
      </c>
      <c r="AR11" s="37" t="s">
        <v>159</v>
      </c>
      <c r="AS11" s="37" t="s">
        <v>159</v>
      </c>
      <c r="AT11" s="37" t="s">
        <v>159</v>
      </c>
      <c r="AU11" s="37" t="s">
        <v>159</v>
      </c>
      <c r="AV11" s="37" t="s">
        <v>159</v>
      </c>
      <c r="AW11" s="37" t="s">
        <v>159</v>
      </c>
      <c r="AX11" s="37" t="s">
        <v>159</v>
      </c>
      <c r="AY11" s="37" t="s">
        <v>159</v>
      </c>
      <c r="AZ11" s="37" t="s">
        <v>159</v>
      </c>
      <c r="BA11" s="37" t="s">
        <v>159</v>
      </c>
      <c r="BB11" s="37" t="s">
        <v>159</v>
      </c>
      <c r="BC11" s="37" t="s">
        <v>159</v>
      </c>
      <c r="BD11" s="37" t="s">
        <v>159</v>
      </c>
      <c r="BE11" s="37" t="s">
        <v>159</v>
      </c>
      <c r="BF11" s="37" t="s">
        <v>159</v>
      </c>
      <c r="BG11" s="37" t="s">
        <v>159</v>
      </c>
      <c r="BH11" s="37" t="s">
        <v>159</v>
      </c>
      <c r="BI11" s="37" t="s">
        <v>159</v>
      </c>
      <c r="BJ11" s="46">
        <v>1766.43290909091</v>
      </c>
      <c r="BK11" s="46">
        <v>1753.3054</v>
      </c>
      <c r="BL11" s="46">
        <v>866.43290909090899</v>
      </c>
      <c r="BM11" s="46">
        <v>866.43290909090899</v>
      </c>
      <c r="BN11" s="46">
        <v>0</v>
      </c>
      <c r="BO11" s="46">
        <v>0</v>
      </c>
      <c r="BP11" s="46">
        <v>0</v>
      </c>
      <c r="BQ11" s="46">
        <v>0</v>
      </c>
      <c r="BR11" s="46">
        <v>0</v>
      </c>
      <c r="BS11" s="46">
        <v>0</v>
      </c>
      <c r="BT11" s="46">
        <v>0</v>
      </c>
      <c r="BU11" s="69" t="s">
        <v>930</v>
      </c>
      <c r="BV11" s="69" t="s">
        <v>925</v>
      </c>
      <c r="BW11" s="69" t="s">
        <v>925</v>
      </c>
      <c r="BX11" s="69">
        <v>16</v>
      </c>
      <c r="BY11" s="69">
        <v>12</v>
      </c>
      <c r="BZ11" s="69">
        <v>12</v>
      </c>
      <c r="CA11" s="69">
        <v>1</v>
      </c>
      <c r="CB11" s="46">
        <v>1</v>
      </c>
      <c r="CC11" s="46">
        <v>2</v>
      </c>
      <c r="CD11" s="50" t="s">
        <v>159</v>
      </c>
      <c r="CE11" s="37"/>
      <c r="CF11" s="38"/>
    </row>
    <row r="12" spans="1:84" x14ac:dyDescent="0.25">
      <c r="A12" s="36">
        <v>9</v>
      </c>
      <c r="B12" s="46" t="s">
        <v>809</v>
      </c>
      <c r="C12" s="46">
        <v>2</v>
      </c>
      <c r="D12" s="46">
        <v>1</v>
      </c>
      <c r="E12" s="56">
        <v>1</v>
      </c>
      <c r="F12" s="46">
        <v>1</v>
      </c>
      <c r="G12" s="46">
        <v>0</v>
      </c>
      <c r="H12" s="46">
        <v>0</v>
      </c>
      <c r="I12" s="46">
        <v>1</v>
      </c>
      <c r="J12" s="46">
        <v>0</v>
      </c>
      <c r="K12" s="46">
        <v>0</v>
      </c>
      <c r="L12" s="46">
        <v>1</v>
      </c>
      <c r="M12" s="46">
        <v>63076</v>
      </c>
      <c r="N12" s="46">
        <v>48073</v>
      </c>
      <c r="O12" s="46">
        <v>311.755</v>
      </c>
      <c r="P12" s="46">
        <v>266.6703</v>
      </c>
      <c r="Q12" s="46">
        <v>4</v>
      </c>
      <c r="R12" s="46">
        <v>67</v>
      </c>
      <c r="S12" s="46">
        <v>21</v>
      </c>
      <c r="T12" s="46">
        <v>307</v>
      </c>
      <c r="U12" s="46">
        <v>-97.2</v>
      </c>
      <c r="V12" s="46">
        <v>136.80000000000001</v>
      </c>
      <c r="W12" s="46">
        <v>130.97059999999999</v>
      </c>
      <c r="X12" s="46">
        <v>58.753999999999998</v>
      </c>
      <c r="Y12" s="46">
        <v>3976</v>
      </c>
      <c r="Z12" s="46">
        <v>15</v>
      </c>
      <c r="AA12" s="46">
        <v>269.8082</v>
      </c>
      <c r="AB12" s="46">
        <v>555.36839999999995</v>
      </c>
      <c r="AC12" s="46">
        <v>-687.8</v>
      </c>
      <c r="AD12" s="46">
        <v>15.567500000000001</v>
      </c>
      <c r="AE12" s="46">
        <v>98</v>
      </c>
      <c r="AF12" s="46">
        <v>7</v>
      </c>
      <c r="AG12" s="46">
        <v>28</v>
      </c>
      <c r="AH12" s="46">
        <v>70</v>
      </c>
      <c r="AI12" s="46">
        <v>247</v>
      </c>
      <c r="AJ12" s="46">
        <v>143</v>
      </c>
      <c r="AK12" s="46">
        <v>7</v>
      </c>
      <c r="AL12" s="46">
        <v>42</v>
      </c>
      <c r="AM12" s="46">
        <v>4</v>
      </c>
      <c r="AN12" s="46">
        <v>1</v>
      </c>
      <c r="AO12" s="46">
        <v>42</v>
      </c>
      <c r="AP12" s="37" t="s">
        <v>159</v>
      </c>
      <c r="AQ12" s="37" t="s">
        <v>159</v>
      </c>
      <c r="AR12" s="37" t="s">
        <v>159</v>
      </c>
      <c r="AS12" s="37" t="s">
        <v>159</v>
      </c>
      <c r="AT12" s="37" t="s">
        <v>159</v>
      </c>
      <c r="AU12" s="37" t="s">
        <v>159</v>
      </c>
      <c r="AV12" s="37" t="s">
        <v>159</v>
      </c>
      <c r="AW12" s="37" t="s">
        <v>159</v>
      </c>
      <c r="AX12" s="37" t="s">
        <v>159</v>
      </c>
      <c r="AY12" s="37" t="s">
        <v>159</v>
      </c>
      <c r="AZ12" s="37" t="s">
        <v>159</v>
      </c>
      <c r="BA12" s="37" t="s">
        <v>159</v>
      </c>
      <c r="BB12" s="37" t="s">
        <v>159</v>
      </c>
      <c r="BC12" s="37" t="s">
        <v>159</v>
      </c>
      <c r="BD12" s="37" t="s">
        <v>159</v>
      </c>
      <c r="BE12" s="37" t="s">
        <v>159</v>
      </c>
      <c r="BF12" s="37" t="s">
        <v>159</v>
      </c>
      <c r="BG12" s="37" t="s">
        <v>159</v>
      </c>
      <c r="BH12" s="37" t="s">
        <v>159</v>
      </c>
      <c r="BI12" s="37" t="s">
        <v>159</v>
      </c>
      <c r="BJ12" s="46">
        <v>912.68922727272695</v>
      </c>
      <c r="BK12" s="46">
        <v>900.78440000000001</v>
      </c>
      <c r="BL12" s="46">
        <v>12.689227272727299</v>
      </c>
      <c r="BM12" s="46">
        <v>12.689227272727299</v>
      </c>
      <c r="BN12" s="46">
        <v>1</v>
      </c>
      <c r="BO12" s="46">
        <v>0</v>
      </c>
      <c r="BP12" s="46">
        <v>0</v>
      </c>
      <c r="BQ12" s="46">
        <v>0</v>
      </c>
      <c r="BR12" s="46">
        <v>0</v>
      </c>
      <c r="BS12" s="46">
        <v>0</v>
      </c>
      <c r="BT12" s="46">
        <v>3</v>
      </c>
      <c r="BU12" s="69" t="s">
        <v>939</v>
      </c>
      <c r="BV12" s="69" t="s">
        <v>942</v>
      </c>
      <c r="BW12" s="69" t="s">
        <v>924</v>
      </c>
      <c r="BX12" s="69">
        <v>9</v>
      </c>
      <c r="BY12" s="69">
        <v>143</v>
      </c>
      <c r="BZ12" s="69">
        <v>42</v>
      </c>
      <c r="CA12" s="69">
        <v>1</v>
      </c>
      <c r="CB12" s="46">
        <v>1</v>
      </c>
      <c r="CC12" s="46">
        <v>3</v>
      </c>
      <c r="CD12" s="50" t="s">
        <v>159</v>
      </c>
      <c r="CE12" s="37"/>
      <c r="CF12" s="38"/>
    </row>
    <row r="13" spans="1:84" x14ac:dyDescent="0.25">
      <c r="A13" s="36">
        <v>10</v>
      </c>
      <c r="B13" s="46" t="s">
        <v>810</v>
      </c>
      <c r="C13" s="46">
        <v>2</v>
      </c>
      <c r="D13" s="46">
        <v>1</v>
      </c>
      <c r="E13" s="46">
        <v>1</v>
      </c>
      <c r="F13" s="56">
        <v>0</v>
      </c>
      <c r="G13" s="46">
        <v>0</v>
      </c>
      <c r="H13" s="46">
        <v>0</v>
      </c>
      <c r="I13" s="46">
        <v>0</v>
      </c>
      <c r="J13" s="46">
        <v>0</v>
      </c>
      <c r="K13" s="46">
        <v>0</v>
      </c>
      <c r="L13" s="46">
        <v>0</v>
      </c>
      <c r="M13" s="46">
        <v>19893</v>
      </c>
      <c r="N13" s="46">
        <v>6388</v>
      </c>
      <c r="O13" s="46">
        <v>101.1955</v>
      </c>
      <c r="P13" s="46">
        <v>315.46069999999997</v>
      </c>
      <c r="Q13" s="46">
        <v>4</v>
      </c>
      <c r="R13" s="46">
        <v>78</v>
      </c>
      <c r="S13" s="46">
        <v>30</v>
      </c>
      <c r="T13" s="46">
        <v>348</v>
      </c>
      <c r="U13" s="46">
        <v>-84.2</v>
      </c>
      <c r="V13" s="46">
        <v>99.9</v>
      </c>
      <c r="W13" s="46">
        <v>-138.95910000000001</v>
      </c>
      <c r="X13" s="46">
        <v>-34.991500000000002</v>
      </c>
      <c r="Y13" s="46">
        <v>2212</v>
      </c>
      <c r="Z13" s="46">
        <v>0</v>
      </c>
      <c r="AA13" s="46">
        <v>3093.7066</v>
      </c>
      <c r="AB13" s="46">
        <v>1679.9984999999999</v>
      </c>
      <c r="AC13" s="46">
        <v>-661.08</v>
      </c>
      <c r="AD13" s="46">
        <v>37.524900000000002</v>
      </c>
      <c r="AE13" s="46">
        <v>77</v>
      </c>
      <c r="AF13" s="46">
        <v>37</v>
      </c>
      <c r="AG13" s="46">
        <v>45</v>
      </c>
      <c r="AH13" s="46">
        <v>56</v>
      </c>
      <c r="AI13" s="46">
        <v>59</v>
      </c>
      <c r="AJ13" s="46">
        <v>157</v>
      </c>
      <c r="AK13" s="46">
        <v>8</v>
      </c>
      <c r="AL13" s="46">
        <v>40</v>
      </c>
      <c r="AM13" s="46">
        <v>0</v>
      </c>
      <c r="AN13" s="46">
        <v>1</v>
      </c>
      <c r="AO13" s="46">
        <v>1702</v>
      </c>
      <c r="AP13" s="37" t="s">
        <v>159</v>
      </c>
      <c r="AQ13" s="37" t="s">
        <v>159</v>
      </c>
      <c r="AR13" s="37" t="s">
        <v>159</v>
      </c>
      <c r="AS13" s="37" t="s">
        <v>159</v>
      </c>
      <c r="AT13" s="37" t="s">
        <v>159</v>
      </c>
      <c r="AU13" s="37" t="s">
        <v>159</v>
      </c>
      <c r="AV13" s="37" t="s">
        <v>159</v>
      </c>
      <c r="AW13" s="37" t="s">
        <v>159</v>
      </c>
      <c r="AX13" s="37" t="s">
        <v>159</v>
      </c>
      <c r="AY13" s="37" t="s">
        <v>159</v>
      </c>
      <c r="AZ13" s="37" t="s">
        <v>159</v>
      </c>
      <c r="BA13" s="37" t="s">
        <v>159</v>
      </c>
      <c r="BB13" s="37" t="s">
        <v>159</v>
      </c>
      <c r="BC13" s="37" t="s">
        <v>159</v>
      </c>
      <c r="BD13" s="37" t="s">
        <v>159</v>
      </c>
      <c r="BE13" s="37" t="s">
        <v>159</v>
      </c>
      <c r="BF13" s="37" t="s">
        <v>159</v>
      </c>
      <c r="BG13" s="37" t="s">
        <v>159</v>
      </c>
      <c r="BH13" s="37" t="s">
        <v>159</v>
      </c>
      <c r="BI13" s="37" t="s">
        <v>159</v>
      </c>
      <c r="BJ13" s="46">
        <v>1702</v>
      </c>
      <c r="BK13" s="46">
        <v>3093.7066</v>
      </c>
      <c r="BL13" s="46">
        <v>-661.08</v>
      </c>
      <c r="BM13" s="46">
        <v>-661.08</v>
      </c>
      <c r="BN13" s="46">
        <v>1</v>
      </c>
      <c r="BO13" s="46">
        <v>0</v>
      </c>
      <c r="BP13" s="46">
        <v>0</v>
      </c>
      <c r="BQ13" s="46">
        <v>0</v>
      </c>
      <c r="BR13" s="46">
        <v>0</v>
      </c>
      <c r="BS13" s="46">
        <v>0</v>
      </c>
      <c r="BT13" s="46">
        <v>0</v>
      </c>
      <c r="BU13" s="69" t="s">
        <v>930</v>
      </c>
      <c r="BV13" s="69" t="s">
        <v>925</v>
      </c>
      <c r="BW13" s="69" t="s">
        <v>925</v>
      </c>
      <c r="BX13" s="69">
        <v>0</v>
      </c>
      <c r="BY13" s="69">
        <v>59</v>
      </c>
      <c r="BZ13" s="69">
        <v>56</v>
      </c>
      <c r="CA13" s="69">
        <v>0</v>
      </c>
      <c r="CB13" s="46">
        <v>1</v>
      </c>
      <c r="CC13" s="46">
        <v>2</v>
      </c>
      <c r="CD13" s="50" t="s">
        <v>159</v>
      </c>
      <c r="CE13" s="37"/>
      <c r="CF13" s="38"/>
    </row>
    <row r="14" spans="1:84" x14ac:dyDescent="0.25">
      <c r="A14" s="36">
        <v>11</v>
      </c>
      <c r="B14" s="46" t="s">
        <v>811</v>
      </c>
      <c r="C14" s="46">
        <v>0</v>
      </c>
      <c r="D14" s="46">
        <v>1</v>
      </c>
      <c r="E14" s="46">
        <v>0</v>
      </c>
      <c r="F14" s="56">
        <v>1</v>
      </c>
      <c r="G14" s="46">
        <v>0</v>
      </c>
      <c r="H14" s="46">
        <v>0</v>
      </c>
      <c r="I14" s="46">
        <v>1</v>
      </c>
      <c r="J14" s="46">
        <v>0</v>
      </c>
      <c r="K14" s="46">
        <v>0</v>
      </c>
      <c r="L14" s="46">
        <v>1</v>
      </c>
      <c r="M14" s="46">
        <v>14324</v>
      </c>
      <c r="N14" s="46">
        <v>40496</v>
      </c>
      <c r="O14" s="46">
        <v>221.38159999999999</v>
      </c>
      <c r="P14" s="46">
        <v>295.60629999999998</v>
      </c>
      <c r="Q14" s="46">
        <v>1</v>
      </c>
      <c r="R14" s="46">
        <v>89</v>
      </c>
      <c r="S14" s="46">
        <v>20</v>
      </c>
      <c r="T14" s="46">
        <v>389</v>
      </c>
      <c r="U14" s="46">
        <v>-71.2</v>
      </c>
      <c r="V14" s="46">
        <v>63</v>
      </c>
      <c r="W14" s="46">
        <v>21.8385</v>
      </c>
      <c r="X14" s="46">
        <v>66.122900000000001</v>
      </c>
      <c r="Y14" s="46">
        <v>2608</v>
      </c>
      <c r="Z14" s="46">
        <v>0</v>
      </c>
      <c r="AA14" s="46">
        <v>402.21409999999997</v>
      </c>
      <c r="AB14" s="46">
        <v>887.39189999999996</v>
      </c>
      <c r="AC14" s="46">
        <v>-634.36</v>
      </c>
      <c r="AD14" s="46">
        <v>98.674300000000002</v>
      </c>
      <c r="AE14" s="46">
        <v>47</v>
      </c>
      <c r="AF14" s="46">
        <v>2</v>
      </c>
      <c r="AG14" s="46">
        <v>45</v>
      </c>
      <c r="AH14" s="46">
        <v>83</v>
      </c>
      <c r="AI14" s="46">
        <v>115</v>
      </c>
      <c r="AJ14" s="46">
        <v>175</v>
      </c>
      <c r="AK14" s="46">
        <v>9</v>
      </c>
      <c r="AL14" s="46">
        <v>38</v>
      </c>
      <c r="AM14" s="46">
        <v>1</v>
      </c>
      <c r="AN14" s="46">
        <v>0</v>
      </c>
      <c r="AO14" s="46">
        <v>52.6</v>
      </c>
      <c r="AP14" s="37" t="s">
        <v>159</v>
      </c>
      <c r="AQ14" s="37" t="s">
        <v>159</v>
      </c>
      <c r="AR14" s="37" t="s">
        <v>159</v>
      </c>
      <c r="AS14" s="37" t="s">
        <v>159</v>
      </c>
      <c r="AT14" s="37" t="s">
        <v>159</v>
      </c>
      <c r="AU14" s="37" t="s">
        <v>159</v>
      </c>
      <c r="AV14" s="37" t="s">
        <v>159</v>
      </c>
      <c r="AW14" s="37" t="s">
        <v>159</v>
      </c>
      <c r="AX14" s="37" t="s">
        <v>159</v>
      </c>
      <c r="AY14" s="37" t="s">
        <v>159</v>
      </c>
      <c r="AZ14" s="37" t="s">
        <v>159</v>
      </c>
      <c r="BA14" s="37" t="s">
        <v>159</v>
      </c>
      <c r="BB14" s="37" t="s">
        <v>159</v>
      </c>
      <c r="BC14" s="37" t="s">
        <v>159</v>
      </c>
      <c r="BD14" s="37" t="s">
        <v>159</v>
      </c>
      <c r="BE14" s="37" t="s">
        <v>159</v>
      </c>
      <c r="BF14" s="37" t="s">
        <v>159</v>
      </c>
      <c r="BG14" s="37" t="s">
        <v>159</v>
      </c>
      <c r="BH14" s="37" t="s">
        <v>159</v>
      </c>
      <c r="BI14" s="37" t="s">
        <v>159</v>
      </c>
      <c r="BJ14" s="46">
        <v>922.49245454545496</v>
      </c>
      <c r="BK14" s="46">
        <v>919.54309999999998</v>
      </c>
      <c r="BL14" s="46">
        <v>22.4924545454545</v>
      </c>
      <c r="BM14" s="46">
        <v>22.4924545454545</v>
      </c>
      <c r="BN14" s="46">
        <v>0</v>
      </c>
      <c r="BO14" s="46">
        <v>0</v>
      </c>
      <c r="BP14" s="46">
        <v>0</v>
      </c>
      <c r="BQ14" s="46">
        <v>0</v>
      </c>
      <c r="BR14" s="46">
        <v>0</v>
      </c>
      <c r="BS14" s="46">
        <v>0</v>
      </c>
      <c r="BT14" s="46">
        <v>0</v>
      </c>
      <c r="BU14" s="69" t="s">
        <v>930</v>
      </c>
      <c r="BV14" s="69" t="s">
        <v>925</v>
      </c>
      <c r="BW14" s="69" t="s">
        <v>925</v>
      </c>
      <c r="BX14" s="69">
        <v>9</v>
      </c>
      <c r="BY14" s="69">
        <v>115</v>
      </c>
      <c r="BZ14" s="69">
        <v>38</v>
      </c>
      <c r="CA14" s="69">
        <v>1</v>
      </c>
      <c r="CB14" s="46">
        <v>1</v>
      </c>
      <c r="CC14" s="46">
        <v>2</v>
      </c>
      <c r="CD14" s="50" t="s">
        <v>159</v>
      </c>
      <c r="CE14" s="37"/>
      <c r="CF14" s="38"/>
    </row>
    <row r="15" spans="1:84" x14ac:dyDescent="0.25">
      <c r="A15" s="36">
        <v>12</v>
      </c>
      <c r="B15" s="46" t="s">
        <v>694</v>
      </c>
      <c r="C15" s="46">
        <v>2</v>
      </c>
      <c r="D15" s="46">
        <v>0</v>
      </c>
      <c r="E15" s="46">
        <v>1</v>
      </c>
      <c r="F15" s="46">
        <v>1</v>
      </c>
      <c r="G15" s="56">
        <v>0</v>
      </c>
      <c r="H15" s="46">
        <v>0</v>
      </c>
      <c r="I15" s="46">
        <v>0</v>
      </c>
      <c r="J15" s="46">
        <v>1</v>
      </c>
      <c r="K15" s="46">
        <v>0</v>
      </c>
      <c r="L15" s="46">
        <v>0</v>
      </c>
      <c r="M15" s="46">
        <v>58577</v>
      </c>
      <c r="N15" s="46">
        <v>44126</v>
      </c>
      <c r="O15" s="46">
        <v>196.72380000000001</v>
      </c>
      <c r="P15" s="46">
        <v>98.238500000000002</v>
      </c>
      <c r="Q15" s="46">
        <v>2</v>
      </c>
      <c r="R15" s="46">
        <v>100</v>
      </c>
      <c r="S15" s="46">
        <v>24</v>
      </c>
      <c r="T15" s="46">
        <v>430</v>
      </c>
      <c r="U15" s="46">
        <v>-58.2</v>
      </c>
      <c r="V15" s="46">
        <v>26.1</v>
      </c>
      <c r="W15" s="46">
        <v>147.7311</v>
      </c>
      <c r="X15" s="46">
        <v>-162.2115</v>
      </c>
      <c r="Y15" s="46">
        <v>1793</v>
      </c>
      <c r="Z15" s="46">
        <v>4</v>
      </c>
      <c r="AA15" s="46">
        <v>2731.4616999999998</v>
      </c>
      <c r="AB15" s="46">
        <v>324.55520000000001</v>
      </c>
      <c r="AC15" s="46">
        <v>-607.64</v>
      </c>
      <c r="AD15" s="46">
        <v>83.056799999999996</v>
      </c>
      <c r="AE15" s="46">
        <v>69</v>
      </c>
      <c r="AF15" s="46">
        <v>1</v>
      </c>
      <c r="AG15" s="46">
        <v>19</v>
      </c>
      <c r="AH15" s="46">
        <v>63</v>
      </c>
      <c r="AI15" s="46">
        <v>41</v>
      </c>
      <c r="AJ15" s="46">
        <v>10</v>
      </c>
      <c r="AK15" s="46">
        <v>10</v>
      </c>
      <c r="AL15" s="46">
        <v>36</v>
      </c>
      <c r="AM15" s="46">
        <v>1</v>
      </c>
      <c r="AN15" s="46">
        <v>1</v>
      </c>
      <c r="AO15" s="46">
        <v>57.9</v>
      </c>
      <c r="AP15" s="37" t="s">
        <v>159</v>
      </c>
      <c r="AQ15" s="37" t="s">
        <v>159</v>
      </c>
      <c r="AR15" s="37" t="s">
        <v>159</v>
      </c>
      <c r="AS15" s="37" t="s">
        <v>159</v>
      </c>
      <c r="AT15" s="37" t="s">
        <v>159</v>
      </c>
      <c r="AU15" s="37" t="s">
        <v>159</v>
      </c>
      <c r="AV15" s="37" t="s">
        <v>159</v>
      </c>
      <c r="AW15" s="37" t="s">
        <v>159</v>
      </c>
      <c r="AX15" s="37" t="s">
        <v>159</v>
      </c>
      <c r="AY15" s="37" t="s">
        <v>159</v>
      </c>
      <c r="AZ15" s="37" t="s">
        <v>159</v>
      </c>
      <c r="BA15" s="37" t="s">
        <v>159</v>
      </c>
      <c r="BB15" s="37" t="s">
        <v>159</v>
      </c>
      <c r="BC15" s="37" t="s">
        <v>159</v>
      </c>
      <c r="BD15" s="37" t="s">
        <v>159</v>
      </c>
      <c r="BE15" s="37" t="s">
        <v>159</v>
      </c>
      <c r="BF15" s="37" t="s">
        <v>159</v>
      </c>
      <c r="BG15" s="37" t="s">
        <v>159</v>
      </c>
      <c r="BH15" s="37" t="s">
        <v>159</v>
      </c>
      <c r="BI15" s="37" t="s">
        <v>159</v>
      </c>
      <c r="BJ15" s="46">
        <v>57.9</v>
      </c>
      <c r="BK15" s="46">
        <v>768.99270000000001</v>
      </c>
      <c r="BL15" s="46">
        <v>-131.00729999999999</v>
      </c>
      <c r="BM15" s="46">
        <v>-131.00729999999999</v>
      </c>
      <c r="BN15" s="46">
        <v>1</v>
      </c>
      <c r="BO15" s="46">
        <v>0</v>
      </c>
      <c r="BP15" s="46">
        <v>0</v>
      </c>
      <c r="BQ15" s="46">
        <v>0</v>
      </c>
      <c r="BR15" s="46">
        <v>0</v>
      </c>
      <c r="BS15" s="46">
        <v>0</v>
      </c>
      <c r="BT15" s="46">
        <v>0</v>
      </c>
      <c r="BU15" s="69" t="s">
        <v>939</v>
      </c>
      <c r="BV15" s="69" t="s">
        <v>942</v>
      </c>
      <c r="BW15" s="69" t="s">
        <v>924</v>
      </c>
      <c r="BX15" s="69">
        <v>8</v>
      </c>
      <c r="BY15" s="69">
        <v>10</v>
      </c>
      <c r="BZ15" s="69">
        <v>44</v>
      </c>
      <c r="CA15" s="69">
        <v>1</v>
      </c>
      <c r="CB15" s="46">
        <v>1</v>
      </c>
      <c r="CC15" s="46">
        <v>3</v>
      </c>
      <c r="CD15" s="50" t="s">
        <v>159</v>
      </c>
      <c r="CE15" s="37"/>
      <c r="CF15" s="38"/>
    </row>
    <row r="16" spans="1:84" x14ac:dyDescent="0.25">
      <c r="A16" s="36">
        <v>13</v>
      </c>
      <c r="B16" s="46" t="s">
        <v>695</v>
      </c>
      <c r="C16" s="46">
        <v>2</v>
      </c>
      <c r="D16" s="46">
        <v>1</v>
      </c>
      <c r="E16" s="46">
        <v>1</v>
      </c>
      <c r="F16" s="46">
        <v>1</v>
      </c>
      <c r="G16" s="56">
        <v>1</v>
      </c>
      <c r="H16" s="46">
        <v>0</v>
      </c>
      <c r="I16" s="46">
        <v>0</v>
      </c>
      <c r="J16" s="46">
        <v>0</v>
      </c>
      <c r="K16" s="46">
        <v>0</v>
      </c>
      <c r="L16" s="46">
        <v>0</v>
      </c>
      <c r="M16" s="46">
        <v>7446</v>
      </c>
      <c r="N16" s="46">
        <v>20294</v>
      </c>
      <c r="O16" s="46">
        <v>229.80549999999999</v>
      </c>
      <c r="P16" s="46">
        <v>163.33600000000001</v>
      </c>
      <c r="Q16" s="46">
        <v>0</v>
      </c>
      <c r="R16" s="46">
        <v>111</v>
      </c>
      <c r="S16" s="46">
        <v>7</v>
      </c>
      <c r="T16" s="46">
        <v>471</v>
      </c>
      <c r="U16" s="46">
        <v>-45.2</v>
      </c>
      <c r="V16" s="46">
        <v>-10.8</v>
      </c>
      <c r="W16" s="46">
        <v>-150.45699999999999</v>
      </c>
      <c r="X16" s="46">
        <v>264.93669999999997</v>
      </c>
      <c r="Y16" s="46">
        <v>4407</v>
      </c>
      <c r="Z16" s="46">
        <v>1</v>
      </c>
      <c r="AA16" s="46">
        <v>556.39020000000005</v>
      </c>
      <c r="AB16" s="46">
        <v>997.42250000000001</v>
      </c>
      <c r="AC16" s="46">
        <v>-580.91999999999996</v>
      </c>
      <c r="AD16" s="46">
        <v>50.0974</v>
      </c>
      <c r="AE16" s="46">
        <v>2</v>
      </c>
      <c r="AF16" s="46">
        <v>5</v>
      </c>
      <c r="AG16" s="46">
        <v>13</v>
      </c>
      <c r="AH16" s="46">
        <v>14</v>
      </c>
      <c r="AI16" s="46">
        <v>107</v>
      </c>
      <c r="AJ16" s="46">
        <v>238</v>
      </c>
      <c r="AK16" s="46">
        <v>11</v>
      </c>
      <c r="AL16" s="46">
        <v>34</v>
      </c>
      <c r="AM16" s="46">
        <v>4</v>
      </c>
      <c r="AN16" s="46">
        <v>0</v>
      </c>
      <c r="AO16" s="46">
        <v>63.2</v>
      </c>
      <c r="AP16" s="37" t="s">
        <v>159</v>
      </c>
      <c r="AQ16" s="37" t="s">
        <v>159</v>
      </c>
      <c r="AR16" s="37" t="s">
        <v>159</v>
      </c>
      <c r="AS16" s="37" t="s">
        <v>159</v>
      </c>
      <c r="AT16" s="37" t="s">
        <v>159</v>
      </c>
      <c r="AU16" s="37" t="s">
        <v>159</v>
      </c>
      <c r="AV16" s="37" t="s">
        <v>159</v>
      </c>
      <c r="AW16" s="37" t="s">
        <v>159</v>
      </c>
      <c r="AX16" s="37" t="s">
        <v>159</v>
      </c>
      <c r="AY16" s="37" t="s">
        <v>159</v>
      </c>
      <c r="AZ16" s="37" t="s">
        <v>159</v>
      </c>
      <c r="BA16" s="37" t="s">
        <v>159</v>
      </c>
      <c r="BB16" s="37" t="s">
        <v>159</v>
      </c>
      <c r="BC16" s="37" t="s">
        <v>159</v>
      </c>
      <c r="BD16" s="37" t="s">
        <v>159</v>
      </c>
      <c r="BE16" s="37" t="s">
        <v>159</v>
      </c>
      <c r="BF16" s="37" t="s">
        <v>159</v>
      </c>
      <c r="BG16" s="37" t="s">
        <v>159</v>
      </c>
      <c r="BH16" s="37" t="s">
        <v>159</v>
      </c>
      <c r="BI16" s="37" t="s">
        <v>159</v>
      </c>
      <c r="BJ16" s="46">
        <v>63.2</v>
      </c>
      <c r="BK16" s="46">
        <v>556.39020000000005</v>
      </c>
      <c r="BL16" s="46">
        <v>-580.91999999999996</v>
      </c>
      <c r="BM16" s="46">
        <v>-580.91999999999996</v>
      </c>
      <c r="BN16" s="46">
        <v>0</v>
      </c>
      <c r="BO16" s="46">
        <v>0</v>
      </c>
      <c r="BP16" s="46">
        <v>0</v>
      </c>
      <c r="BQ16" s="46">
        <v>0</v>
      </c>
      <c r="BR16" s="46">
        <v>0</v>
      </c>
      <c r="BS16" s="46">
        <v>0</v>
      </c>
      <c r="BT16" s="46">
        <v>4</v>
      </c>
      <c r="BU16" s="69" t="s">
        <v>925</v>
      </c>
      <c r="BV16" s="69" t="s">
        <v>925</v>
      </c>
      <c r="BW16" s="69" t="s">
        <v>925</v>
      </c>
      <c r="BX16" s="69">
        <v>1</v>
      </c>
      <c r="BY16" s="69">
        <v>107</v>
      </c>
      <c r="BZ16" s="69">
        <v>14</v>
      </c>
      <c r="CA16" s="69">
        <v>0</v>
      </c>
      <c r="CB16" s="46">
        <v>1</v>
      </c>
      <c r="CC16" s="46">
        <v>0</v>
      </c>
      <c r="CD16" s="50" t="s">
        <v>159</v>
      </c>
      <c r="CE16" s="37"/>
      <c r="CF16" s="38"/>
    </row>
    <row r="17" spans="1:84" x14ac:dyDescent="0.25">
      <c r="A17" s="36">
        <v>14</v>
      </c>
      <c r="B17" s="46" t="s">
        <v>812</v>
      </c>
      <c r="C17" s="46">
        <v>2</v>
      </c>
      <c r="D17" s="46">
        <v>0</v>
      </c>
      <c r="E17" s="46">
        <v>1</v>
      </c>
      <c r="F17" s="46">
        <v>1</v>
      </c>
      <c r="G17" s="46">
        <v>0</v>
      </c>
      <c r="H17" s="56">
        <v>0</v>
      </c>
      <c r="I17" s="46">
        <v>0</v>
      </c>
      <c r="J17" s="46">
        <v>0</v>
      </c>
      <c r="K17" s="46">
        <v>0</v>
      </c>
      <c r="L17" s="46">
        <v>0</v>
      </c>
      <c r="M17" s="46">
        <v>40741</v>
      </c>
      <c r="N17" s="46">
        <v>41477</v>
      </c>
      <c r="O17" s="46">
        <v>54.890599999999999</v>
      </c>
      <c r="P17" s="46">
        <v>26.6327</v>
      </c>
      <c r="Q17" s="46">
        <v>2</v>
      </c>
      <c r="R17" s="46">
        <v>122</v>
      </c>
      <c r="S17" s="46">
        <v>15</v>
      </c>
      <c r="T17" s="46">
        <v>512</v>
      </c>
      <c r="U17" s="46">
        <v>-32.200000000000003</v>
      </c>
      <c r="V17" s="46">
        <v>-47.7</v>
      </c>
      <c r="W17" s="46">
        <v>-63.286900000000003</v>
      </c>
      <c r="X17" s="46">
        <v>-86.934200000000004</v>
      </c>
      <c r="Y17" s="46">
        <v>3906</v>
      </c>
      <c r="Z17" s="46">
        <v>13</v>
      </c>
      <c r="AA17" s="46">
        <v>611.67579999999998</v>
      </c>
      <c r="AB17" s="46">
        <v>161.38220000000001</v>
      </c>
      <c r="AC17" s="46">
        <v>-554.20000000000005</v>
      </c>
      <c r="AD17" s="46">
        <v>48.953800000000001</v>
      </c>
      <c r="AE17" s="46">
        <v>51</v>
      </c>
      <c r="AF17" s="46">
        <v>10</v>
      </c>
      <c r="AG17" s="46">
        <v>10</v>
      </c>
      <c r="AH17" s="46">
        <v>8</v>
      </c>
      <c r="AI17" s="46">
        <v>31</v>
      </c>
      <c r="AJ17" s="46">
        <v>232</v>
      </c>
      <c r="AK17" s="46">
        <v>12</v>
      </c>
      <c r="AL17" s="46">
        <v>32</v>
      </c>
      <c r="AM17" s="46">
        <v>1</v>
      </c>
      <c r="AN17" s="46">
        <v>1</v>
      </c>
      <c r="AO17" s="46">
        <v>68.5</v>
      </c>
      <c r="AP17" s="37" t="s">
        <v>159</v>
      </c>
      <c r="AQ17" s="37" t="s">
        <v>159</v>
      </c>
      <c r="AR17" s="37" t="s">
        <v>159</v>
      </c>
      <c r="AS17" s="37" t="s">
        <v>159</v>
      </c>
      <c r="AT17" s="37" t="s">
        <v>159</v>
      </c>
      <c r="AU17" s="37" t="s">
        <v>159</v>
      </c>
      <c r="AV17" s="37" t="s">
        <v>159</v>
      </c>
      <c r="AW17" s="37" t="s">
        <v>159</v>
      </c>
      <c r="AX17" s="37" t="s">
        <v>159</v>
      </c>
      <c r="AY17" s="37" t="s">
        <v>159</v>
      </c>
      <c r="AZ17" s="37" t="s">
        <v>159</v>
      </c>
      <c r="BA17" s="37" t="s">
        <v>159</v>
      </c>
      <c r="BB17" s="37" t="s">
        <v>159</v>
      </c>
      <c r="BC17" s="37" t="s">
        <v>159</v>
      </c>
      <c r="BD17" s="37" t="s">
        <v>159</v>
      </c>
      <c r="BE17" s="37" t="s">
        <v>159</v>
      </c>
      <c r="BF17" s="37" t="s">
        <v>159</v>
      </c>
      <c r="BG17" s="37" t="s">
        <v>159</v>
      </c>
      <c r="BH17" s="37" t="s">
        <v>159</v>
      </c>
      <c r="BI17" s="37" t="s">
        <v>159</v>
      </c>
      <c r="BJ17" s="46">
        <v>1197.0758636363601</v>
      </c>
      <c r="BK17" s="46">
        <v>1198.1775</v>
      </c>
      <c r="BL17" s="46">
        <v>297.07586363636398</v>
      </c>
      <c r="BM17" s="46">
        <v>297.07586363636398</v>
      </c>
      <c r="BN17" s="46">
        <v>1</v>
      </c>
      <c r="BO17" s="46">
        <v>0</v>
      </c>
      <c r="BP17" s="46">
        <v>0</v>
      </c>
      <c r="BQ17" s="46">
        <v>0</v>
      </c>
      <c r="BR17" s="46">
        <v>0</v>
      </c>
      <c r="BS17" s="46">
        <v>0</v>
      </c>
      <c r="BT17" s="46">
        <v>0</v>
      </c>
      <c r="BU17" s="69" t="s">
        <v>939</v>
      </c>
      <c r="BV17" s="69" t="s">
        <v>941</v>
      </c>
      <c r="BW17" s="69" t="s">
        <v>924</v>
      </c>
      <c r="BX17" s="69">
        <v>12</v>
      </c>
      <c r="BY17" s="69">
        <v>0</v>
      </c>
      <c r="BZ17" s="69">
        <v>0</v>
      </c>
      <c r="CA17" s="69">
        <v>1</v>
      </c>
      <c r="CB17" s="46">
        <v>1</v>
      </c>
      <c r="CC17" s="46">
        <v>3</v>
      </c>
      <c r="CD17" s="50" t="s">
        <v>159</v>
      </c>
      <c r="CE17" s="37"/>
      <c r="CF17" s="38"/>
    </row>
    <row r="18" spans="1:84" x14ac:dyDescent="0.25">
      <c r="A18" s="36">
        <v>15</v>
      </c>
      <c r="B18" s="46" t="s">
        <v>813</v>
      </c>
      <c r="C18" s="46">
        <v>2</v>
      </c>
      <c r="D18" s="46">
        <v>0</v>
      </c>
      <c r="E18" s="46">
        <v>1</v>
      </c>
      <c r="F18" s="46">
        <v>1</v>
      </c>
      <c r="G18" s="46">
        <v>0</v>
      </c>
      <c r="H18" s="56">
        <v>0</v>
      </c>
      <c r="I18" s="46">
        <v>1</v>
      </c>
      <c r="J18" s="46">
        <v>0</v>
      </c>
      <c r="K18" s="46">
        <v>0</v>
      </c>
      <c r="L18" s="46">
        <v>0</v>
      </c>
      <c r="M18" s="46">
        <v>58333</v>
      </c>
      <c r="N18" s="46">
        <v>35957</v>
      </c>
      <c r="O18" s="46">
        <v>248.49719999999999</v>
      </c>
      <c r="P18" s="46">
        <v>42.382199999999997</v>
      </c>
      <c r="Q18" s="46">
        <v>4</v>
      </c>
      <c r="R18" s="46">
        <v>133</v>
      </c>
      <c r="S18" s="46">
        <v>16</v>
      </c>
      <c r="T18" s="46">
        <v>553</v>
      </c>
      <c r="U18" s="46">
        <v>-19.2</v>
      </c>
      <c r="V18" s="46">
        <v>-84.6</v>
      </c>
      <c r="W18" s="46">
        <v>-107.39619999999999</v>
      </c>
      <c r="X18" s="46">
        <v>244.39420000000001</v>
      </c>
      <c r="Y18" s="46">
        <v>1089</v>
      </c>
      <c r="Z18" s="46">
        <v>13</v>
      </c>
      <c r="AA18" s="46">
        <v>3061.7723999999998</v>
      </c>
      <c r="AB18" s="46">
        <v>187.2088</v>
      </c>
      <c r="AC18" s="46">
        <v>-527.48</v>
      </c>
      <c r="AD18" s="46">
        <v>19.649000000000001</v>
      </c>
      <c r="AE18" s="46">
        <v>30</v>
      </c>
      <c r="AF18" s="46">
        <v>16</v>
      </c>
      <c r="AG18" s="46">
        <v>29</v>
      </c>
      <c r="AH18" s="46">
        <v>0</v>
      </c>
      <c r="AI18" s="46">
        <v>38</v>
      </c>
      <c r="AJ18" s="46">
        <v>23</v>
      </c>
      <c r="AK18" s="46">
        <v>13</v>
      </c>
      <c r="AL18" s="46">
        <v>30</v>
      </c>
      <c r="AM18" s="46">
        <v>3</v>
      </c>
      <c r="AN18" s="46">
        <v>1</v>
      </c>
      <c r="AO18" s="46">
        <v>73.8</v>
      </c>
      <c r="AP18" s="37" t="s">
        <v>159</v>
      </c>
      <c r="AQ18" s="37" t="s">
        <v>159</v>
      </c>
      <c r="AR18" s="37" t="s">
        <v>159</v>
      </c>
      <c r="AS18" s="37" t="s">
        <v>159</v>
      </c>
      <c r="AT18" s="37" t="s">
        <v>159</v>
      </c>
      <c r="AU18" s="37" t="s">
        <v>159</v>
      </c>
      <c r="AV18" s="37" t="s">
        <v>159</v>
      </c>
      <c r="AW18" s="37" t="s">
        <v>159</v>
      </c>
      <c r="AX18" s="37" t="s">
        <v>159</v>
      </c>
      <c r="AY18" s="37" t="s">
        <v>159</v>
      </c>
      <c r="AZ18" s="37" t="s">
        <v>159</v>
      </c>
      <c r="BA18" s="37" t="s">
        <v>159</v>
      </c>
      <c r="BB18" s="37" t="s">
        <v>159</v>
      </c>
      <c r="BC18" s="37" t="s">
        <v>159</v>
      </c>
      <c r="BD18" s="37" t="s">
        <v>159</v>
      </c>
      <c r="BE18" s="37" t="s">
        <v>159</v>
      </c>
      <c r="BF18" s="37" t="s">
        <v>159</v>
      </c>
      <c r="BG18" s="37" t="s">
        <v>159</v>
      </c>
      <c r="BH18" s="37" t="s">
        <v>159</v>
      </c>
      <c r="BI18" s="37" t="s">
        <v>159</v>
      </c>
      <c r="BJ18" s="46">
        <v>726.35818181818195</v>
      </c>
      <c r="BK18" s="46">
        <v>715.89340000000004</v>
      </c>
      <c r="BL18" s="46">
        <v>-173.641818181818</v>
      </c>
      <c r="BM18" s="46">
        <v>-173.641818181818</v>
      </c>
      <c r="BN18" s="46">
        <v>1</v>
      </c>
      <c r="BO18" s="46">
        <v>0</v>
      </c>
      <c r="BP18" s="46">
        <v>0</v>
      </c>
      <c r="BQ18" s="46">
        <v>0</v>
      </c>
      <c r="BR18" s="46">
        <v>0</v>
      </c>
      <c r="BS18" s="46">
        <v>0</v>
      </c>
      <c r="BT18" s="46">
        <v>2</v>
      </c>
      <c r="BU18" s="69" t="s">
        <v>939</v>
      </c>
      <c r="BV18" s="69" t="s">
        <v>941</v>
      </c>
      <c r="BW18" s="69" t="s">
        <v>924</v>
      </c>
      <c r="BX18" s="69">
        <v>7</v>
      </c>
      <c r="BY18" s="69">
        <v>8</v>
      </c>
      <c r="BZ18" s="69">
        <v>0</v>
      </c>
      <c r="CA18" s="69">
        <v>1</v>
      </c>
      <c r="CB18" s="46">
        <v>1</v>
      </c>
      <c r="CC18" s="46">
        <v>3</v>
      </c>
      <c r="CD18" s="50" t="s">
        <v>159</v>
      </c>
      <c r="CE18" s="37"/>
      <c r="CF18" s="38"/>
    </row>
    <row r="19" spans="1:84" x14ac:dyDescent="0.25">
      <c r="A19" s="36">
        <v>16</v>
      </c>
      <c r="B19" s="46" t="s">
        <v>814</v>
      </c>
      <c r="C19" s="46">
        <v>2</v>
      </c>
      <c r="D19" s="46">
        <v>1</v>
      </c>
      <c r="E19" s="46">
        <v>1</v>
      </c>
      <c r="F19" s="46">
        <v>1</v>
      </c>
      <c r="G19" s="46">
        <v>0</v>
      </c>
      <c r="H19" s="46">
        <v>0</v>
      </c>
      <c r="I19" s="56">
        <v>0</v>
      </c>
      <c r="J19" s="46">
        <v>0</v>
      </c>
      <c r="K19" s="46">
        <v>0</v>
      </c>
      <c r="L19" s="46">
        <v>0</v>
      </c>
      <c r="M19" s="46">
        <v>21490</v>
      </c>
      <c r="N19" s="46">
        <v>55100</v>
      </c>
      <c r="O19" s="46">
        <v>278.50889999999998</v>
      </c>
      <c r="P19" s="46">
        <v>91.6</v>
      </c>
      <c r="Q19" s="46">
        <v>3</v>
      </c>
      <c r="R19" s="46">
        <v>144</v>
      </c>
      <c r="S19" s="46">
        <v>10</v>
      </c>
      <c r="T19" s="46">
        <v>594</v>
      </c>
      <c r="U19" s="46">
        <v>-6.1999999999999904</v>
      </c>
      <c r="V19" s="46">
        <v>-121.5</v>
      </c>
      <c r="W19" s="46">
        <v>113.82170000000001</v>
      </c>
      <c r="X19" s="46">
        <v>-226.6661</v>
      </c>
      <c r="Y19" s="46">
        <v>3445</v>
      </c>
      <c r="Z19" s="46">
        <v>18</v>
      </c>
      <c r="AA19" s="46">
        <v>2176.9938000000002</v>
      </c>
      <c r="AB19" s="46">
        <v>1686.9588000000001</v>
      </c>
      <c r="AC19" s="46">
        <v>-500.76</v>
      </c>
      <c r="AD19" s="46">
        <v>79.031899999999993</v>
      </c>
      <c r="AE19" s="46">
        <v>81</v>
      </c>
      <c r="AF19" s="46">
        <v>33</v>
      </c>
      <c r="AG19" s="46">
        <v>40</v>
      </c>
      <c r="AH19" s="46">
        <v>69</v>
      </c>
      <c r="AI19" s="46">
        <v>43</v>
      </c>
      <c r="AJ19" s="46">
        <v>218</v>
      </c>
      <c r="AK19" s="46">
        <v>14</v>
      </c>
      <c r="AL19" s="46">
        <v>28</v>
      </c>
      <c r="AM19" s="46">
        <v>2</v>
      </c>
      <c r="AN19" s="46">
        <v>0</v>
      </c>
      <c r="AO19" s="46">
        <v>79.099999999999994</v>
      </c>
      <c r="AP19" s="37" t="s">
        <v>159</v>
      </c>
      <c r="AQ19" s="37" t="s">
        <v>159</v>
      </c>
      <c r="AR19" s="37" t="s">
        <v>159</v>
      </c>
      <c r="AS19" s="37" t="s">
        <v>159</v>
      </c>
      <c r="AT19" s="37" t="s">
        <v>159</v>
      </c>
      <c r="AU19" s="37" t="s">
        <v>159</v>
      </c>
      <c r="AV19" s="37" t="s">
        <v>159</v>
      </c>
      <c r="AW19" s="37" t="s">
        <v>159</v>
      </c>
      <c r="AX19" s="37" t="s">
        <v>159</v>
      </c>
      <c r="AY19" s="37" t="s">
        <v>159</v>
      </c>
      <c r="AZ19" s="37" t="s">
        <v>159</v>
      </c>
      <c r="BA19" s="37" t="s">
        <v>159</v>
      </c>
      <c r="BB19" s="37" t="s">
        <v>159</v>
      </c>
      <c r="BC19" s="37" t="s">
        <v>159</v>
      </c>
      <c r="BD19" s="37" t="s">
        <v>159</v>
      </c>
      <c r="BE19" s="37" t="s">
        <v>159</v>
      </c>
      <c r="BF19" s="37" t="s">
        <v>159</v>
      </c>
      <c r="BG19" s="37" t="s">
        <v>159</v>
      </c>
      <c r="BH19" s="37" t="s">
        <v>159</v>
      </c>
      <c r="BI19" s="37" t="s">
        <v>159</v>
      </c>
      <c r="BJ19" s="46">
        <v>1617.3936818181801</v>
      </c>
      <c r="BK19" s="46">
        <v>1604.6872000000001</v>
      </c>
      <c r="BL19" s="46">
        <v>717.39368181818202</v>
      </c>
      <c r="BM19" s="46">
        <v>717.39368181818202</v>
      </c>
      <c r="BN19" s="46">
        <v>0</v>
      </c>
      <c r="BO19" s="46">
        <v>0</v>
      </c>
      <c r="BP19" s="46">
        <v>0</v>
      </c>
      <c r="BQ19" s="46">
        <v>0</v>
      </c>
      <c r="BR19" s="46">
        <v>0</v>
      </c>
      <c r="BS19" s="46">
        <v>0</v>
      </c>
      <c r="BT19" s="46">
        <v>1</v>
      </c>
      <c r="BU19" s="69" t="s">
        <v>930</v>
      </c>
      <c r="BV19" s="69" t="s">
        <v>925</v>
      </c>
      <c r="BW19" s="69" t="s">
        <v>925</v>
      </c>
      <c r="BX19" s="69">
        <v>15</v>
      </c>
      <c r="BY19" s="69">
        <v>44</v>
      </c>
      <c r="BZ19" s="69">
        <v>29</v>
      </c>
      <c r="CA19" s="69">
        <v>0</v>
      </c>
      <c r="CB19" s="46">
        <v>1</v>
      </c>
      <c r="CC19" s="46">
        <v>2</v>
      </c>
      <c r="CD19" s="50" t="s">
        <v>159</v>
      </c>
      <c r="CE19" s="37"/>
      <c r="CF19" s="38"/>
    </row>
    <row r="20" spans="1:84" x14ac:dyDescent="0.25">
      <c r="A20" s="36">
        <v>17</v>
      </c>
      <c r="B20" s="46" t="s">
        <v>815</v>
      </c>
      <c r="C20" s="46">
        <v>1</v>
      </c>
      <c r="D20" s="46">
        <v>1</v>
      </c>
      <c r="E20" s="46">
        <v>1</v>
      </c>
      <c r="F20" s="46">
        <v>1</v>
      </c>
      <c r="G20" s="46">
        <v>0</v>
      </c>
      <c r="H20" s="46">
        <v>0</v>
      </c>
      <c r="I20" s="56">
        <v>1</v>
      </c>
      <c r="J20" s="46">
        <v>1</v>
      </c>
      <c r="K20" s="46">
        <v>0</v>
      </c>
      <c r="L20" s="46">
        <v>1</v>
      </c>
      <c r="M20" s="46">
        <v>35276</v>
      </c>
      <c r="N20" s="46">
        <v>61190</v>
      </c>
      <c r="O20" s="46">
        <v>340.64699999999999</v>
      </c>
      <c r="P20" s="46">
        <v>316.99619999999999</v>
      </c>
      <c r="Q20" s="46">
        <v>0</v>
      </c>
      <c r="R20" s="46">
        <v>155</v>
      </c>
      <c r="S20" s="46">
        <v>9</v>
      </c>
      <c r="T20" s="46">
        <v>635</v>
      </c>
      <c r="U20" s="46">
        <v>6.8000000000000096</v>
      </c>
      <c r="V20" s="46">
        <v>-158.4</v>
      </c>
      <c r="W20" s="46">
        <v>-75.220699999999994</v>
      </c>
      <c r="X20" s="46">
        <v>302.9581</v>
      </c>
      <c r="Y20" s="46">
        <v>313</v>
      </c>
      <c r="Z20" s="46">
        <v>11</v>
      </c>
      <c r="AA20" s="46">
        <v>469.8449</v>
      </c>
      <c r="AB20" s="46">
        <v>404.1968</v>
      </c>
      <c r="AC20" s="46">
        <v>-474.04</v>
      </c>
      <c r="AD20" s="46">
        <v>32.619100000000003</v>
      </c>
      <c r="AE20" s="46">
        <v>10</v>
      </c>
      <c r="AF20" s="46">
        <v>47</v>
      </c>
      <c r="AG20" s="46">
        <v>4</v>
      </c>
      <c r="AH20" s="46">
        <v>51</v>
      </c>
      <c r="AI20" s="46">
        <v>34</v>
      </c>
      <c r="AJ20" s="46">
        <v>38</v>
      </c>
      <c r="AK20" s="46">
        <v>15</v>
      </c>
      <c r="AL20" s="46">
        <v>26</v>
      </c>
      <c r="AM20" s="46">
        <v>5</v>
      </c>
      <c r="AN20" s="46">
        <v>0</v>
      </c>
      <c r="AO20" s="46">
        <v>84.4</v>
      </c>
      <c r="AP20" s="37" t="s">
        <v>159</v>
      </c>
      <c r="AQ20" s="37" t="s">
        <v>159</v>
      </c>
      <c r="AR20" s="37" t="s">
        <v>159</v>
      </c>
      <c r="AS20" s="37" t="s">
        <v>159</v>
      </c>
      <c r="AT20" s="37" t="s">
        <v>159</v>
      </c>
      <c r="AU20" s="37" t="s">
        <v>159</v>
      </c>
      <c r="AV20" s="37" t="s">
        <v>159</v>
      </c>
      <c r="AW20" s="37" t="s">
        <v>159</v>
      </c>
      <c r="AX20" s="37" t="s">
        <v>159</v>
      </c>
      <c r="AY20" s="37" t="s">
        <v>159</v>
      </c>
      <c r="AZ20" s="37" t="s">
        <v>159</v>
      </c>
      <c r="BA20" s="37" t="s">
        <v>159</v>
      </c>
      <c r="BB20" s="37" t="s">
        <v>159</v>
      </c>
      <c r="BC20" s="37" t="s">
        <v>159</v>
      </c>
      <c r="BD20" s="37" t="s">
        <v>159</v>
      </c>
      <c r="BE20" s="37" t="s">
        <v>159</v>
      </c>
      <c r="BF20" s="37" t="s">
        <v>159</v>
      </c>
      <c r="BG20" s="37" t="s">
        <v>159</v>
      </c>
      <c r="BH20" s="37" t="s">
        <v>159</v>
      </c>
      <c r="BI20" s="37" t="s">
        <v>159</v>
      </c>
      <c r="BJ20" s="46">
        <v>84.4</v>
      </c>
      <c r="BK20" s="46">
        <v>1135.8677</v>
      </c>
      <c r="BL20" s="46">
        <v>235.86770000000001</v>
      </c>
      <c r="BM20" s="46">
        <v>235.86770000000001</v>
      </c>
      <c r="BN20" s="46">
        <v>0</v>
      </c>
      <c r="BO20" s="46">
        <v>0</v>
      </c>
      <c r="BP20" s="46">
        <v>0</v>
      </c>
      <c r="BQ20" s="46">
        <v>0</v>
      </c>
      <c r="BR20" s="46">
        <v>0</v>
      </c>
      <c r="BS20" s="46">
        <v>0</v>
      </c>
      <c r="BT20" s="46">
        <v>4</v>
      </c>
      <c r="BU20" s="69" t="s">
        <v>939</v>
      </c>
      <c r="BV20" s="69" t="s">
        <v>940</v>
      </c>
      <c r="BW20" s="69" t="s">
        <v>924</v>
      </c>
      <c r="BX20" s="69">
        <v>12</v>
      </c>
      <c r="BY20" s="69">
        <v>38</v>
      </c>
      <c r="BZ20" s="69">
        <v>47</v>
      </c>
      <c r="CA20" s="69">
        <v>1</v>
      </c>
      <c r="CB20" s="46">
        <v>1</v>
      </c>
      <c r="CC20" s="46">
        <v>3</v>
      </c>
      <c r="CD20" s="50" t="s">
        <v>159</v>
      </c>
      <c r="CE20" s="37"/>
      <c r="CF20" s="38"/>
    </row>
    <row r="21" spans="1:84" x14ac:dyDescent="0.25">
      <c r="A21" s="36">
        <v>18</v>
      </c>
      <c r="B21" s="46" t="s">
        <v>876</v>
      </c>
      <c r="C21" s="46">
        <v>2</v>
      </c>
      <c r="D21" s="46">
        <v>1</v>
      </c>
      <c r="E21" s="46">
        <v>0</v>
      </c>
      <c r="F21" s="46">
        <v>1</v>
      </c>
      <c r="G21" s="46">
        <v>0</v>
      </c>
      <c r="H21" s="46">
        <v>0</v>
      </c>
      <c r="I21" s="46">
        <v>0</v>
      </c>
      <c r="J21" s="56">
        <v>0</v>
      </c>
      <c r="K21" s="46">
        <v>0</v>
      </c>
      <c r="L21" s="46">
        <v>1</v>
      </c>
      <c r="M21" s="46">
        <v>10044</v>
      </c>
      <c r="N21" s="46">
        <v>9720</v>
      </c>
      <c r="O21" s="46">
        <v>108.62860000000001</v>
      </c>
      <c r="P21" s="46">
        <v>71.600300000000004</v>
      </c>
      <c r="Q21" s="46">
        <v>2</v>
      </c>
      <c r="R21" s="46">
        <v>166</v>
      </c>
      <c r="S21" s="46">
        <v>26</v>
      </c>
      <c r="T21" s="46">
        <v>676</v>
      </c>
      <c r="U21" s="46">
        <v>19.8</v>
      </c>
      <c r="V21" s="46">
        <v>22.4</v>
      </c>
      <c r="W21" s="46">
        <v>-133.3877</v>
      </c>
      <c r="X21" s="46">
        <v>72.720100000000002</v>
      </c>
      <c r="Y21" s="46">
        <v>3313</v>
      </c>
      <c r="Z21" s="46">
        <v>13</v>
      </c>
      <c r="AA21" s="46">
        <v>2993.3143</v>
      </c>
      <c r="AB21" s="46">
        <v>943.20939999999996</v>
      </c>
      <c r="AC21" s="46">
        <v>-447.32</v>
      </c>
      <c r="AD21" s="46">
        <v>22.190300000000001</v>
      </c>
      <c r="AE21" s="46">
        <v>82</v>
      </c>
      <c r="AF21" s="46">
        <v>39</v>
      </c>
      <c r="AG21" s="46">
        <v>47</v>
      </c>
      <c r="AH21" s="46">
        <v>66</v>
      </c>
      <c r="AI21" s="46">
        <v>133</v>
      </c>
      <c r="AJ21" s="46">
        <v>45</v>
      </c>
      <c r="AK21" s="46">
        <v>16</v>
      </c>
      <c r="AL21" s="46">
        <v>24</v>
      </c>
      <c r="AM21" s="46">
        <v>3</v>
      </c>
      <c r="AN21" s="46">
        <v>0</v>
      </c>
      <c r="AO21" s="46">
        <v>89.7</v>
      </c>
      <c r="AP21" s="37" t="s">
        <v>159</v>
      </c>
      <c r="AQ21" s="37" t="s">
        <v>159</v>
      </c>
      <c r="AR21" s="37" t="s">
        <v>159</v>
      </c>
      <c r="AS21" s="37" t="s">
        <v>159</v>
      </c>
      <c r="AT21" s="37" t="s">
        <v>159</v>
      </c>
      <c r="AU21" s="37" t="s">
        <v>159</v>
      </c>
      <c r="AV21" s="37" t="s">
        <v>159</v>
      </c>
      <c r="AW21" s="37" t="s">
        <v>159</v>
      </c>
      <c r="AX21" s="37" t="s">
        <v>159</v>
      </c>
      <c r="AY21" s="37" t="s">
        <v>159</v>
      </c>
      <c r="AZ21" s="37" t="s">
        <v>159</v>
      </c>
      <c r="BA21" s="37" t="s">
        <v>159</v>
      </c>
      <c r="BB21" s="37" t="s">
        <v>159</v>
      </c>
      <c r="BC21" s="37" t="s">
        <v>159</v>
      </c>
      <c r="BD21" s="37" t="s">
        <v>159</v>
      </c>
      <c r="BE21" s="37" t="s">
        <v>159</v>
      </c>
      <c r="BF21" s="37" t="s">
        <v>159</v>
      </c>
      <c r="BG21" s="37" t="s">
        <v>159</v>
      </c>
      <c r="BH21" s="37" t="s">
        <v>159</v>
      </c>
      <c r="BI21" s="37" t="s">
        <v>159</v>
      </c>
      <c r="BJ21" s="46">
        <v>1308.5819090909099</v>
      </c>
      <c r="BK21" s="46">
        <v>1322.0163</v>
      </c>
      <c r="BL21" s="46">
        <v>408.58190909090899</v>
      </c>
      <c r="BM21" s="46">
        <v>408.58190909090899</v>
      </c>
      <c r="BN21" s="46">
        <v>0</v>
      </c>
      <c r="BO21" s="46">
        <v>0</v>
      </c>
      <c r="BP21" s="46">
        <v>0</v>
      </c>
      <c r="BQ21" s="46">
        <v>0</v>
      </c>
      <c r="BR21" s="46">
        <v>0</v>
      </c>
      <c r="BS21" s="46">
        <v>0</v>
      </c>
      <c r="BT21" s="46">
        <v>2</v>
      </c>
      <c r="BU21" s="69" t="s">
        <v>939</v>
      </c>
      <c r="BV21" s="69" t="s">
        <v>940</v>
      </c>
      <c r="BW21" s="69" t="s">
        <v>924</v>
      </c>
      <c r="BX21" s="69">
        <v>12</v>
      </c>
      <c r="BY21" s="69">
        <v>45</v>
      </c>
      <c r="BZ21" s="69">
        <v>19</v>
      </c>
      <c r="CA21" s="69">
        <v>1</v>
      </c>
      <c r="CB21" s="46">
        <v>1</v>
      </c>
      <c r="CC21" s="46">
        <v>3</v>
      </c>
      <c r="CD21" s="50" t="s">
        <v>159</v>
      </c>
      <c r="CE21" s="37"/>
      <c r="CF21" s="38"/>
    </row>
    <row r="22" spans="1:84" x14ac:dyDescent="0.25">
      <c r="A22" s="36">
        <v>19</v>
      </c>
      <c r="B22" s="46" t="s">
        <v>817</v>
      </c>
      <c r="C22" s="46">
        <v>0</v>
      </c>
      <c r="D22" s="46">
        <v>0</v>
      </c>
      <c r="E22" s="46">
        <v>0</v>
      </c>
      <c r="F22" s="46">
        <v>1</v>
      </c>
      <c r="G22" s="46">
        <v>0</v>
      </c>
      <c r="H22" s="46">
        <v>0</v>
      </c>
      <c r="I22" s="46">
        <v>0</v>
      </c>
      <c r="J22" s="56">
        <v>1</v>
      </c>
      <c r="K22" s="46">
        <v>0</v>
      </c>
      <c r="L22" s="46">
        <v>0</v>
      </c>
      <c r="M22" s="46">
        <v>51986</v>
      </c>
      <c r="N22" s="46">
        <v>46932</v>
      </c>
      <c r="O22" s="46">
        <v>262.09840000000003</v>
      </c>
      <c r="P22" s="46">
        <v>312.50259999999997</v>
      </c>
      <c r="Q22" s="46">
        <v>4</v>
      </c>
      <c r="R22" s="46">
        <v>177</v>
      </c>
      <c r="S22" s="46">
        <v>11</v>
      </c>
      <c r="T22" s="46">
        <v>717</v>
      </c>
      <c r="U22" s="46">
        <v>32.799999999999997</v>
      </c>
      <c r="V22" s="46">
        <v>18.13</v>
      </c>
      <c r="W22" s="46">
        <v>187.31039999999999</v>
      </c>
      <c r="X22" s="46">
        <v>-276.19850000000002</v>
      </c>
      <c r="Y22" s="46">
        <v>2629</v>
      </c>
      <c r="Z22" s="46">
        <v>1</v>
      </c>
      <c r="AA22" s="46">
        <v>403.60059999999999</v>
      </c>
      <c r="AB22" s="46">
        <v>673.75099999999998</v>
      </c>
      <c r="AC22" s="46">
        <v>-420.6</v>
      </c>
      <c r="AD22" s="46">
        <v>10.3764</v>
      </c>
      <c r="AE22" s="46">
        <v>64</v>
      </c>
      <c r="AF22" s="46">
        <v>43</v>
      </c>
      <c r="AG22" s="46">
        <v>17</v>
      </c>
      <c r="AH22" s="46">
        <v>91</v>
      </c>
      <c r="AI22" s="46">
        <v>21</v>
      </c>
      <c r="AJ22" s="46">
        <v>26</v>
      </c>
      <c r="AK22" s="46">
        <v>17</v>
      </c>
      <c r="AL22" s="46">
        <v>22</v>
      </c>
      <c r="AM22" s="46">
        <v>1</v>
      </c>
      <c r="AN22" s="46">
        <v>1</v>
      </c>
      <c r="AO22" s="46">
        <v>95</v>
      </c>
      <c r="AP22" s="37" t="s">
        <v>159</v>
      </c>
      <c r="AQ22" s="37" t="s">
        <v>159</v>
      </c>
      <c r="AR22" s="37" t="s">
        <v>159</v>
      </c>
      <c r="AS22" s="37" t="s">
        <v>159</v>
      </c>
      <c r="AT22" s="37" t="s">
        <v>159</v>
      </c>
      <c r="AU22" s="37" t="s">
        <v>159</v>
      </c>
      <c r="AV22" s="37" t="s">
        <v>159</v>
      </c>
      <c r="AW22" s="37" t="s">
        <v>159</v>
      </c>
      <c r="AX22" s="37" t="s">
        <v>159</v>
      </c>
      <c r="AY22" s="37" t="s">
        <v>159</v>
      </c>
      <c r="AZ22" s="37" t="s">
        <v>159</v>
      </c>
      <c r="BA22" s="37" t="s">
        <v>159</v>
      </c>
      <c r="BB22" s="37" t="s">
        <v>159</v>
      </c>
      <c r="BC22" s="37" t="s">
        <v>159</v>
      </c>
      <c r="BD22" s="37" t="s">
        <v>159</v>
      </c>
      <c r="BE22" s="37" t="s">
        <v>159</v>
      </c>
      <c r="BF22" s="37" t="s">
        <v>159</v>
      </c>
      <c r="BG22" s="37" t="s">
        <v>159</v>
      </c>
      <c r="BH22" s="37" t="s">
        <v>159</v>
      </c>
      <c r="BI22" s="37" t="s">
        <v>159</v>
      </c>
      <c r="BJ22" s="46">
        <v>95</v>
      </c>
      <c r="BK22" s="46">
        <v>434.78800000000001</v>
      </c>
      <c r="BL22" s="46">
        <v>-465.21199999999999</v>
      </c>
      <c r="BM22" s="46">
        <v>-465.21199999999999</v>
      </c>
      <c r="BN22" s="46">
        <v>1</v>
      </c>
      <c r="BO22" s="46">
        <v>0</v>
      </c>
      <c r="BP22" s="46">
        <v>0</v>
      </c>
      <c r="BQ22" s="46">
        <v>0</v>
      </c>
      <c r="BR22" s="46">
        <v>0</v>
      </c>
      <c r="BS22" s="46">
        <v>0</v>
      </c>
      <c r="BT22" s="46">
        <v>0</v>
      </c>
      <c r="BU22" s="69" t="s">
        <v>939</v>
      </c>
      <c r="BV22" s="69" t="s">
        <v>942</v>
      </c>
      <c r="BW22" s="69" t="s">
        <v>924</v>
      </c>
      <c r="BX22" s="69">
        <v>5</v>
      </c>
      <c r="BY22" s="69">
        <v>26</v>
      </c>
      <c r="BZ22" s="69">
        <v>74</v>
      </c>
      <c r="CA22" s="69">
        <v>1</v>
      </c>
      <c r="CB22" s="46">
        <v>1</v>
      </c>
      <c r="CC22" s="46">
        <v>3</v>
      </c>
      <c r="CD22" s="50" t="s">
        <v>159</v>
      </c>
      <c r="CE22" s="37"/>
      <c r="CF22" s="38"/>
    </row>
    <row r="23" spans="1:84" x14ac:dyDescent="0.25">
      <c r="A23" s="36">
        <v>20</v>
      </c>
      <c r="B23" s="46" t="s">
        <v>818</v>
      </c>
      <c r="C23" s="46">
        <v>1</v>
      </c>
      <c r="D23" s="46">
        <v>0</v>
      </c>
      <c r="E23" s="46">
        <v>1</v>
      </c>
      <c r="F23" s="46">
        <v>1</v>
      </c>
      <c r="G23" s="46">
        <v>1</v>
      </c>
      <c r="H23" s="46">
        <v>0</v>
      </c>
      <c r="I23" s="46">
        <v>0</v>
      </c>
      <c r="J23" s="46">
        <v>1</v>
      </c>
      <c r="K23" s="56">
        <v>0</v>
      </c>
      <c r="L23" s="46">
        <v>0</v>
      </c>
      <c r="M23" s="46">
        <v>35642</v>
      </c>
      <c r="N23" s="46">
        <v>20986</v>
      </c>
      <c r="O23" s="46">
        <v>343.71949999999998</v>
      </c>
      <c r="P23" s="46">
        <v>111.2287</v>
      </c>
      <c r="Q23" s="46">
        <v>0</v>
      </c>
      <c r="R23" s="46">
        <v>188</v>
      </c>
      <c r="S23" s="46">
        <v>20</v>
      </c>
      <c r="T23" s="46">
        <v>758</v>
      </c>
      <c r="U23" s="46">
        <v>45.8</v>
      </c>
      <c r="V23" s="46">
        <v>13.86</v>
      </c>
      <c r="W23" s="46">
        <v>49.581600000000002</v>
      </c>
      <c r="X23" s="46">
        <v>196.78380000000001</v>
      </c>
      <c r="Y23" s="46">
        <v>127</v>
      </c>
      <c r="Z23" s="46">
        <v>6</v>
      </c>
      <c r="AA23" s="46">
        <v>1848.9655</v>
      </c>
      <c r="AB23" s="46">
        <v>1121.8920000000001</v>
      </c>
      <c r="AC23" s="46">
        <v>-393.88</v>
      </c>
      <c r="AD23" s="46">
        <v>95.944400000000002</v>
      </c>
      <c r="AE23" s="46">
        <v>46</v>
      </c>
      <c r="AF23" s="46">
        <v>11</v>
      </c>
      <c r="AG23" s="46">
        <v>45</v>
      </c>
      <c r="AH23" s="46">
        <v>42</v>
      </c>
      <c r="AI23" s="46">
        <v>0</v>
      </c>
      <c r="AJ23" s="46">
        <v>85</v>
      </c>
      <c r="AK23" s="46">
        <v>18</v>
      </c>
      <c r="AL23" s="46">
        <v>20</v>
      </c>
      <c r="AM23" s="46">
        <v>6</v>
      </c>
      <c r="AN23" s="46">
        <v>0</v>
      </c>
      <c r="AO23" s="46">
        <v>100.3</v>
      </c>
      <c r="AP23" s="37" t="s">
        <v>159</v>
      </c>
      <c r="AQ23" s="37" t="s">
        <v>159</v>
      </c>
      <c r="AR23" s="37" t="s">
        <v>159</v>
      </c>
      <c r="AS23" s="37" t="s">
        <v>159</v>
      </c>
      <c r="AT23" s="37" t="s">
        <v>159</v>
      </c>
      <c r="AU23" s="37" t="s">
        <v>159</v>
      </c>
      <c r="AV23" s="37" t="s">
        <v>159</v>
      </c>
      <c r="AW23" s="37" t="s">
        <v>159</v>
      </c>
      <c r="AX23" s="37" t="s">
        <v>159</v>
      </c>
      <c r="AY23" s="37" t="s">
        <v>159</v>
      </c>
      <c r="AZ23" s="37" t="s">
        <v>159</v>
      </c>
      <c r="BA23" s="37" t="s">
        <v>159</v>
      </c>
      <c r="BB23" s="37" t="s">
        <v>159</v>
      </c>
      <c r="BC23" s="37" t="s">
        <v>159</v>
      </c>
      <c r="BD23" s="37" t="s">
        <v>159</v>
      </c>
      <c r="BE23" s="37" t="s">
        <v>159</v>
      </c>
      <c r="BF23" s="37" t="s">
        <v>159</v>
      </c>
      <c r="BG23" s="37" t="s">
        <v>159</v>
      </c>
      <c r="BH23" s="37" t="s">
        <v>159</v>
      </c>
      <c r="BI23" s="37" t="s">
        <v>159</v>
      </c>
      <c r="BJ23" s="46">
        <v>100.3</v>
      </c>
      <c r="BK23" s="46">
        <v>1848.9655</v>
      </c>
      <c r="BL23" s="46">
        <v>-393.88</v>
      </c>
      <c r="BM23" s="46">
        <v>-393.88</v>
      </c>
      <c r="BN23" s="46">
        <v>0</v>
      </c>
      <c r="BO23" s="46">
        <v>0</v>
      </c>
      <c r="BP23" s="46">
        <v>0</v>
      </c>
      <c r="BQ23" s="46">
        <v>0</v>
      </c>
      <c r="BR23" s="46">
        <v>0</v>
      </c>
      <c r="BS23" s="46">
        <v>0</v>
      </c>
      <c r="BT23" s="46">
        <v>6</v>
      </c>
      <c r="BU23" s="69" t="s">
        <v>925</v>
      </c>
      <c r="BV23" s="69" t="s">
        <v>925</v>
      </c>
      <c r="BW23" s="69" t="s">
        <v>925</v>
      </c>
      <c r="BX23" s="69">
        <v>6</v>
      </c>
      <c r="BY23" s="69">
        <v>0</v>
      </c>
      <c r="BZ23" s="69">
        <v>42</v>
      </c>
      <c r="CA23" s="69">
        <v>0</v>
      </c>
      <c r="CB23" s="46">
        <v>1</v>
      </c>
      <c r="CC23" s="46">
        <v>0</v>
      </c>
      <c r="CD23" s="50" t="s">
        <v>159</v>
      </c>
      <c r="CE23" s="37"/>
      <c r="CF23" s="38"/>
    </row>
    <row r="24" spans="1:84" x14ac:dyDescent="0.25">
      <c r="A24" s="36">
        <v>21</v>
      </c>
      <c r="B24" s="46" t="s">
        <v>819</v>
      </c>
      <c r="C24" s="46">
        <v>0</v>
      </c>
      <c r="D24" s="46">
        <v>0</v>
      </c>
      <c r="E24" s="46">
        <v>1</v>
      </c>
      <c r="F24" s="46">
        <v>1</v>
      </c>
      <c r="G24" s="46">
        <v>1</v>
      </c>
      <c r="H24" s="46">
        <v>0</v>
      </c>
      <c r="I24" s="46">
        <v>1</v>
      </c>
      <c r="J24" s="46">
        <v>0</v>
      </c>
      <c r="K24" s="56">
        <v>1</v>
      </c>
      <c r="L24" s="46">
        <v>0</v>
      </c>
      <c r="M24" s="46">
        <v>4682</v>
      </c>
      <c r="N24" s="46">
        <v>55650</v>
      </c>
      <c r="O24" s="46">
        <v>343.62700000000001</v>
      </c>
      <c r="P24" s="46">
        <v>17.105499999999999</v>
      </c>
      <c r="Q24" s="46">
        <v>3</v>
      </c>
      <c r="R24" s="46">
        <v>199</v>
      </c>
      <c r="S24" s="46">
        <v>21</v>
      </c>
      <c r="T24" s="46">
        <v>799</v>
      </c>
      <c r="U24" s="46">
        <v>58.8</v>
      </c>
      <c r="V24" s="46">
        <v>9.59</v>
      </c>
      <c r="W24" s="46">
        <v>-268.78820000000002</v>
      </c>
      <c r="X24" s="46">
        <v>-113.75660000000001</v>
      </c>
      <c r="Y24" s="46">
        <v>1520</v>
      </c>
      <c r="Z24" s="46">
        <v>17</v>
      </c>
      <c r="AA24" s="46">
        <v>1395.4662000000001</v>
      </c>
      <c r="AB24" s="46">
        <v>1541.8795</v>
      </c>
      <c r="AC24" s="46">
        <v>-367.16</v>
      </c>
      <c r="AD24" s="46">
        <v>62.582299999999996</v>
      </c>
      <c r="AE24" s="46">
        <v>4</v>
      </c>
      <c r="AF24" s="46">
        <v>38</v>
      </c>
      <c r="AG24" s="46">
        <v>31</v>
      </c>
      <c r="AH24" s="46">
        <v>65</v>
      </c>
      <c r="AI24" s="46">
        <v>202</v>
      </c>
      <c r="AJ24" s="46">
        <v>134</v>
      </c>
      <c r="AK24" s="46">
        <v>19</v>
      </c>
      <c r="AL24" s="46">
        <v>18</v>
      </c>
      <c r="AM24" s="46">
        <v>6</v>
      </c>
      <c r="AN24" s="46">
        <v>1</v>
      </c>
      <c r="AO24" s="46">
        <v>105.6</v>
      </c>
      <c r="AP24" s="37" t="s">
        <v>159</v>
      </c>
      <c r="AQ24" s="37" t="s">
        <v>159</v>
      </c>
      <c r="AR24" s="37" t="s">
        <v>159</v>
      </c>
      <c r="AS24" s="37" t="s">
        <v>159</v>
      </c>
      <c r="AT24" s="37" t="s">
        <v>159</v>
      </c>
      <c r="AU24" s="37" t="s">
        <v>159</v>
      </c>
      <c r="AV24" s="37" t="s">
        <v>159</v>
      </c>
      <c r="AW24" s="37" t="s">
        <v>159</v>
      </c>
      <c r="AX24" s="37" t="s">
        <v>159</v>
      </c>
      <c r="AY24" s="37" t="s">
        <v>159</v>
      </c>
      <c r="AZ24" s="37" t="s">
        <v>159</v>
      </c>
      <c r="BA24" s="37" t="s">
        <v>159</v>
      </c>
      <c r="BB24" s="37" t="s">
        <v>159</v>
      </c>
      <c r="BC24" s="37" t="s">
        <v>159</v>
      </c>
      <c r="BD24" s="37" t="s">
        <v>159</v>
      </c>
      <c r="BE24" s="37" t="s">
        <v>159</v>
      </c>
      <c r="BF24" s="37" t="s">
        <v>159</v>
      </c>
      <c r="BG24" s="37" t="s">
        <v>159</v>
      </c>
      <c r="BH24" s="37" t="s">
        <v>159</v>
      </c>
      <c r="BI24" s="37" t="s">
        <v>159</v>
      </c>
      <c r="BJ24" s="46">
        <v>105.6</v>
      </c>
      <c r="BK24" s="46">
        <v>1395.4662000000001</v>
      </c>
      <c r="BL24" s="46">
        <v>-367.16</v>
      </c>
      <c r="BM24" s="46">
        <v>-367.16</v>
      </c>
      <c r="BN24" s="46">
        <v>1</v>
      </c>
      <c r="BO24" s="46">
        <v>1</v>
      </c>
      <c r="BP24" s="46">
        <v>0</v>
      </c>
      <c r="BQ24" s="46">
        <v>1</v>
      </c>
      <c r="BR24" s="46">
        <v>0</v>
      </c>
      <c r="BS24" s="46">
        <v>0</v>
      </c>
      <c r="BT24" s="46">
        <v>6</v>
      </c>
      <c r="BU24" s="69" t="s">
        <v>925</v>
      </c>
      <c r="BV24" s="69" t="s">
        <v>925</v>
      </c>
      <c r="BW24" s="69" t="s">
        <v>925</v>
      </c>
      <c r="BX24" s="69">
        <v>17</v>
      </c>
      <c r="BY24" s="69">
        <v>202</v>
      </c>
      <c r="BZ24" s="69">
        <v>65</v>
      </c>
      <c r="CA24" s="69">
        <v>1</v>
      </c>
      <c r="CB24" s="46">
        <v>1</v>
      </c>
      <c r="CC24" s="46">
        <v>0</v>
      </c>
      <c r="CD24" s="50" t="s">
        <v>159</v>
      </c>
      <c r="CE24" s="37"/>
      <c r="CF24" s="38"/>
    </row>
    <row r="25" spans="1:84" x14ac:dyDescent="0.25">
      <c r="A25" s="36">
        <v>22</v>
      </c>
      <c r="B25" s="46" t="s">
        <v>820</v>
      </c>
      <c r="C25" s="46">
        <v>1</v>
      </c>
      <c r="D25" s="46">
        <v>0</v>
      </c>
      <c r="E25" s="46">
        <v>0</v>
      </c>
      <c r="F25" s="46">
        <v>1</v>
      </c>
      <c r="G25" s="46">
        <v>1</v>
      </c>
      <c r="H25" s="46">
        <v>0</v>
      </c>
      <c r="I25" s="46">
        <v>1</v>
      </c>
      <c r="J25" s="46">
        <v>0</v>
      </c>
      <c r="K25" s="46">
        <v>0</v>
      </c>
      <c r="L25" s="56">
        <v>0</v>
      </c>
      <c r="M25" s="46">
        <v>54744</v>
      </c>
      <c r="N25" s="46">
        <v>25058</v>
      </c>
      <c r="O25" s="46">
        <v>326.08429999999998</v>
      </c>
      <c r="P25" s="46">
        <v>119.1283</v>
      </c>
      <c r="Q25" s="46">
        <v>4</v>
      </c>
      <c r="R25" s="46">
        <v>210</v>
      </c>
      <c r="S25" s="46">
        <v>14</v>
      </c>
      <c r="T25" s="46">
        <v>840</v>
      </c>
      <c r="U25" s="46">
        <v>71.8</v>
      </c>
      <c r="V25" s="46">
        <v>5.32</v>
      </c>
      <c r="W25" s="46">
        <v>273.95080000000002</v>
      </c>
      <c r="X25" s="46">
        <v>-118.6554</v>
      </c>
      <c r="Y25" s="46">
        <v>3241</v>
      </c>
      <c r="Z25" s="46">
        <v>19</v>
      </c>
      <c r="AA25" s="46">
        <v>1719.1880000000001</v>
      </c>
      <c r="AB25" s="46">
        <v>509.16039999999998</v>
      </c>
      <c r="AC25" s="46">
        <v>-340.43999999999897</v>
      </c>
      <c r="AD25" s="46">
        <v>6.9714</v>
      </c>
      <c r="AE25" s="46">
        <v>70</v>
      </c>
      <c r="AF25" s="46">
        <v>28</v>
      </c>
      <c r="AG25" s="46">
        <v>28</v>
      </c>
      <c r="AH25" s="46">
        <v>100</v>
      </c>
      <c r="AI25" s="46">
        <v>180</v>
      </c>
      <c r="AJ25" s="46">
        <v>64</v>
      </c>
      <c r="AK25" s="46">
        <v>20</v>
      </c>
      <c r="AL25" s="46">
        <v>16</v>
      </c>
      <c r="AM25" s="46">
        <v>6</v>
      </c>
      <c r="AN25" s="46">
        <v>0</v>
      </c>
      <c r="AO25" s="46">
        <v>110.9</v>
      </c>
      <c r="AP25" s="37" t="s">
        <v>159</v>
      </c>
      <c r="AQ25" s="37" t="s">
        <v>159</v>
      </c>
      <c r="AR25" s="37" t="s">
        <v>159</v>
      </c>
      <c r="AS25" s="37" t="s">
        <v>159</v>
      </c>
      <c r="AT25" s="37" t="s">
        <v>159</v>
      </c>
      <c r="AU25" s="37" t="s">
        <v>159</v>
      </c>
      <c r="AV25" s="37" t="s">
        <v>159</v>
      </c>
      <c r="AW25" s="37" t="s">
        <v>159</v>
      </c>
      <c r="AX25" s="37" t="s">
        <v>159</v>
      </c>
      <c r="AY25" s="37" t="s">
        <v>159</v>
      </c>
      <c r="AZ25" s="37" t="s">
        <v>159</v>
      </c>
      <c r="BA25" s="37" t="s">
        <v>159</v>
      </c>
      <c r="BB25" s="37" t="s">
        <v>159</v>
      </c>
      <c r="BC25" s="37" t="s">
        <v>159</v>
      </c>
      <c r="BD25" s="37" t="s">
        <v>159</v>
      </c>
      <c r="BE25" s="37" t="s">
        <v>159</v>
      </c>
      <c r="BF25" s="37" t="s">
        <v>159</v>
      </c>
      <c r="BG25" s="37" t="s">
        <v>159</v>
      </c>
      <c r="BH25" s="37" t="s">
        <v>159</v>
      </c>
      <c r="BI25" s="37" t="s">
        <v>159</v>
      </c>
      <c r="BJ25" s="46">
        <v>110.9</v>
      </c>
      <c r="BK25" s="46">
        <v>1719.1880000000001</v>
      </c>
      <c r="BL25" s="46">
        <v>-340.43999999999897</v>
      </c>
      <c r="BM25" s="46">
        <v>-340.43999999999897</v>
      </c>
      <c r="BN25" s="46">
        <v>0</v>
      </c>
      <c r="BO25" s="46">
        <v>0</v>
      </c>
      <c r="BP25" s="46">
        <v>0</v>
      </c>
      <c r="BQ25" s="46">
        <v>0</v>
      </c>
      <c r="BR25" s="46">
        <v>0</v>
      </c>
      <c r="BS25" s="46">
        <v>0</v>
      </c>
      <c r="BT25" s="46">
        <v>6</v>
      </c>
      <c r="BU25" s="69" t="s">
        <v>925</v>
      </c>
      <c r="BV25" s="69" t="s">
        <v>925</v>
      </c>
      <c r="BW25" s="69" t="s">
        <v>925</v>
      </c>
      <c r="BX25" s="69">
        <v>19</v>
      </c>
      <c r="BY25" s="69">
        <v>180</v>
      </c>
      <c r="BZ25" s="69">
        <v>100</v>
      </c>
      <c r="CA25" s="69">
        <v>1</v>
      </c>
      <c r="CB25" s="46">
        <v>1</v>
      </c>
      <c r="CC25" s="46">
        <v>0</v>
      </c>
      <c r="CD25" s="50" t="s">
        <v>159</v>
      </c>
      <c r="CE25" s="37"/>
      <c r="CF25" s="38"/>
    </row>
    <row r="26" spans="1:84" x14ac:dyDescent="0.25">
      <c r="A26" s="36">
        <v>23</v>
      </c>
      <c r="B26" s="46" t="s">
        <v>821</v>
      </c>
      <c r="C26" s="46">
        <v>0</v>
      </c>
      <c r="D26" s="46">
        <v>1</v>
      </c>
      <c r="E26" s="46">
        <v>1</v>
      </c>
      <c r="F26" s="46">
        <v>1</v>
      </c>
      <c r="G26" s="46">
        <v>1</v>
      </c>
      <c r="H26" s="46">
        <v>0</v>
      </c>
      <c r="I26" s="46">
        <v>0</v>
      </c>
      <c r="J26" s="46">
        <v>1</v>
      </c>
      <c r="K26" s="46">
        <v>0</v>
      </c>
      <c r="L26" s="56">
        <v>1</v>
      </c>
      <c r="M26" s="46">
        <v>64499</v>
      </c>
      <c r="N26" s="46">
        <v>38288</v>
      </c>
      <c r="O26" s="46">
        <v>68.340699999999998</v>
      </c>
      <c r="P26" s="46">
        <v>224.16550000000001</v>
      </c>
      <c r="Q26" s="46">
        <v>2</v>
      </c>
      <c r="R26" s="46">
        <v>221</v>
      </c>
      <c r="S26" s="46">
        <v>1</v>
      </c>
      <c r="T26" s="46">
        <v>881</v>
      </c>
      <c r="U26" s="46">
        <v>84.8</v>
      </c>
      <c r="V26" s="46">
        <v>1.05</v>
      </c>
      <c r="W26" s="46">
        <v>112.1884</v>
      </c>
      <c r="X26" s="46">
        <v>-309.0958</v>
      </c>
      <c r="Y26" s="46">
        <v>1578</v>
      </c>
      <c r="Z26" s="46">
        <v>7</v>
      </c>
      <c r="AA26" s="46">
        <v>2653.6190999999999</v>
      </c>
      <c r="AB26" s="46">
        <v>231.5009</v>
      </c>
      <c r="AC26" s="46">
        <v>-313.719999999999</v>
      </c>
      <c r="AD26" s="46">
        <v>89.614800000000002</v>
      </c>
      <c r="AE26" s="46">
        <v>40</v>
      </c>
      <c r="AF26" s="46">
        <v>9</v>
      </c>
      <c r="AG26" s="46">
        <v>45</v>
      </c>
      <c r="AH26" s="46">
        <v>36</v>
      </c>
      <c r="AI26" s="46">
        <v>169</v>
      </c>
      <c r="AJ26" s="46">
        <v>26</v>
      </c>
      <c r="AK26" s="46">
        <v>21</v>
      </c>
      <c r="AL26" s="46">
        <v>14</v>
      </c>
      <c r="AM26" s="46">
        <v>6</v>
      </c>
      <c r="AN26" s="46">
        <v>0</v>
      </c>
      <c r="AO26" s="46">
        <v>116.2</v>
      </c>
      <c r="AP26" s="37" t="s">
        <v>159</v>
      </c>
      <c r="AQ26" s="37" t="s">
        <v>159</v>
      </c>
      <c r="AR26" s="37" t="s">
        <v>159</v>
      </c>
      <c r="AS26" s="37" t="s">
        <v>159</v>
      </c>
      <c r="AT26" s="37" t="s">
        <v>159</v>
      </c>
      <c r="AU26" s="37" t="s">
        <v>159</v>
      </c>
      <c r="AV26" s="37" t="s">
        <v>159</v>
      </c>
      <c r="AW26" s="37" t="s">
        <v>159</v>
      </c>
      <c r="AX26" s="37" t="s">
        <v>159</v>
      </c>
      <c r="AY26" s="37" t="s">
        <v>159</v>
      </c>
      <c r="AZ26" s="37" t="s">
        <v>159</v>
      </c>
      <c r="BA26" s="37" t="s">
        <v>159</v>
      </c>
      <c r="BB26" s="37" t="s">
        <v>159</v>
      </c>
      <c r="BC26" s="37" t="s">
        <v>159</v>
      </c>
      <c r="BD26" s="37" t="s">
        <v>159</v>
      </c>
      <c r="BE26" s="37" t="s">
        <v>159</v>
      </c>
      <c r="BF26" s="37" t="s">
        <v>159</v>
      </c>
      <c r="BG26" s="37" t="s">
        <v>159</v>
      </c>
      <c r="BH26" s="37" t="s">
        <v>159</v>
      </c>
      <c r="BI26" s="37" t="s">
        <v>159</v>
      </c>
      <c r="BJ26" s="46">
        <v>116.2</v>
      </c>
      <c r="BK26" s="46">
        <v>2653.6190999999999</v>
      </c>
      <c r="BL26" s="46">
        <v>-313.719999999999</v>
      </c>
      <c r="BM26" s="46">
        <v>-313.719999999999</v>
      </c>
      <c r="BN26" s="46">
        <v>0</v>
      </c>
      <c r="BO26" s="46">
        <v>0</v>
      </c>
      <c r="BP26" s="46">
        <v>1</v>
      </c>
      <c r="BQ26" s="46">
        <v>0</v>
      </c>
      <c r="BR26" s="46">
        <v>1</v>
      </c>
      <c r="BS26" s="46">
        <v>0</v>
      </c>
      <c r="BT26" s="46">
        <v>6</v>
      </c>
      <c r="BU26" s="69" t="s">
        <v>925</v>
      </c>
      <c r="BV26" s="69" t="s">
        <v>925</v>
      </c>
      <c r="BW26" s="69" t="s">
        <v>925</v>
      </c>
      <c r="BX26" s="69">
        <v>7</v>
      </c>
      <c r="BY26" s="69">
        <v>169</v>
      </c>
      <c r="BZ26" s="69">
        <v>36</v>
      </c>
      <c r="CA26" s="69">
        <v>0</v>
      </c>
      <c r="CB26" s="46">
        <v>1</v>
      </c>
      <c r="CC26" s="46">
        <v>0</v>
      </c>
      <c r="CD26" s="50" t="s">
        <v>159</v>
      </c>
      <c r="CE26" s="37"/>
      <c r="CF26" s="38"/>
    </row>
    <row r="27" spans="1:84" x14ac:dyDescent="0.25">
      <c r="A27" s="36">
        <v>24</v>
      </c>
      <c r="B27" s="46" t="s">
        <v>822</v>
      </c>
      <c r="C27" s="46">
        <v>2</v>
      </c>
      <c r="D27" s="46">
        <v>1</v>
      </c>
      <c r="E27" s="46">
        <v>0</v>
      </c>
      <c r="F27" s="46">
        <v>1</v>
      </c>
      <c r="G27" s="46">
        <v>0</v>
      </c>
      <c r="H27" s="46">
        <v>0</v>
      </c>
      <c r="I27" s="46">
        <v>0</v>
      </c>
      <c r="J27" s="46">
        <v>1</v>
      </c>
      <c r="K27" s="46">
        <v>0</v>
      </c>
      <c r="L27" s="46">
        <v>0</v>
      </c>
      <c r="M27" s="56">
        <v>0</v>
      </c>
      <c r="N27" s="46">
        <v>34188</v>
      </c>
      <c r="O27" s="46">
        <v>40.9925</v>
      </c>
      <c r="P27" s="46">
        <v>337.76510000000002</v>
      </c>
      <c r="Q27" s="46">
        <v>1</v>
      </c>
      <c r="R27" s="46">
        <v>232</v>
      </c>
      <c r="S27" s="46">
        <v>25</v>
      </c>
      <c r="T27" s="46">
        <v>922</v>
      </c>
      <c r="U27" s="46">
        <v>97.8</v>
      </c>
      <c r="V27" s="46">
        <v>-3.22</v>
      </c>
      <c r="W27" s="46">
        <v>-80.309700000000007</v>
      </c>
      <c r="X27" s="46">
        <v>-120.5904</v>
      </c>
      <c r="Y27" s="46">
        <v>4333</v>
      </c>
      <c r="Z27" s="46">
        <v>4</v>
      </c>
      <c r="AA27" s="46">
        <v>1448.7679000000001</v>
      </c>
      <c r="AB27" s="46">
        <v>1676.1188999999999</v>
      </c>
      <c r="AC27" s="46">
        <v>-286.99999999999898</v>
      </c>
      <c r="AD27" s="46">
        <v>26.057300000000001</v>
      </c>
      <c r="AE27" s="46">
        <v>85</v>
      </c>
      <c r="AF27" s="46">
        <v>20</v>
      </c>
      <c r="AG27" s="46">
        <v>19</v>
      </c>
      <c r="AH27" s="46">
        <v>7</v>
      </c>
      <c r="AI27" s="46">
        <v>194</v>
      </c>
      <c r="AJ27" s="46">
        <v>160</v>
      </c>
      <c r="AK27" s="46">
        <v>22</v>
      </c>
      <c r="AL27" s="46">
        <v>12</v>
      </c>
      <c r="AM27" s="46">
        <v>4</v>
      </c>
      <c r="AN27" s="46">
        <v>0</v>
      </c>
      <c r="AO27" s="46">
        <v>121.5</v>
      </c>
      <c r="AP27" s="37" t="s">
        <v>159</v>
      </c>
      <c r="AQ27" s="37" t="s">
        <v>159</v>
      </c>
      <c r="AR27" s="37" t="s">
        <v>159</v>
      </c>
      <c r="AS27" s="37" t="s">
        <v>159</v>
      </c>
      <c r="AT27" s="37" t="s">
        <v>159</v>
      </c>
      <c r="AU27" s="37" t="s">
        <v>159</v>
      </c>
      <c r="AV27" s="37" t="s">
        <v>159</v>
      </c>
      <c r="AW27" s="37" t="s">
        <v>159</v>
      </c>
      <c r="AX27" s="37" t="s">
        <v>159</v>
      </c>
      <c r="AY27" s="37" t="s">
        <v>159</v>
      </c>
      <c r="AZ27" s="37" t="s">
        <v>159</v>
      </c>
      <c r="BA27" s="37" t="s">
        <v>159</v>
      </c>
      <c r="BB27" s="37" t="s">
        <v>159</v>
      </c>
      <c r="BC27" s="37" t="s">
        <v>159</v>
      </c>
      <c r="BD27" s="37" t="s">
        <v>159</v>
      </c>
      <c r="BE27" s="37" t="s">
        <v>159</v>
      </c>
      <c r="BF27" s="37" t="s">
        <v>159</v>
      </c>
      <c r="BG27" s="37" t="s">
        <v>159</v>
      </c>
      <c r="BH27" s="37" t="s">
        <v>159</v>
      </c>
      <c r="BI27" s="37" t="s">
        <v>159</v>
      </c>
      <c r="BJ27" s="46">
        <v>121.5</v>
      </c>
      <c r="BK27" s="46">
        <v>1201.3022000000001</v>
      </c>
      <c r="BL27" s="46">
        <v>301.30220000000003</v>
      </c>
      <c r="BM27" s="46">
        <v>301.30220000000003</v>
      </c>
      <c r="BN27" s="46">
        <v>0</v>
      </c>
      <c r="BO27" s="46">
        <v>0</v>
      </c>
      <c r="BP27" s="46">
        <v>0</v>
      </c>
      <c r="BQ27" s="46">
        <v>0</v>
      </c>
      <c r="BR27" s="46">
        <v>0</v>
      </c>
      <c r="BS27" s="46">
        <v>0</v>
      </c>
      <c r="BT27" s="46">
        <v>3</v>
      </c>
      <c r="BU27" s="69" t="s">
        <v>939</v>
      </c>
      <c r="BV27" s="69" t="s">
        <v>940</v>
      </c>
      <c r="BW27" s="69" t="s">
        <v>924</v>
      </c>
      <c r="BX27" s="69">
        <v>12</v>
      </c>
      <c r="BY27" s="69">
        <v>160</v>
      </c>
      <c r="BZ27" s="69">
        <v>0</v>
      </c>
      <c r="CA27" s="69">
        <v>1</v>
      </c>
      <c r="CB27" s="46">
        <v>1</v>
      </c>
      <c r="CC27" s="46">
        <v>3</v>
      </c>
      <c r="CD27" s="50" t="s">
        <v>159</v>
      </c>
      <c r="CE27" s="37"/>
      <c r="CF27" s="38"/>
    </row>
    <row r="28" spans="1:84" x14ac:dyDescent="0.25">
      <c r="A28" s="36">
        <v>25</v>
      </c>
      <c r="B28" s="46" t="s">
        <v>823</v>
      </c>
      <c r="C28" s="46">
        <v>2</v>
      </c>
      <c r="D28" s="46">
        <v>0</v>
      </c>
      <c r="E28" s="46">
        <v>0</v>
      </c>
      <c r="F28" s="46">
        <v>1</v>
      </c>
      <c r="G28" s="46">
        <v>0</v>
      </c>
      <c r="H28" s="46">
        <v>0</v>
      </c>
      <c r="I28" s="46">
        <v>0</v>
      </c>
      <c r="J28" s="46">
        <v>1</v>
      </c>
      <c r="K28" s="46">
        <v>0</v>
      </c>
      <c r="L28" s="46">
        <v>1</v>
      </c>
      <c r="M28" s="56">
        <v>65535</v>
      </c>
      <c r="N28" s="46">
        <v>31108</v>
      </c>
      <c r="O28" s="46">
        <v>285.983</v>
      </c>
      <c r="P28" s="46">
        <v>264.45370000000003</v>
      </c>
      <c r="Q28" s="46">
        <v>2</v>
      </c>
      <c r="R28" s="46">
        <v>243</v>
      </c>
      <c r="S28" s="46">
        <v>18</v>
      </c>
      <c r="T28" s="46">
        <v>963</v>
      </c>
      <c r="U28" s="46">
        <v>110.8</v>
      </c>
      <c r="V28" s="46">
        <v>-7.49</v>
      </c>
      <c r="W28" s="46">
        <v>-112.6118</v>
      </c>
      <c r="X28" s="46">
        <v>-346.37290000000002</v>
      </c>
      <c r="Y28" s="46">
        <v>3486</v>
      </c>
      <c r="Z28" s="46">
        <v>7</v>
      </c>
      <c r="AA28" s="46">
        <v>487.41680000000002</v>
      </c>
      <c r="AB28" s="46">
        <v>413.0455</v>
      </c>
      <c r="AC28" s="46">
        <v>-260.27999999999901</v>
      </c>
      <c r="AD28" s="46">
        <v>28.041699999999999</v>
      </c>
      <c r="AE28" s="46">
        <v>39</v>
      </c>
      <c r="AF28" s="46">
        <v>42</v>
      </c>
      <c r="AG28" s="46">
        <v>31</v>
      </c>
      <c r="AH28" s="46">
        <v>76</v>
      </c>
      <c r="AI28" s="46">
        <v>134</v>
      </c>
      <c r="AJ28" s="46">
        <v>242</v>
      </c>
      <c r="AK28" s="46">
        <v>23</v>
      </c>
      <c r="AL28" s="46">
        <v>10</v>
      </c>
      <c r="AM28" s="46">
        <v>2</v>
      </c>
      <c r="AN28" s="46">
        <v>1</v>
      </c>
      <c r="AO28" s="46">
        <v>126.8</v>
      </c>
      <c r="AP28" s="37" t="s">
        <v>159</v>
      </c>
      <c r="AQ28" s="37" t="s">
        <v>159</v>
      </c>
      <c r="AR28" s="37" t="s">
        <v>159</v>
      </c>
      <c r="AS28" s="37" t="s">
        <v>159</v>
      </c>
      <c r="AT28" s="37" t="s">
        <v>159</v>
      </c>
      <c r="AU28" s="37" t="s">
        <v>159</v>
      </c>
      <c r="AV28" s="37" t="s">
        <v>159</v>
      </c>
      <c r="AW28" s="37" t="s">
        <v>159</v>
      </c>
      <c r="AX28" s="37" t="s">
        <v>159</v>
      </c>
      <c r="AY28" s="37" t="s">
        <v>159</v>
      </c>
      <c r="AZ28" s="37" t="s">
        <v>159</v>
      </c>
      <c r="BA28" s="37" t="s">
        <v>159</v>
      </c>
      <c r="BB28" s="37" t="s">
        <v>159</v>
      </c>
      <c r="BC28" s="37" t="s">
        <v>159</v>
      </c>
      <c r="BD28" s="37" t="s">
        <v>159</v>
      </c>
      <c r="BE28" s="37" t="s">
        <v>159</v>
      </c>
      <c r="BF28" s="37" t="s">
        <v>159</v>
      </c>
      <c r="BG28" s="37" t="s">
        <v>159</v>
      </c>
      <c r="BH28" s="37" t="s">
        <v>159</v>
      </c>
      <c r="BI28" s="37" t="s">
        <v>159</v>
      </c>
      <c r="BJ28" s="46">
        <v>126.8</v>
      </c>
      <c r="BK28" s="46">
        <v>758.59479999999996</v>
      </c>
      <c r="BL28" s="46">
        <v>-141.40520000000001</v>
      </c>
      <c r="BM28" s="46">
        <v>-141.40520000000001</v>
      </c>
      <c r="BN28" s="46">
        <v>1</v>
      </c>
      <c r="BO28" s="46">
        <v>0</v>
      </c>
      <c r="BP28" s="46">
        <v>0</v>
      </c>
      <c r="BQ28" s="46">
        <v>0</v>
      </c>
      <c r="BR28" s="46">
        <v>0</v>
      </c>
      <c r="BS28" s="46">
        <v>0</v>
      </c>
      <c r="BT28" s="46">
        <v>1</v>
      </c>
      <c r="BU28" s="69" t="s">
        <v>939</v>
      </c>
      <c r="BV28" s="69" t="s">
        <v>941</v>
      </c>
      <c r="BW28" s="69" t="s">
        <v>924</v>
      </c>
      <c r="BX28" s="69">
        <v>8</v>
      </c>
      <c r="BY28" s="69">
        <v>169</v>
      </c>
      <c r="BZ28" s="69">
        <v>45</v>
      </c>
      <c r="CA28" s="69">
        <v>1</v>
      </c>
      <c r="CB28" s="46">
        <v>1</v>
      </c>
      <c r="CC28" s="46">
        <v>3</v>
      </c>
      <c r="CD28" s="50" t="s">
        <v>159</v>
      </c>
      <c r="CE28" s="37"/>
      <c r="CF28" s="38"/>
    </row>
    <row r="29" spans="1:84" x14ac:dyDescent="0.25">
      <c r="A29" s="36">
        <v>26</v>
      </c>
      <c r="B29" s="46" t="s">
        <v>824</v>
      </c>
      <c r="C29" s="46">
        <v>1</v>
      </c>
      <c r="D29" s="46">
        <v>0</v>
      </c>
      <c r="E29" s="46">
        <v>1</v>
      </c>
      <c r="F29" s="46">
        <v>1</v>
      </c>
      <c r="G29" s="46">
        <v>0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56">
        <v>29067</v>
      </c>
      <c r="N29" s="46">
        <v>38456</v>
      </c>
      <c r="O29" s="46">
        <v>263.47089999999997</v>
      </c>
      <c r="P29" s="46">
        <v>23.0686</v>
      </c>
      <c r="Q29" s="46">
        <v>4</v>
      </c>
      <c r="R29" s="46">
        <v>254</v>
      </c>
      <c r="S29" s="46">
        <v>16</v>
      </c>
      <c r="T29" s="46">
        <v>1004</v>
      </c>
      <c r="U29" s="46">
        <v>123.8</v>
      </c>
      <c r="V29" s="46">
        <v>-11.76</v>
      </c>
      <c r="W29" s="46">
        <v>328.55610000000001</v>
      </c>
      <c r="X29" s="46">
        <v>201.0239</v>
      </c>
      <c r="Y29" s="46">
        <v>4072</v>
      </c>
      <c r="Z29" s="46">
        <v>20</v>
      </c>
      <c r="AA29" s="46">
        <v>2059.5581000000002</v>
      </c>
      <c r="AB29" s="46">
        <v>1693.0208</v>
      </c>
      <c r="AC29" s="46">
        <v>-233.55999999999901</v>
      </c>
      <c r="AD29" s="46">
        <v>26.232900000000001</v>
      </c>
      <c r="AE29" s="46">
        <v>49</v>
      </c>
      <c r="AF29" s="46">
        <v>12</v>
      </c>
      <c r="AG29" s="46">
        <v>7</v>
      </c>
      <c r="AH29" s="46">
        <v>37</v>
      </c>
      <c r="AI29" s="46">
        <v>254</v>
      </c>
      <c r="AJ29" s="46">
        <v>58</v>
      </c>
      <c r="AK29" s="46">
        <v>24</v>
      </c>
      <c r="AL29" s="46">
        <v>8</v>
      </c>
      <c r="AM29" s="46">
        <v>6</v>
      </c>
      <c r="AN29" s="46">
        <v>0</v>
      </c>
      <c r="AO29" s="46">
        <v>132.1</v>
      </c>
      <c r="AP29" s="37" t="s">
        <v>159</v>
      </c>
      <c r="AQ29" s="37" t="s">
        <v>159</v>
      </c>
      <c r="AR29" s="37" t="s">
        <v>159</v>
      </c>
      <c r="AS29" s="37" t="s">
        <v>159</v>
      </c>
      <c r="AT29" s="37" t="s">
        <v>159</v>
      </c>
      <c r="AU29" s="37" t="s">
        <v>159</v>
      </c>
      <c r="AV29" s="37" t="s">
        <v>159</v>
      </c>
      <c r="AW29" s="37" t="s">
        <v>159</v>
      </c>
      <c r="AX29" s="37" t="s">
        <v>159</v>
      </c>
      <c r="AY29" s="37" t="s">
        <v>159</v>
      </c>
      <c r="AZ29" s="37" t="s">
        <v>159</v>
      </c>
      <c r="BA29" s="37" t="s">
        <v>159</v>
      </c>
      <c r="BB29" s="37" t="s">
        <v>159</v>
      </c>
      <c r="BC29" s="37" t="s">
        <v>159</v>
      </c>
      <c r="BD29" s="37" t="s">
        <v>159</v>
      </c>
      <c r="BE29" s="37" t="s">
        <v>159</v>
      </c>
      <c r="BF29" s="37" t="s">
        <v>159</v>
      </c>
      <c r="BG29" s="37" t="s">
        <v>159</v>
      </c>
      <c r="BH29" s="37" t="s">
        <v>159</v>
      </c>
      <c r="BI29" s="37" t="s">
        <v>159</v>
      </c>
      <c r="BJ29" s="46">
        <v>1719.11122727273</v>
      </c>
      <c r="BK29" s="46">
        <v>1734.9148</v>
      </c>
      <c r="BL29" s="46">
        <v>819.11122727272698</v>
      </c>
      <c r="BM29" s="46">
        <v>819.11122727272698</v>
      </c>
      <c r="BN29" s="46">
        <v>0</v>
      </c>
      <c r="BO29" s="46">
        <v>0</v>
      </c>
      <c r="BP29" s="46">
        <v>0</v>
      </c>
      <c r="BQ29" s="46">
        <v>0</v>
      </c>
      <c r="BR29" s="46">
        <v>0</v>
      </c>
      <c r="BS29" s="46">
        <v>0</v>
      </c>
      <c r="BT29" s="46">
        <v>5</v>
      </c>
      <c r="BU29" s="69" t="s">
        <v>939</v>
      </c>
      <c r="BV29" s="69" t="s">
        <v>940</v>
      </c>
      <c r="BW29" s="69" t="s">
        <v>924</v>
      </c>
      <c r="BX29" s="69">
        <v>16</v>
      </c>
      <c r="BY29" s="69">
        <v>58</v>
      </c>
      <c r="BZ29" s="69">
        <v>30</v>
      </c>
      <c r="CA29" s="69">
        <v>1</v>
      </c>
      <c r="CB29" s="46">
        <v>1</v>
      </c>
      <c r="CC29" s="46">
        <v>3</v>
      </c>
      <c r="CD29" s="50" t="s">
        <v>159</v>
      </c>
      <c r="CE29" s="37"/>
      <c r="CF29" s="38"/>
    </row>
    <row r="30" spans="1:84" x14ac:dyDescent="0.25">
      <c r="A30" s="36">
        <v>27</v>
      </c>
      <c r="B30" s="46" t="s">
        <v>825</v>
      </c>
      <c r="C30" s="46">
        <v>2</v>
      </c>
      <c r="D30" s="46">
        <v>0</v>
      </c>
      <c r="E30" s="46">
        <v>0</v>
      </c>
      <c r="F30" s="46">
        <v>1</v>
      </c>
      <c r="G30" s="46">
        <v>0</v>
      </c>
      <c r="H30" s="46">
        <v>0</v>
      </c>
      <c r="I30" s="46">
        <v>1</v>
      </c>
      <c r="J30" s="46">
        <v>1</v>
      </c>
      <c r="K30" s="46">
        <v>0</v>
      </c>
      <c r="L30" s="46">
        <v>0</v>
      </c>
      <c r="M30" s="46">
        <v>25199</v>
      </c>
      <c r="N30" s="56">
        <v>0</v>
      </c>
      <c r="O30" s="46">
        <v>337.06659999999999</v>
      </c>
      <c r="P30" s="46">
        <v>123.1194</v>
      </c>
      <c r="Q30" s="46">
        <v>4</v>
      </c>
      <c r="R30" s="46">
        <v>265</v>
      </c>
      <c r="S30" s="46">
        <v>26</v>
      </c>
      <c r="T30" s="46">
        <v>1045</v>
      </c>
      <c r="U30" s="46">
        <v>136.80000000000001</v>
      </c>
      <c r="V30" s="46">
        <v>-16.03</v>
      </c>
      <c r="W30" s="46">
        <v>90.204999999999998</v>
      </c>
      <c r="X30" s="46">
        <v>-14.876799999999999</v>
      </c>
      <c r="Y30" s="46">
        <v>3411</v>
      </c>
      <c r="Z30" s="46">
        <v>0</v>
      </c>
      <c r="AA30" s="46">
        <v>1053.8081</v>
      </c>
      <c r="AB30" s="46">
        <v>1022.0171</v>
      </c>
      <c r="AC30" s="46">
        <v>-206.83999999999901</v>
      </c>
      <c r="AD30" s="46">
        <v>62.976399999999998</v>
      </c>
      <c r="AE30" s="46">
        <v>94</v>
      </c>
      <c r="AF30" s="46">
        <v>20</v>
      </c>
      <c r="AG30" s="46">
        <v>38</v>
      </c>
      <c r="AH30" s="46">
        <v>1</v>
      </c>
      <c r="AI30" s="46">
        <v>59</v>
      </c>
      <c r="AJ30" s="46">
        <v>42</v>
      </c>
      <c r="AK30" s="46">
        <v>25</v>
      </c>
      <c r="AL30" s="46">
        <v>6</v>
      </c>
      <c r="AM30" s="46">
        <v>6</v>
      </c>
      <c r="AN30" s="46">
        <v>1</v>
      </c>
      <c r="AO30" s="46">
        <v>137.4</v>
      </c>
      <c r="AP30" s="37" t="s">
        <v>159</v>
      </c>
      <c r="AQ30" s="37" t="s">
        <v>159</v>
      </c>
      <c r="AR30" s="37" t="s">
        <v>159</v>
      </c>
      <c r="AS30" s="37" t="s">
        <v>159</v>
      </c>
      <c r="AT30" s="37" t="s">
        <v>159</v>
      </c>
      <c r="AU30" s="37" t="s">
        <v>159</v>
      </c>
      <c r="AV30" s="37" t="s">
        <v>159</v>
      </c>
      <c r="AW30" s="37" t="s">
        <v>159</v>
      </c>
      <c r="AX30" s="37" t="s">
        <v>159</v>
      </c>
      <c r="AY30" s="37" t="s">
        <v>159</v>
      </c>
      <c r="AZ30" s="37" t="s">
        <v>159</v>
      </c>
      <c r="BA30" s="37" t="s">
        <v>159</v>
      </c>
      <c r="BB30" s="37" t="s">
        <v>159</v>
      </c>
      <c r="BC30" s="37" t="s">
        <v>159</v>
      </c>
      <c r="BD30" s="37" t="s">
        <v>159</v>
      </c>
      <c r="BE30" s="37" t="s">
        <v>159</v>
      </c>
      <c r="BF30" s="37" t="s">
        <v>159</v>
      </c>
      <c r="BG30" s="37" t="s">
        <v>159</v>
      </c>
      <c r="BH30" s="37" t="s">
        <v>159</v>
      </c>
      <c r="BI30" s="37" t="s">
        <v>159</v>
      </c>
      <c r="BJ30" s="46">
        <v>137.4</v>
      </c>
      <c r="BK30" s="46">
        <v>1686.8616</v>
      </c>
      <c r="BL30" s="46">
        <v>786.86159999999995</v>
      </c>
      <c r="BM30" s="46">
        <v>786.86159999999995</v>
      </c>
      <c r="BN30" s="46">
        <v>1</v>
      </c>
      <c r="BO30" s="46">
        <v>0</v>
      </c>
      <c r="BP30" s="46">
        <v>0</v>
      </c>
      <c r="BQ30" s="46">
        <v>0</v>
      </c>
      <c r="BR30" s="46">
        <v>0</v>
      </c>
      <c r="BS30" s="46">
        <v>0</v>
      </c>
      <c r="BT30" s="46">
        <v>5</v>
      </c>
      <c r="BU30" s="69" t="s">
        <v>939</v>
      </c>
      <c r="BV30" s="69" t="s">
        <v>942</v>
      </c>
      <c r="BW30" s="69" t="s">
        <v>924</v>
      </c>
      <c r="BX30" s="69">
        <v>16</v>
      </c>
      <c r="BY30" s="69">
        <v>42</v>
      </c>
      <c r="BZ30" s="69">
        <v>0</v>
      </c>
      <c r="CA30" s="69">
        <v>1</v>
      </c>
      <c r="CB30" s="46">
        <v>1</v>
      </c>
      <c r="CC30" s="46">
        <v>3</v>
      </c>
      <c r="CD30" s="50" t="s">
        <v>159</v>
      </c>
      <c r="CE30" s="37"/>
      <c r="CF30" s="38"/>
    </row>
    <row r="31" spans="1:84" x14ac:dyDescent="0.25">
      <c r="A31" s="36">
        <v>28</v>
      </c>
      <c r="B31" s="46" t="s">
        <v>826</v>
      </c>
      <c r="C31" s="46">
        <v>2</v>
      </c>
      <c r="D31" s="46">
        <v>1</v>
      </c>
      <c r="E31" s="46">
        <v>1</v>
      </c>
      <c r="F31" s="46">
        <v>1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1</v>
      </c>
      <c r="M31" s="46">
        <v>32296</v>
      </c>
      <c r="N31" s="56">
        <v>65535</v>
      </c>
      <c r="O31" s="46">
        <v>165.78899999999999</v>
      </c>
      <c r="P31" s="46">
        <v>138.4674</v>
      </c>
      <c r="Q31" s="46">
        <v>3</v>
      </c>
      <c r="R31" s="46">
        <v>276</v>
      </c>
      <c r="S31" s="46">
        <v>16</v>
      </c>
      <c r="T31" s="46">
        <v>1086</v>
      </c>
      <c r="U31" s="46">
        <v>149.80000000000001</v>
      </c>
      <c r="V31" s="46">
        <v>-20.3</v>
      </c>
      <c r="W31" s="46">
        <v>-152.01169999999999</v>
      </c>
      <c r="X31" s="46">
        <v>-266.35640000000001</v>
      </c>
      <c r="Y31" s="46">
        <v>2945</v>
      </c>
      <c r="Z31" s="46">
        <v>16</v>
      </c>
      <c r="AA31" s="46">
        <v>816.22349999999994</v>
      </c>
      <c r="AB31" s="46">
        <v>1501.6986999999999</v>
      </c>
      <c r="AC31" s="46">
        <v>-180.11999999999901</v>
      </c>
      <c r="AD31" s="46">
        <v>27.544599999999999</v>
      </c>
      <c r="AE31" s="46">
        <v>56</v>
      </c>
      <c r="AF31" s="46">
        <v>15</v>
      </c>
      <c r="AG31" s="46">
        <v>29</v>
      </c>
      <c r="AH31" s="46">
        <v>34</v>
      </c>
      <c r="AI31" s="46">
        <v>199</v>
      </c>
      <c r="AJ31" s="46">
        <v>237</v>
      </c>
      <c r="AK31" s="46">
        <v>26</v>
      </c>
      <c r="AL31" s="46">
        <v>4</v>
      </c>
      <c r="AM31" s="46">
        <v>1</v>
      </c>
      <c r="AN31" s="46">
        <v>0</v>
      </c>
      <c r="AO31" s="46">
        <v>142.69999999999999</v>
      </c>
      <c r="AP31" s="37" t="s">
        <v>159</v>
      </c>
      <c r="AQ31" s="37" t="s">
        <v>159</v>
      </c>
      <c r="AR31" s="37" t="s">
        <v>159</v>
      </c>
      <c r="AS31" s="37" t="s">
        <v>159</v>
      </c>
      <c r="AT31" s="37" t="s">
        <v>159</v>
      </c>
      <c r="AU31" s="37" t="s">
        <v>159</v>
      </c>
      <c r="AV31" s="37" t="s">
        <v>159</v>
      </c>
      <c r="AW31" s="37" t="s">
        <v>159</v>
      </c>
      <c r="AX31" s="37" t="s">
        <v>159</v>
      </c>
      <c r="AY31" s="37" t="s">
        <v>159</v>
      </c>
      <c r="AZ31" s="37" t="s">
        <v>159</v>
      </c>
      <c r="BA31" s="37" t="s">
        <v>159</v>
      </c>
      <c r="BB31" s="37" t="s">
        <v>159</v>
      </c>
      <c r="BC31" s="37" t="s">
        <v>159</v>
      </c>
      <c r="BD31" s="37" t="s">
        <v>159</v>
      </c>
      <c r="BE31" s="37" t="s">
        <v>159</v>
      </c>
      <c r="BF31" s="37" t="s">
        <v>159</v>
      </c>
      <c r="BG31" s="37" t="s">
        <v>159</v>
      </c>
      <c r="BH31" s="37" t="s">
        <v>159</v>
      </c>
      <c r="BI31" s="37" t="s">
        <v>159</v>
      </c>
      <c r="BJ31" s="46">
        <v>674.91990909090896</v>
      </c>
      <c r="BK31" s="46">
        <v>677.80070000000001</v>
      </c>
      <c r="BL31" s="46">
        <v>-225.08009090909101</v>
      </c>
      <c r="BM31" s="46">
        <v>-225.08009090909101</v>
      </c>
      <c r="BN31" s="46">
        <v>0</v>
      </c>
      <c r="BO31" s="46">
        <v>0</v>
      </c>
      <c r="BP31" s="46">
        <v>0</v>
      </c>
      <c r="BQ31" s="46">
        <v>0</v>
      </c>
      <c r="BR31" s="46">
        <v>0</v>
      </c>
      <c r="BS31" s="46">
        <v>0</v>
      </c>
      <c r="BT31" s="46">
        <v>0</v>
      </c>
      <c r="BU31" s="69" t="s">
        <v>930</v>
      </c>
      <c r="BV31" s="69" t="s">
        <v>925</v>
      </c>
      <c r="BW31" s="69" t="s">
        <v>925</v>
      </c>
      <c r="BX31" s="69">
        <v>7</v>
      </c>
      <c r="BY31" s="69">
        <v>200</v>
      </c>
      <c r="BZ31" s="69">
        <v>5</v>
      </c>
      <c r="CA31" s="69">
        <v>0</v>
      </c>
      <c r="CB31" s="46">
        <v>1</v>
      </c>
      <c r="CC31" s="46">
        <v>2</v>
      </c>
      <c r="CD31" s="50" t="s">
        <v>159</v>
      </c>
      <c r="CE31" s="37"/>
      <c r="CF31" s="38"/>
    </row>
    <row r="32" spans="1:84" x14ac:dyDescent="0.25">
      <c r="A32" s="36">
        <v>29</v>
      </c>
      <c r="B32" s="46" t="s">
        <v>827</v>
      </c>
      <c r="C32" s="46">
        <v>0</v>
      </c>
      <c r="D32" s="46">
        <v>1</v>
      </c>
      <c r="E32" s="46">
        <v>0</v>
      </c>
      <c r="F32" s="46">
        <v>1</v>
      </c>
      <c r="G32" s="46">
        <v>0</v>
      </c>
      <c r="H32" s="46">
        <v>0</v>
      </c>
      <c r="I32" s="46">
        <v>1</v>
      </c>
      <c r="J32" s="46">
        <v>0</v>
      </c>
      <c r="K32" s="46">
        <v>0</v>
      </c>
      <c r="L32" s="46">
        <v>1</v>
      </c>
      <c r="M32" s="46">
        <v>58986</v>
      </c>
      <c r="N32" s="56">
        <v>52864</v>
      </c>
      <c r="O32" s="46">
        <v>328.03030000000001</v>
      </c>
      <c r="P32" s="46">
        <v>206.35990000000001</v>
      </c>
      <c r="Q32" s="46">
        <v>4</v>
      </c>
      <c r="R32" s="46">
        <v>287</v>
      </c>
      <c r="S32" s="46">
        <v>27</v>
      </c>
      <c r="T32" s="46">
        <v>1127</v>
      </c>
      <c r="U32" s="46">
        <v>162.80000000000001</v>
      </c>
      <c r="V32" s="46">
        <v>-24.57</v>
      </c>
      <c r="W32" s="46">
        <v>156.886</v>
      </c>
      <c r="X32" s="46">
        <v>256.56509999999997</v>
      </c>
      <c r="Y32" s="46">
        <v>184</v>
      </c>
      <c r="Z32" s="46">
        <v>0</v>
      </c>
      <c r="AA32" s="46">
        <v>2065.9184</v>
      </c>
      <c r="AB32" s="46">
        <v>1154.3296</v>
      </c>
      <c r="AC32" s="46">
        <v>-153.39999999999901</v>
      </c>
      <c r="AD32" s="46">
        <v>3.1941000000000002</v>
      </c>
      <c r="AE32" s="46">
        <v>26</v>
      </c>
      <c r="AF32" s="46">
        <v>21</v>
      </c>
      <c r="AG32" s="46">
        <v>26</v>
      </c>
      <c r="AH32" s="46">
        <v>53</v>
      </c>
      <c r="AI32" s="46">
        <v>205</v>
      </c>
      <c r="AJ32" s="46">
        <v>177</v>
      </c>
      <c r="AK32" s="46">
        <v>27</v>
      </c>
      <c r="AL32" s="46">
        <v>2</v>
      </c>
      <c r="AM32" s="46">
        <v>6</v>
      </c>
      <c r="AN32" s="46">
        <v>0</v>
      </c>
      <c r="AO32" s="46">
        <v>148</v>
      </c>
      <c r="AP32" s="37" t="s">
        <v>159</v>
      </c>
      <c r="AQ32" s="37" t="s">
        <v>159</v>
      </c>
      <c r="AR32" s="37" t="s">
        <v>159</v>
      </c>
      <c r="AS32" s="37" t="s">
        <v>159</v>
      </c>
      <c r="AT32" s="37" t="s">
        <v>159</v>
      </c>
      <c r="AU32" s="37" t="s">
        <v>159</v>
      </c>
      <c r="AV32" s="37" t="s">
        <v>159</v>
      </c>
      <c r="AW32" s="37" t="s">
        <v>159</v>
      </c>
      <c r="AX32" s="37" t="s">
        <v>159</v>
      </c>
      <c r="AY32" s="37" t="s">
        <v>159</v>
      </c>
      <c r="AZ32" s="37" t="s">
        <v>159</v>
      </c>
      <c r="BA32" s="37" t="s">
        <v>159</v>
      </c>
      <c r="BB32" s="37" t="s">
        <v>159</v>
      </c>
      <c r="BC32" s="37" t="s">
        <v>159</v>
      </c>
      <c r="BD32" s="37" t="s">
        <v>159</v>
      </c>
      <c r="BE32" s="37" t="s">
        <v>159</v>
      </c>
      <c r="BF32" s="37" t="s">
        <v>159</v>
      </c>
      <c r="BG32" s="37" t="s">
        <v>159</v>
      </c>
      <c r="BH32" s="37" t="s">
        <v>159</v>
      </c>
      <c r="BI32" s="37" t="s">
        <v>159</v>
      </c>
      <c r="BJ32" s="46">
        <v>1613.5430909090901</v>
      </c>
      <c r="BK32" s="46">
        <v>1611.1442999999999</v>
      </c>
      <c r="BL32" s="46">
        <v>713.54309090909101</v>
      </c>
      <c r="BM32" s="46">
        <v>713.54309090909101</v>
      </c>
      <c r="BN32" s="46">
        <v>0</v>
      </c>
      <c r="BO32" s="46">
        <v>0</v>
      </c>
      <c r="BP32" s="46">
        <v>0</v>
      </c>
      <c r="BQ32" s="46">
        <v>0</v>
      </c>
      <c r="BR32" s="46">
        <v>0</v>
      </c>
      <c r="BS32" s="46">
        <v>0</v>
      </c>
      <c r="BT32" s="46">
        <v>5</v>
      </c>
      <c r="BU32" s="69" t="s">
        <v>939</v>
      </c>
      <c r="BV32" s="69" t="s">
        <v>940</v>
      </c>
      <c r="BW32" s="69" t="s">
        <v>924</v>
      </c>
      <c r="BX32" s="69">
        <v>15</v>
      </c>
      <c r="BY32" s="69">
        <v>177</v>
      </c>
      <c r="BZ32" s="69">
        <v>27</v>
      </c>
      <c r="CA32" s="69">
        <v>1</v>
      </c>
      <c r="CB32" s="46">
        <v>1</v>
      </c>
      <c r="CC32" s="46">
        <v>3</v>
      </c>
      <c r="CD32" s="50" t="s">
        <v>159</v>
      </c>
      <c r="CE32" s="37"/>
      <c r="CF32" s="38"/>
    </row>
    <row r="33" spans="1:84" x14ac:dyDescent="0.25">
      <c r="A33" s="36">
        <v>30</v>
      </c>
      <c r="B33" s="46" t="s">
        <v>828</v>
      </c>
      <c r="C33" s="46">
        <v>2</v>
      </c>
      <c r="D33" s="46">
        <v>0</v>
      </c>
      <c r="E33" s="46">
        <v>0</v>
      </c>
      <c r="F33" s="46">
        <v>1</v>
      </c>
      <c r="G33" s="46">
        <v>0</v>
      </c>
      <c r="H33" s="46">
        <v>0</v>
      </c>
      <c r="I33" s="46">
        <v>1</v>
      </c>
      <c r="J33" s="46">
        <v>0</v>
      </c>
      <c r="K33" s="46">
        <v>0</v>
      </c>
      <c r="L33" s="46">
        <v>1</v>
      </c>
      <c r="M33" s="46">
        <v>11102</v>
      </c>
      <c r="N33" s="46">
        <v>56743</v>
      </c>
      <c r="O33" s="56">
        <v>0</v>
      </c>
      <c r="P33" s="46">
        <v>89.561199999999999</v>
      </c>
      <c r="Q33" s="46">
        <v>0</v>
      </c>
      <c r="R33" s="46">
        <v>298</v>
      </c>
      <c r="S33" s="46">
        <v>11</v>
      </c>
      <c r="T33" s="46">
        <v>1168</v>
      </c>
      <c r="U33" s="46">
        <v>175.8</v>
      </c>
      <c r="V33" s="46">
        <v>-28.84</v>
      </c>
      <c r="W33" s="46">
        <v>258.13720000000001</v>
      </c>
      <c r="X33" s="46">
        <v>238.5402</v>
      </c>
      <c r="Y33" s="46">
        <v>1581</v>
      </c>
      <c r="Z33" s="46">
        <v>2</v>
      </c>
      <c r="AA33" s="46">
        <v>2782.6979000000001</v>
      </c>
      <c r="AB33" s="46">
        <v>941.34720000000004</v>
      </c>
      <c r="AC33" s="46">
        <v>-126.679999999999</v>
      </c>
      <c r="AD33" s="46">
        <v>86.932900000000004</v>
      </c>
      <c r="AE33" s="46">
        <v>15</v>
      </c>
      <c r="AF33" s="46">
        <v>45</v>
      </c>
      <c r="AG33" s="46">
        <v>8</v>
      </c>
      <c r="AH33" s="46">
        <v>61</v>
      </c>
      <c r="AI33" s="46">
        <v>107</v>
      </c>
      <c r="AJ33" s="46">
        <v>63</v>
      </c>
      <c r="AK33" s="46">
        <v>28</v>
      </c>
      <c r="AL33" s="46">
        <v>0</v>
      </c>
      <c r="AM33" s="46">
        <v>6</v>
      </c>
      <c r="AN33" s="46">
        <v>1</v>
      </c>
      <c r="AO33" s="46">
        <v>153.30000000000001</v>
      </c>
      <c r="AP33" s="37" t="s">
        <v>159</v>
      </c>
      <c r="AQ33" s="37" t="s">
        <v>159</v>
      </c>
      <c r="AR33" s="37" t="s">
        <v>159</v>
      </c>
      <c r="AS33" s="37" t="s">
        <v>159</v>
      </c>
      <c r="AT33" s="37" t="s">
        <v>159</v>
      </c>
      <c r="AU33" s="37" t="s">
        <v>159</v>
      </c>
      <c r="AV33" s="37" t="s">
        <v>159</v>
      </c>
      <c r="AW33" s="37" t="s">
        <v>159</v>
      </c>
      <c r="AX33" s="37" t="s">
        <v>159</v>
      </c>
      <c r="AY33" s="37" t="s">
        <v>159</v>
      </c>
      <c r="AZ33" s="37" t="s">
        <v>159</v>
      </c>
      <c r="BA33" s="37" t="s">
        <v>159</v>
      </c>
      <c r="BB33" s="37" t="s">
        <v>159</v>
      </c>
      <c r="BC33" s="37" t="s">
        <v>159</v>
      </c>
      <c r="BD33" s="37" t="s">
        <v>159</v>
      </c>
      <c r="BE33" s="37" t="s">
        <v>159</v>
      </c>
      <c r="BF33" s="37" t="s">
        <v>159</v>
      </c>
      <c r="BG33" s="37" t="s">
        <v>159</v>
      </c>
      <c r="BH33" s="37" t="s">
        <v>159</v>
      </c>
      <c r="BI33" s="37" t="s">
        <v>159</v>
      </c>
      <c r="BJ33" s="46">
        <v>95.918636363636395</v>
      </c>
      <c r="BK33" s="46">
        <v>101.86279999999999</v>
      </c>
      <c r="BL33" s="46">
        <v>-804.08136363636402</v>
      </c>
      <c r="BM33" s="46">
        <v>-804.08136363636402</v>
      </c>
      <c r="BN33" s="46">
        <v>1</v>
      </c>
      <c r="BO33" s="46">
        <v>0</v>
      </c>
      <c r="BP33" s="46">
        <v>0</v>
      </c>
      <c r="BQ33" s="46">
        <v>0</v>
      </c>
      <c r="BR33" s="46">
        <v>0</v>
      </c>
      <c r="BS33" s="46">
        <v>0</v>
      </c>
      <c r="BT33" s="46">
        <v>5</v>
      </c>
      <c r="BU33" s="69" t="s">
        <v>939</v>
      </c>
      <c r="BV33" s="69" t="s">
        <v>942</v>
      </c>
      <c r="BW33" s="69" t="s">
        <v>924</v>
      </c>
      <c r="BX33" s="69">
        <v>2</v>
      </c>
      <c r="BY33" s="69">
        <v>63</v>
      </c>
      <c r="BZ33" s="69">
        <v>53</v>
      </c>
      <c r="CA33" s="69">
        <v>1</v>
      </c>
      <c r="CB33" s="46">
        <v>1</v>
      </c>
      <c r="CC33" s="46">
        <v>3</v>
      </c>
      <c r="CD33" s="50" t="s">
        <v>159</v>
      </c>
      <c r="CE33" s="37"/>
      <c r="CF33" s="38"/>
    </row>
    <row r="34" spans="1:84" x14ac:dyDescent="0.25">
      <c r="A34" s="36">
        <v>31</v>
      </c>
      <c r="B34" s="46" t="s">
        <v>829</v>
      </c>
      <c r="C34" s="46">
        <v>2</v>
      </c>
      <c r="D34" s="46">
        <v>1</v>
      </c>
      <c r="E34" s="46">
        <v>0</v>
      </c>
      <c r="F34" s="46">
        <v>1</v>
      </c>
      <c r="G34" s="46">
        <v>0</v>
      </c>
      <c r="H34" s="46">
        <v>0</v>
      </c>
      <c r="I34" s="46">
        <v>1</v>
      </c>
      <c r="J34" s="46">
        <v>0</v>
      </c>
      <c r="K34" s="46">
        <v>0</v>
      </c>
      <c r="L34" s="46">
        <v>0</v>
      </c>
      <c r="M34" s="46">
        <v>54095</v>
      </c>
      <c r="N34" s="46">
        <v>16973</v>
      </c>
      <c r="O34" s="56">
        <v>360</v>
      </c>
      <c r="P34" s="46">
        <v>337.25810000000001</v>
      </c>
      <c r="Q34" s="46">
        <v>4</v>
      </c>
      <c r="R34" s="46">
        <v>309</v>
      </c>
      <c r="S34" s="46">
        <v>4</v>
      </c>
      <c r="T34" s="46">
        <v>1209</v>
      </c>
      <c r="U34" s="46">
        <v>188.8</v>
      </c>
      <c r="V34" s="46">
        <v>-33.11</v>
      </c>
      <c r="W34" s="46">
        <v>-290.51170000000002</v>
      </c>
      <c r="X34" s="46">
        <v>281.83339999999998</v>
      </c>
      <c r="Y34" s="46">
        <v>4303</v>
      </c>
      <c r="Z34" s="46">
        <v>4</v>
      </c>
      <c r="AA34" s="46">
        <v>1413.7043000000001</v>
      </c>
      <c r="AB34" s="46">
        <v>986.7509</v>
      </c>
      <c r="AC34" s="46">
        <v>-99.959999999998999</v>
      </c>
      <c r="AD34" s="46">
        <v>47.404800000000002</v>
      </c>
      <c r="AE34" s="46">
        <v>44</v>
      </c>
      <c r="AF34" s="46">
        <v>23</v>
      </c>
      <c r="AG34" s="46">
        <v>39</v>
      </c>
      <c r="AH34" s="46">
        <v>94</v>
      </c>
      <c r="AI34" s="46">
        <v>117</v>
      </c>
      <c r="AJ34" s="46">
        <v>170</v>
      </c>
      <c r="AK34" s="46">
        <v>29</v>
      </c>
      <c r="AL34" s="46">
        <v>3</v>
      </c>
      <c r="AM34" s="46">
        <v>0</v>
      </c>
      <c r="AN34" s="46">
        <v>0</v>
      </c>
      <c r="AO34" s="46">
        <v>158.6</v>
      </c>
      <c r="AP34" s="37" t="s">
        <v>159</v>
      </c>
      <c r="AQ34" s="37" t="s">
        <v>159</v>
      </c>
      <c r="AR34" s="37" t="s">
        <v>159</v>
      </c>
      <c r="AS34" s="37" t="s">
        <v>159</v>
      </c>
      <c r="AT34" s="37" t="s">
        <v>159</v>
      </c>
      <c r="AU34" s="37" t="s">
        <v>159</v>
      </c>
      <c r="AV34" s="37" t="s">
        <v>159</v>
      </c>
      <c r="AW34" s="37" t="s">
        <v>159</v>
      </c>
      <c r="AX34" s="37" t="s">
        <v>159</v>
      </c>
      <c r="AY34" s="37" t="s">
        <v>159</v>
      </c>
      <c r="AZ34" s="37" t="s">
        <v>159</v>
      </c>
      <c r="BA34" s="37" t="s">
        <v>159</v>
      </c>
      <c r="BB34" s="37" t="s">
        <v>159</v>
      </c>
      <c r="BC34" s="37" t="s">
        <v>159</v>
      </c>
      <c r="BD34" s="37" t="s">
        <v>159</v>
      </c>
      <c r="BE34" s="37" t="s">
        <v>159</v>
      </c>
      <c r="BF34" s="37" t="s">
        <v>159</v>
      </c>
      <c r="BG34" s="37" t="s">
        <v>159</v>
      </c>
      <c r="BH34" s="37" t="s">
        <v>159</v>
      </c>
      <c r="BI34" s="37" t="s">
        <v>159</v>
      </c>
      <c r="BJ34" s="46">
        <v>1007.01122727273</v>
      </c>
      <c r="BK34" s="46">
        <v>1010.5117</v>
      </c>
      <c r="BL34" s="46">
        <v>107.011227272727</v>
      </c>
      <c r="BM34" s="46">
        <v>107.011227272727</v>
      </c>
      <c r="BN34" s="46">
        <v>0</v>
      </c>
      <c r="BO34" s="46">
        <v>0</v>
      </c>
      <c r="BP34" s="46">
        <v>0</v>
      </c>
      <c r="BQ34" s="46">
        <v>0</v>
      </c>
      <c r="BR34" s="46">
        <v>0</v>
      </c>
      <c r="BS34" s="46">
        <v>0</v>
      </c>
      <c r="BT34" s="46">
        <v>0</v>
      </c>
      <c r="BU34" s="69" t="s">
        <v>930</v>
      </c>
      <c r="BV34" s="69" t="s">
        <v>925</v>
      </c>
      <c r="BW34" s="69" t="s">
        <v>925</v>
      </c>
      <c r="BX34" s="69">
        <v>10</v>
      </c>
      <c r="BY34" s="69">
        <v>169</v>
      </c>
      <c r="BZ34" s="69">
        <v>55</v>
      </c>
      <c r="CA34" s="69">
        <v>1</v>
      </c>
      <c r="CB34" s="46">
        <v>1</v>
      </c>
      <c r="CC34" s="46">
        <v>2</v>
      </c>
      <c r="CD34" s="50" t="s">
        <v>159</v>
      </c>
      <c r="CE34" s="37"/>
      <c r="CF34" s="38"/>
    </row>
    <row r="35" spans="1:84" x14ac:dyDescent="0.25">
      <c r="A35" s="36">
        <v>32</v>
      </c>
      <c r="B35" s="46" t="s">
        <v>830</v>
      </c>
      <c r="C35" s="46">
        <v>0</v>
      </c>
      <c r="D35" s="46">
        <v>0</v>
      </c>
      <c r="E35" s="46">
        <v>0</v>
      </c>
      <c r="F35" s="46">
        <v>1</v>
      </c>
      <c r="G35" s="46">
        <v>0</v>
      </c>
      <c r="H35" s="46">
        <v>0</v>
      </c>
      <c r="I35" s="46">
        <v>0</v>
      </c>
      <c r="J35" s="46">
        <v>0</v>
      </c>
      <c r="K35" s="46">
        <v>0</v>
      </c>
      <c r="L35" s="46">
        <v>0</v>
      </c>
      <c r="M35" s="46">
        <v>42777</v>
      </c>
      <c r="N35" s="46">
        <v>10390</v>
      </c>
      <c r="O35" s="56">
        <v>232.05350000000001</v>
      </c>
      <c r="P35" s="46">
        <v>150.452</v>
      </c>
      <c r="Q35" s="46">
        <v>4</v>
      </c>
      <c r="R35" s="46">
        <v>320</v>
      </c>
      <c r="S35" s="46">
        <v>3</v>
      </c>
      <c r="T35" s="46">
        <v>1250</v>
      </c>
      <c r="U35" s="46">
        <v>201.8</v>
      </c>
      <c r="V35" s="46">
        <v>-37.380000000000003</v>
      </c>
      <c r="W35" s="46">
        <v>62.308300000000003</v>
      </c>
      <c r="X35" s="46">
        <v>-41.014200000000002</v>
      </c>
      <c r="Y35" s="46">
        <v>3172</v>
      </c>
      <c r="Z35" s="46">
        <v>13</v>
      </c>
      <c r="AA35" s="46">
        <v>250.83799999999999</v>
      </c>
      <c r="AB35" s="46">
        <v>398.608</v>
      </c>
      <c r="AC35" s="46">
        <v>-73.239999999999</v>
      </c>
      <c r="AD35" s="46">
        <v>99.674400000000006</v>
      </c>
      <c r="AE35" s="46">
        <v>89</v>
      </c>
      <c r="AF35" s="46">
        <v>20</v>
      </c>
      <c r="AG35" s="46">
        <v>28</v>
      </c>
      <c r="AH35" s="46">
        <v>94</v>
      </c>
      <c r="AI35" s="46">
        <v>218</v>
      </c>
      <c r="AJ35" s="46">
        <v>230</v>
      </c>
      <c r="AK35" s="46">
        <v>30</v>
      </c>
      <c r="AL35" s="46">
        <v>7</v>
      </c>
      <c r="AM35" s="46">
        <v>5</v>
      </c>
      <c r="AN35" s="46">
        <v>1</v>
      </c>
      <c r="AO35" s="46">
        <v>163.9</v>
      </c>
      <c r="AP35" s="37" t="s">
        <v>159</v>
      </c>
      <c r="AQ35" s="37" t="s">
        <v>159</v>
      </c>
      <c r="AR35" s="37" t="s">
        <v>159</v>
      </c>
      <c r="AS35" s="37" t="s">
        <v>159</v>
      </c>
      <c r="AT35" s="37" t="s">
        <v>159</v>
      </c>
      <c r="AU35" s="37" t="s">
        <v>159</v>
      </c>
      <c r="AV35" s="37" t="s">
        <v>159</v>
      </c>
      <c r="AW35" s="37" t="s">
        <v>159</v>
      </c>
      <c r="AX35" s="37" t="s">
        <v>159</v>
      </c>
      <c r="AY35" s="37" t="s">
        <v>159</v>
      </c>
      <c r="AZ35" s="37" t="s">
        <v>159</v>
      </c>
      <c r="BA35" s="37" t="s">
        <v>159</v>
      </c>
      <c r="BB35" s="37" t="s">
        <v>159</v>
      </c>
      <c r="BC35" s="37" t="s">
        <v>159</v>
      </c>
      <c r="BD35" s="37" t="s">
        <v>159</v>
      </c>
      <c r="BE35" s="37" t="s">
        <v>159</v>
      </c>
      <c r="BF35" s="37" t="s">
        <v>159</v>
      </c>
      <c r="BG35" s="37" t="s">
        <v>159</v>
      </c>
      <c r="BH35" s="37" t="s">
        <v>159</v>
      </c>
      <c r="BI35" s="37" t="s">
        <v>159</v>
      </c>
      <c r="BJ35" s="46">
        <v>905.21190909090899</v>
      </c>
      <c r="BK35" s="46">
        <v>889.74519999999995</v>
      </c>
      <c r="BL35" s="46">
        <v>5.2119090909091002</v>
      </c>
      <c r="BM35" s="46">
        <v>5.2119090909091002</v>
      </c>
      <c r="BN35" s="46">
        <v>1</v>
      </c>
      <c r="BO35" s="46">
        <v>0</v>
      </c>
      <c r="BP35" s="46">
        <v>0</v>
      </c>
      <c r="BQ35" s="46">
        <v>0</v>
      </c>
      <c r="BR35" s="46">
        <v>0</v>
      </c>
      <c r="BS35" s="46">
        <v>0</v>
      </c>
      <c r="BT35" s="46">
        <v>4</v>
      </c>
      <c r="BU35" s="69" t="s">
        <v>939</v>
      </c>
      <c r="BV35" s="69" t="s">
        <v>942</v>
      </c>
      <c r="BW35" s="69" t="s">
        <v>924</v>
      </c>
      <c r="BX35" s="69">
        <v>9</v>
      </c>
      <c r="BY35" s="69">
        <v>230</v>
      </c>
      <c r="BZ35" s="69">
        <v>66</v>
      </c>
      <c r="CA35" s="69">
        <v>1</v>
      </c>
      <c r="CB35" s="46">
        <v>1</v>
      </c>
      <c r="CC35" s="46">
        <v>3</v>
      </c>
      <c r="CD35" s="50" t="s">
        <v>159</v>
      </c>
      <c r="CE35" s="37"/>
      <c r="CF35" s="38"/>
    </row>
    <row r="36" spans="1:84" x14ac:dyDescent="0.25">
      <c r="A36" s="36">
        <v>33</v>
      </c>
      <c r="B36" s="46" t="s">
        <v>831</v>
      </c>
      <c r="C36" s="46">
        <v>1</v>
      </c>
      <c r="D36" s="46">
        <v>0</v>
      </c>
      <c r="E36" s="46">
        <v>0</v>
      </c>
      <c r="F36" s="46">
        <v>1</v>
      </c>
      <c r="G36" s="46">
        <v>0</v>
      </c>
      <c r="H36" s="46">
        <v>0</v>
      </c>
      <c r="I36" s="46">
        <v>0</v>
      </c>
      <c r="J36" s="46">
        <v>1</v>
      </c>
      <c r="K36" s="46">
        <v>0</v>
      </c>
      <c r="L36" s="46">
        <v>1</v>
      </c>
      <c r="M36" s="46">
        <v>14567</v>
      </c>
      <c r="N36" s="46">
        <v>10503</v>
      </c>
      <c r="O36" s="46">
        <v>215.8706</v>
      </c>
      <c r="P36" s="56">
        <v>0</v>
      </c>
      <c r="Q36" s="46">
        <v>1</v>
      </c>
      <c r="R36" s="46">
        <v>331</v>
      </c>
      <c r="S36" s="46">
        <v>22</v>
      </c>
      <c r="T36" s="46">
        <v>1291</v>
      </c>
      <c r="U36" s="46">
        <v>214.8</v>
      </c>
      <c r="V36" s="46">
        <v>-41.65</v>
      </c>
      <c r="W36" s="46">
        <v>314.66539999999998</v>
      </c>
      <c r="X36" s="46">
        <v>19.369700000000002</v>
      </c>
      <c r="Y36" s="46">
        <v>895</v>
      </c>
      <c r="Z36" s="46">
        <v>12</v>
      </c>
      <c r="AA36" s="46">
        <v>3119.4162000000001</v>
      </c>
      <c r="AB36" s="46">
        <v>1711.5201</v>
      </c>
      <c r="AC36" s="46">
        <v>-46.519999999999001</v>
      </c>
      <c r="AD36" s="46">
        <v>35.559699999999999</v>
      </c>
      <c r="AE36" s="46">
        <v>7</v>
      </c>
      <c r="AF36" s="46">
        <v>25</v>
      </c>
      <c r="AG36" s="46">
        <v>42</v>
      </c>
      <c r="AH36" s="46">
        <v>90</v>
      </c>
      <c r="AI36" s="46">
        <v>146</v>
      </c>
      <c r="AJ36" s="46">
        <v>120</v>
      </c>
      <c r="AK36" s="46">
        <v>31</v>
      </c>
      <c r="AL36" s="46">
        <v>11</v>
      </c>
      <c r="AM36" s="46">
        <v>2</v>
      </c>
      <c r="AN36" s="46">
        <v>1</v>
      </c>
      <c r="AO36" s="46">
        <v>169.2</v>
      </c>
      <c r="AP36" s="37" t="s">
        <v>159</v>
      </c>
      <c r="AQ36" s="37" t="s">
        <v>159</v>
      </c>
      <c r="AR36" s="37" t="s">
        <v>159</v>
      </c>
      <c r="AS36" s="37" t="s">
        <v>159</v>
      </c>
      <c r="AT36" s="37" t="s">
        <v>159</v>
      </c>
      <c r="AU36" s="37" t="s">
        <v>159</v>
      </c>
      <c r="AV36" s="37" t="s">
        <v>159</v>
      </c>
      <c r="AW36" s="37" t="s">
        <v>159</v>
      </c>
      <c r="AX36" s="37" t="s">
        <v>159</v>
      </c>
      <c r="AY36" s="37" t="s">
        <v>159</v>
      </c>
      <c r="AZ36" s="37" t="s">
        <v>159</v>
      </c>
      <c r="BA36" s="37" t="s">
        <v>159</v>
      </c>
      <c r="BB36" s="37" t="s">
        <v>159</v>
      </c>
      <c r="BC36" s="37" t="s">
        <v>159</v>
      </c>
      <c r="BD36" s="37" t="s">
        <v>159</v>
      </c>
      <c r="BE36" s="37" t="s">
        <v>159</v>
      </c>
      <c r="BF36" s="37" t="s">
        <v>159</v>
      </c>
      <c r="BG36" s="37" t="s">
        <v>159</v>
      </c>
      <c r="BH36" s="37" t="s">
        <v>159</v>
      </c>
      <c r="BI36" s="37" t="s">
        <v>159</v>
      </c>
      <c r="BJ36" s="46">
        <v>169.2</v>
      </c>
      <c r="BK36" s="46">
        <v>981.20519999999999</v>
      </c>
      <c r="BL36" s="46">
        <v>81.205200000000005</v>
      </c>
      <c r="BM36" s="46">
        <v>81.205200000000005</v>
      </c>
      <c r="BN36" s="46">
        <v>1</v>
      </c>
      <c r="BO36" s="46">
        <v>0</v>
      </c>
      <c r="BP36" s="46">
        <v>0</v>
      </c>
      <c r="BQ36" s="46">
        <v>0</v>
      </c>
      <c r="BR36" s="46">
        <v>0</v>
      </c>
      <c r="BS36" s="46">
        <v>0</v>
      </c>
      <c r="BT36" s="46">
        <v>1</v>
      </c>
      <c r="BU36" s="69" t="s">
        <v>939</v>
      </c>
      <c r="BV36" s="69" t="s">
        <v>942</v>
      </c>
      <c r="BW36" s="69" t="s">
        <v>924</v>
      </c>
      <c r="BX36" s="69">
        <v>9</v>
      </c>
      <c r="BY36" s="69">
        <v>120</v>
      </c>
      <c r="BZ36" s="69">
        <v>48</v>
      </c>
      <c r="CA36" s="69">
        <v>1</v>
      </c>
      <c r="CB36" s="46">
        <v>1</v>
      </c>
      <c r="CC36" s="46">
        <v>3</v>
      </c>
      <c r="CD36" s="50" t="s">
        <v>159</v>
      </c>
      <c r="CE36" s="37"/>
      <c r="CF36" s="38"/>
    </row>
    <row r="37" spans="1:84" x14ac:dyDescent="0.25">
      <c r="A37" s="36">
        <v>34</v>
      </c>
      <c r="B37" s="46" t="s">
        <v>832</v>
      </c>
      <c r="C37" s="46">
        <v>0</v>
      </c>
      <c r="D37" s="46">
        <v>0</v>
      </c>
      <c r="E37" s="46">
        <v>1</v>
      </c>
      <c r="F37" s="46">
        <v>1</v>
      </c>
      <c r="G37" s="46">
        <v>0</v>
      </c>
      <c r="H37" s="46">
        <v>0</v>
      </c>
      <c r="I37" s="46">
        <v>0</v>
      </c>
      <c r="J37" s="46">
        <v>0</v>
      </c>
      <c r="K37" s="46">
        <v>0</v>
      </c>
      <c r="L37" s="46">
        <v>1</v>
      </c>
      <c r="M37" s="46">
        <v>3064</v>
      </c>
      <c r="N37" s="46">
        <v>15823</v>
      </c>
      <c r="O37" s="46">
        <v>12.863300000000001</v>
      </c>
      <c r="P37" s="56">
        <v>360</v>
      </c>
      <c r="Q37" s="46">
        <v>4</v>
      </c>
      <c r="R37" s="46">
        <v>342</v>
      </c>
      <c r="S37" s="46">
        <v>4</v>
      </c>
      <c r="T37" s="46">
        <v>1332</v>
      </c>
      <c r="U37" s="46">
        <v>227.8</v>
      </c>
      <c r="V37" s="46">
        <v>-45.92</v>
      </c>
      <c r="W37" s="46">
        <v>-274.1696</v>
      </c>
      <c r="X37" s="46">
        <v>-186.11750000000001</v>
      </c>
      <c r="Y37" s="46">
        <v>886</v>
      </c>
      <c r="Z37" s="46">
        <v>13</v>
      </c>
      <c r="AA37" s="46">
        <v>2450.4315000000001</v>
      </c>
      <c r="AB37" s="46">
        <v>1147.2713000000001</v>
      </c>
      <c r="AC37" s="46">
        <v>-19.799999999998999</v>
      </c>
      <c r="AD37" s="46">
        <v>68.571299999999994</v>
      </c>
      <c r="AE37" s="46">
        <v>62</v>
      </c>
      <c r="AF37" s="46">
        <v>33</v>
      </c>
      <c r="AG37" s="46">
        <v>38</v>
      </c>
      <c r="AH37" s="46">
        <v>35</v>
      </c>
      <c r="AI37" s="46">
        <v>98</v>
      </c>
      <c r="AJ37" s="46">
        <v>40</v>
      </c>
      <c r="AK37" s="46">
        <v>32</v>
      </c>
      <c r="AL37" s="46">
        <v>15</v>
      </c>
      <c r="AM37" s="46">
        <v>3</v>
      </c>
      <c r="AN37" s="46">
        <v>0</v>
      </c>
      <c r="AO37" s="46">
        <v>174.5</v>
      </c>
      <c r="AP37" s="37" t="s">
        <v>159</v>
      </c>
      <c r="AQ37" s="37" t="s">
        <v>159</v>
      </c>
      <c r="AR37" s="37" t="s">
        <v>159</v>
      </c>
      <c r="AS37" s="37" t="s">
        <v>159</v>
      </c>
      <c r="AT37" s="37" t="s">
        <v>159</v>
      </c>
      <c r="AU37" s="37" t="s">
        <v>159</v>
      </c>
      <c r="AV37" s="37" t="s">
        <v>159</v>
      </c>
      <c r="AW37" s="37" t="s">
        <v>159</v>
      </c>
      <c r="AX37" s="37" t="s">
        <v>159</v>
      </c>
      <c r="AY37" s="37" t="s">
        <v>159</v>
      </c>
      <c r="AZ37" s="37" t="s">
        <v>159</v>
      </c>
      <c r="BA37" s="37" t="s">
        <v>159</v>
      </c>
      <c r="BB37" s="37" t="s">
        <v>159</v>
      </c>
      <c r="BC37" s="37" t="s">
        <v>159</v>
      </c>
      <c r="BD37" s="37" t="s">
        <v>159</v>
      </c>
      <c r="BE37" s="37" t="s">
        <v>159</v>
      </c>
      <c r="BF37" s="37" t="s">
        <v>159</v>
      </c>
      <c r="BG37" s="37" t="s">
        <v>159</v>
      </c>
      <c r="BH37" s="37" t="s">
        <v>159</v>
      </c>
      <c r="BI37" s="37" t="s">
        <v>159</v>
      </c>
      <c r="BJ37" s="46">
        <v>1720.9625000000001</v>
      </c>
      <c r="BK37" s="46">
        <v>1727.0328999999999</v>
      </c>
      <c r="BL37" s="46">
        <v>820.96249999999998</v>
      </c>
      <c r="BM37" s="46">
        <v>820.96249999999998</v>
      </c>
      <c r="BN37" s="46">
        <v>0</v>
      </c>
      <c r="BO37" s="46">
        <v>0</v>
      </c>
      <c r="BP37" s="46">
        <v>0</v>
      </c>
      <c r="BQ37" s="46">
        <v>0</v>
      </c>
      <c r="BR37" s="46">
        <v>0</v>
      </c>
      <c r="BS37" s="46">
        <v>0</v>
      </c>
      <c r="BT37" s="46">
        <v>2</v>
      </c>
      <c r="BU37" s="69" t="s">
        <v>939</v>
      </c>
      <c r="BV37" s="69" t="s">
        <v>940</v>
      </c>
      <c r="BW37" s="69" t="s">
        <v>924</v>
      </c>
      <c r="BX37" s="69">
        <v>16</v>
      </c>
      <c r="BY37" s="69">
        <v>40</v>
      </c>
      <c r="BZ37" s="69">
        <v>0</v>
      </c>
      <c r="CA37" s="69">
        <v>1</v>
      </c>
      <c r="CB37" s="46">
        <v>1</v>
      </c>
      <c r="CC37" s="46">
        <v>3</v>
      </c>
      <c r="CD37" s="50" t="s">
        <v>159</v>
      </c>
      <c r="CE37" s="37"/>
      <c r="CF37" s="38"/>
    </row>
    <row r="38" spans="1:84" x14ac:dyDescent="0.25">
      <c r="A38" s="36">
        <v>35</v>
      </c>
      <c r="B38" s="46" t="s">
        <v>833</v>
      </c>
      <c r="C38" s="46">
        <v>2</v>
      </c>
      <c r="D38" s="46">
        <v>0</v>
      </c>
      <c r="E38" s="46">
        <v>1</v>
      </c>
      <c r="F38" s="46">
        <v>1</v>
      </c>
      <c r="G38" s="46">
        <v>0</v>
      </c>
      <c r="H38" s="46">
        <v>0</v>
      </c>
      <c r="I38" s="46">
        <v>0</v>
      </c>
      <c r="J38" s="46">
        <v>0</v>
      </c>
      <c r="K38" s="46">
        <v>0</v>
      </c>
      <c r="L38" s="46">
        <v>1</v>
      </c>
      <c r="M38" s="46">
        <v>59730</v>
      </c>
      <c r="N38" s="46">
        <v>11555</v>
      </c>
      <c r="O38" s="46">
        <v>125.2239</v>
      </c>
      <c r="P38" s="56">
        <v>102.5127</v>
      </c>
      <c r="Q38" s="46">
        <v>2</v>
      </c>
      <c r="R38" s="46">
        <v>353</v>
      </c>
      <c r="S38" s="46">
        <v>7</v>
      </c>
      <c r="T38" s="46">
        <v>1373</v>
      </c>
      <c r="U38" s="46">
        <v>240.8</v>
      </c>
      <c r="V38" s="46">
        <v>-50.19</v>
      </c>
      <c r="W38" s="46">
        <v>221.5643</v>
      </c>
      <c r="X38" s="46">
        <v>97.7881</v>
      </c>
      <c r="Y38" s="46">
        <v>3195</v>
      </c>
      <c r="Z38" s="46">
        <v>3</v>
      </c>
      <c r="AA38" s="46">
        <v>2028.0733</v>
      </c>
      <c r="AB38" s="46">
        <v>264.74250000000001</v>
      </c>
      <c r="AC38" s="46">
        <v>6.9200000000009796</v>
      </c>
      <c r="AD38" s="46">
        <v>91.2834</v>
      </c>
      <c r="AE38" s="46">
        <v>58</v>
      </c>
      <c r="AF38" s="46">
        <v>17</v>
      </c>
      <c r="AG38" s="46">
        <v>29</v>
      </c>
      <c r="AH38" s="46">
        <v>42</v>
      </c>
      <c r="AI38" s="46">
        <v>2</v>
      </c>
      <c r="AJ38" s="46">
        <v>142</v>
      </c>
      <c r="AK38" s="46">
        <v>33</v>
      </c>
      <c r="AL38" s="46">
        <v>19</v>
      </c>
      <c r="AM38" s="46">
        <v>4</v>
      </c>
      <c r="AN38" s="46">
        <v>0</v>
      </c>
      <c r="AO38" s="46">
        <v>179.8</v>
      </c>
      <c r="AP38" s="37" t="s">
        <v>159</v>
      </c>
      <c r="AQ38" s="37" t="s">
        <v>159</v>
      </c>
      <c r="AR38" s="37" t="s">
        <v>159</v>
      </c>
      <c r="AS38" s="37" t="s">
        <v>159</v>
      </c>
      <c r="AT38" s="37" t="s">
        <v>159</v>
      </c>
      <c r="AU38" s="37" t="s">
        <v>159</v>
      </c>
      <c r="AV38" s="37" t="s">
        <v>159</v>
      </c>
      <c r="AW38" s="37" t="s">
        <v>159</v>
      </c>
      <c r="AX38" s="37" t="s">
        <v>159</v>
      </c>
      <c r="AY38" s="37" t="s">
        <v>159</v>
      </c>
      <c r="AZ38" s="37" t="s">
        <v>159</v>
      </c>
      <c r="BA38" s="37" t="s">
        <v>159</v>
      </c>
      <c r="BB38" s="37" t="s">
        <v>159</v>
      </c>
      <c r="BC38" s="37" t="s">
        <v>159</v>
      </c>
      <c r="BD38" s="37" t="s">
        <v>159</v>
      </c>
      <c r="BE38" s="37" t="s">
        <v>159</v>
      </c>
      <c r="BF38" s="37" t="s">
        <v>159</v>
      </c>
      <c r="BG38" s="37" t="s">
        <v>159</v>
      </c>
      <c r="BH38" s="37" t="s">
        <v>159</v>
      </c>
      <c r="BI38" s="37" t="s">
        <v>159</v>
      </c>
      <c r="BJ38" s="46">
        <v>983.96572727272701</v>
      </c>
      <c r="BK38" s="46">
        <v>983.65959999999995</v>
      </c>
      <c r="BL38" s="46">
        <v>83.965727272727193</v>
      </c>
      <c r="BM38" s="46">
        <v>83.965727272727193</v>
      </c>
      <c r="BN38" s="46">
        <v>0</v>
      </c>
      <c r="BO38" s="46">
        <v>0</v>
      </c>
      <c r="BP38" s="46">
        <v>0</v>
      </c>
      <c r="BQ38" s="46">
        <v>0</v>
      </c>
      <c r="BR38" s="46">
        <v>0</v>
      </c>
      <c r="BS38" s="46">
        <v>0</v>
      </c>
      <c r="BT38" s="46">
        <v>3</v>
      </c>
      <c r="BU38" s="69" t="s">
        <v>930</v>
      </c>
      <c r="BV38" s="69" t="s">
        <v>925</v>
      </c>
      <c r="BW38" s="69" t="s">
        <v>925</v>
      </c>
      <c r="BX38" s="69">
        <v>10</v>
      </c>
      <c r="BY38" s="69">
        <v>13</v>
      </c>
      <c r="BZ38" s="69">
        <v>13</v>
      </c>
      <c r="CA38" s="69">
        <v>0</v>
      </c>
      <c r="CB38" s="46">
        <v>1</v>
      </c>
      <c r="CC38" s="46">
        <v>2</v>
      </c>
      <c r="CD38" s="50" t="s">
        <v>159</v>
      </c>
      <c r="CE38" s="37"/>
      <c r="CF38" s="38"/>
    </row>
    <row r="39" spans="1:84" x14ac:dyDescent="0.25">
      <c r="A39" s="36">
        <v>36</v>
      </c>
      <c r="B39" s="46" t="s">
        <v>834</v>
      </c>
      <c r="C39" s="46">
        <v>2</v>
      </c>
      <c r="D39" s="46">
        <v>1</v>
      </c>
      <c r="E39" s="46">
        <v>0</v>
      </c>
      <c r="F39" s="46">
        <v>1</v>
      </c>
      <c r="G39" s="46">
        <v>0</v>
      </c>
      <c r="H39" s="46">
        <v>0</v>
      </c>
      <c r="I39" s="46">
        <v>1</v>
      </c>
      <c r="J39" s="46">
        <v>0</v>
      </c>
      <c r="K39" s="46">
        <v>0</v>
      </c>
      <c r="L39" s="46">
        <v>0</v>
      </c>
      <c r="M39" s="46">
        <v>32160</v>
      </c>
      <c r="N39" s="46">
        <v>34339</v>
      </c>
      <c r="O39" s="46">
        <v>262.81380000000001</v>
      </c>
      <c r="P39" s="46">
        <v>337.51780000000002</v>
      </c>
      <c r="Q39" s="56">
        <v>0</v>
      </c>
      <c r="R39" s="46">
        <v>364</v>
      </c>
      <c r="S39" s="46">
        <v>2</v>
      </c>
      <c r="T39" s="46">
        <v>1414</v>
      </c>
      <c r="U39" s="46">
        <v>253.8</v>
      </c>
      <c r="V39" s="46">
        <v>-54.46</v>
      </c>
      <c r="W39" s="46">
        <v>-202.136</v>
      </c>
      <c r="X39" s="46">
        <v>18.4269</v>
      </c>
      <c r="Y39" s="46">
        <v>3736</v>
      </c>
      <c r="Z39" s="46">
        <v>1</v>
      </c>
      <c r="AA39" s="46">
        <v>455.2722</v>
      </c>
      <c r="AB39" s="46">
        <v>1601.5914</v>
      </c>
      <c r="AC39" s="46">
        <v>33.640000000001002</v>
      </c>
      <c r="AD39" s="46">
        <v>26.6568</v>
      </c>
      <c r="AE39" s="46">
        <v>8</v>
      </c>
      <c r="AF39" s="46">
        <v>29</v>
      </c>
      <c r="AG39" s="46">
        <v>32</v>
      </c>
      <c r="AH39" s="46">
        <v>56</v>
      </c>
      <c r="AI39" s="46">
        <v>33</v>
      </c>
      <c r="AJ39" s="46">
        <v>171</v>
      </c>
      <c r="AK39" s="46">
        <v>34</v>
      </c>
      <c r="AL39" s="46">
        <v>23</v>
      </c>
      <c r="AM39" s="46">
        <v>3</v>
      </c>
      <c r="AN39" s="46">
        <v>1</v>
      </c>
      <c r="AO39" s="46">
        <v>185.1</v>
      </c>
      <c r="AP39" s="37" t="s">
        <v>159</v>
      </c>
      <c r="AQ39" s="37" t="s">
        <v>159</v>
      </c>
      <c r="AR39" s="37" t="s">
        <v>159</v>
      </c>
      <c r="AS39" s="37" t="s">
        <v>159</v>
      </c>
      <c r="AT39" s="37" t="s">
        <v>159</v>
      </c>
      <c r="AU39" s="37" t="s">
        <v>159</v>
      </c>
      <c r="AV39" s="37" t="s">
        <v>159</v>
      </c>
      <c r="AW39" s="37" t="s">
        <v>159</v>
      </c>
      <c r="AX39" s="37" t="s">
        <v>159</v>
      </c>
      <c r="AY39" s="37" t="s">
        <v>159</v>
      </c>
      <c r="AZ39" s="37" t="s">
        <v>159</v>
      </c>
      <c r="BA39" s="37" t="s">
        <v>159</v>
      </c>
      <c r="BB39" s="37" t="s">
        <v>159</v>
      </c>
      <c r="BC39" s="37" t="s">
        <v>159</v>
      </c>
      <c r="BD39" s="37" t="s">
        <v>159</v>
      </c>
      <c r="BE39" s="37" t="s">
        <v>159</v>
      </c>
      <c r="BF39" s="37" t="s">
        <v>159</v>
      </c>
      <c r="BG39" s="37" t="s">
        <v>159</v>
      </c>
      <c r="BH39" s="37" t="s">
        <v>159</v>
      </c>
      <c r="BI39" s="37" t="s">
        <v>159</v>
      </c>
      <c r="BJ39" s="46">
        <v>472.31404545454501</v>
      </c>
      <c r="BK39" s="46">
        <v>464.94979999999998</v>
      </c>
      <c r="BL39" s="46">
        <v>-427.68595454545499</v>
      </c>
      <c r="BM39" s="46">
        <v>-427.68595454545499</v>
      </c>
      <c r="BN39" s="46">
        <v>1</v>
      </c>
      <c r="BO39" s="46">
        <v>0</v>
      </c>
      <c r="BP39" s="46">
        <v>0</v>
      </c>
      <c r="BQ39" s="46">
        <v>0</v>
      </c>
      <c r="BR39" s="46">
        <v>0</v>
      </c>
      <c r="BS39" s="46">
        <v>0</v>
      </c>
      <c r="BT39" s="46">
        <v>2</v>
      </c>
      <c r="BU39" s="69" t="s">
        <v>939</v>
      </c>
      <c r="BV39" s="69" t="s">
        <v>941</v>
      </c>
      <c r="BW39" s="69" t="s">
        <v>924</v>
      </c>
      <c r="BX39" s="69">
        <v>5</v>
      </c>
      <c r="BY39" s="69">
        <v>34</v>
      </c>
      <c r="BZ39" s="69">
        <v>24</v>
      </c>
      <c r="CA39" s="69">
        <v>1</v>
      </c>
      <c r="CB39" s="46">
        <v>1</v>
      </c>
      <c r="CC39" s="46">
        <v>3</v>
      </c>
      <c r="CD39" s="50" t="s">
        <v>159</v>
      </c>
      <c r="CE39" s="37"/>
      <c r="CF39" s="38"/>
    </row>
    <row r="40" spans="1:84" x14ac:dyDescent="0.25">
      <c r="A40" s="36">
        <v>37</v>
      </c>
      <c r="B40" s="46" t="s">
        <v>835</v>
      </c>
      <c r="C40" s="46">
        <v>0</v>
      </c>
      <c r="D40" s="46">
        <v>0</v>
      </c>
      <c r="E40" s="46">
        <v>1</v>
      </c>
      <c r="F40" s="46">
        <v>1</v>
      </c>
      <c r="G40" s="46">
        <v>0</v>
      </c>
      <c r="H40" s="46">
        <v>0</v>
      </c>
      <c r="I40" s="46">
        <v>1</v>
      </c>
      <c r="J40" s="46">
        <v>1</v>
      </c>
      <c r="K40" s="46">
        <v>0</v>
      </c>
      <c r="L40" s="46">
        <v>1</v>
      </c>
      <c r="M40" s="46">
        <v>43937</v>
      </c>
      <c r="N40" s="46">
        <v>63024</v>
      </c>
      <c r="O40" s="46">
        <v>27.966000000000001</v>
      </c>
      <c r="P40" s="46">
        <v>174.1523</v>
      </c>
      <c r="Q40" s="56">
        <v>4</v>
      </c>
      <c r="R40" s="46">
        <v>375</v>
      </c>
      <c r="S40" s="46">
        <v>13</v>
      </c>
      <c r="T40" s="46">
        <v>1455</v>
      </c>
      <c r="U40" s="46">
        <v>266.8</v>
      </c>
      <c r="V40" s="46">
        <v>-58.73</v>
      </c>
      <c r="W40" s="46">
        <v>356.89800000000002</v>
      </c>
      <c r="X40" s="46">
        <v>57.381700000000002</v>
      </c>
      <c r="Y40" s="46">
        <v>4119</v>
      </c>
      <c r="Z40" s="46">
        <v>6</v>
      </c>
      <c r="AA40" s="46">
        <v>864.73969999999997</v>
      </c>
      <c r="AB40" s="46">
        <v>1416.9452000000001</v>
      </c>
      <c r="AC40" s="46">
        <v>60.360000000001001</v>
      </c>
      <c r="AD40" s="46">
        <v>3.758</v>
      </c>
      <c r="AE40" s="46">
        <v>85</v>
      </c>
      <c r="AF40" s="46">
        <v>42</v>
      </c>
      <c r="AG40" s="46">
        <v>17</v>
      </c>
      <c r="AH40" s="46">
        <v>4</v>
      </c>
      <c r="AI40" s="46">
        <v>54</v>
      </c>
      <c r="AJ40" s="46">
        <v>50</v>
      </c>
      <c r="AK40" s="46">
        <v>35</v>
      </c>
      <c r="AL40" s="46">
        <v>27</v>
      </c>
      <c r="AM40" s="46">
        <v>6</v>
      </c>
      <c r="AN40" s="46">
        <v>0</v>
      </c>
      <c r="AO40" s="46">
        <v>190.4</v>
      </c>
      <c r="AP40" s="37" t="s">
        <v>159</v>
      </c>
      <c r="AQ40" s="37" t="s">
        <v>159</v>
      </c>
      <c r="AR40" s="37" t="s">
        <v>159</v>
      </c>
      <c r="AS40" s="37" t="s">
        <v>159</v>
      </c>
      <c r="AT40" s="37" t="s">
        <v>159</v>
      </c>
      <c r="AU40" s="37" t="s">
        <v>159</v>
      </c>
      <c r="AV40" s="37" t="s">
        <v>159</v>
      </c>
      <c r="AW40" s="37" t="s">
        <v>159</v>
      </c>
      <c r="AX40" s="37" t="s">
        <v>159</v>
      </c>
      <c r="AY40" s="37" t="s">
        <v>159</v>
      </c>
      <c r="AZ40" s="37" t="s">
        <v>159</v>
      </c>
      <c r="BA40" s="37" t="s">
        <v>159</v>
      </c>
      <c r="BB40" s="37" t="s">
        <v>159</v>
      </c>
      <c r="BC40" s="37" t="s">
        <v>159</v>
      </c>
      <c r="BD40" s="37" t="s">
        <v>159</v>
      </c>
      <c r="BE40" s="37" t="s">
        <v>159</v>
      </c>
      <c r="BF40" s="37" t="s">
        <v>159</v>
      </c>
      <c r="BG40" s="37" t="s">
        <v>159</v>
      </c>
      <c r="BH40" s="37" t="s">
        <v>159</v>
      </c>
      <c r="BI40" s="37" t="s">
        <v>159</v>
      </c>
      <c r="BJ40" s="46">
        <v>190.4</v>
      </c>
      <c r="BK40" s="46">
        <v>391.06799999999998</v>
      </c>
      <c r="BL40" s="46">
        <v>-508.93200000000002</v>
      </c>
      <c r="BM40" s="46">
        <v>-508.93200000000002</v>
      </c>
      <c r="BN40" s="46">
        <v>0</v>
      </c>
      <c r="BO40" s="46">
        <v>0</v>
      </c>
      <c r="BP40" s="46">
        <v>0</v>
      </c>
      <c r="BQ40" s="46">
        <v>0</v>
      </c>
      <c r="BR40" s="46">
        <v>0</v>
      </c>
      <c r="BS40" s="46">
        <v>0</v>
      </c>
      <c r="BT40" s="46">
        <v>5</v>
      </c>
      <c r="BU40" s="69" t="s">
        <v>930</v>
      </c>
      <c r="BV40" s="69" t="s">
        <v>925</v>
      </c>
      <c r="BW40" s="69" t="s">
        <v>925</v>
      </c>
      <c r="BX40" s="69">
        <v>5</v>
      </c>
      <c r="BY40" s="69">
        <v>27</v>
      </c>
      <c r="BZ40" s="69">
        <v>0</v>
      </c>
      <c r="CA40" s="69">
        <v>1</v>
      </c>
      <c r="CB40" s="46">
        <v>1</v>
      </c>
      <c r="CC40" s="46">
        <v>2</v>
      </c>
      <c r="CD40" s="50" t="s">
        <v>159</v>
      </c>
      <c r="CE40" s="37"/>
      <c r="CF40" s="38"/>
    </row>
    <row r="41" spans="1:84" x14ac:dyDescent="0.25">
      <c r="A41" s="36">
        <v>38</v>
      </c>
      <c r="B41" s="46" t="s">
        <v>836</v>
      </c>
      <c r="C41" s="46">
        <v>1</v>
      </c>
      <c r="D41" s="46">
        <v>0</v>
      </c>
      <c r="E41" s="46">
        <v>0</v>
      </c>
      <c r="F41" s="46">
        <v>1</v>
      </c>
      <c r="G41" s="46">
        <v>0</v>
      </c>
      <c r="H41" s="46">
        <v>0</v>
      </c>
      <c r="I41" s="46">
        <v>0</v>
      </c>
      <c r="J41" s="46">
        <v>1</v>
      </c>
      <c r="K41" s="46">
        <v>0</v>
      </c>
      <c r="L41" s="46">
        <v>0</v>
      </c>
      <c r="M41" s="46">
        <v>4314</v>
      </c>
      <c r="N41" s="46">
        <v>25830</v>
      </c>
      <c r="O41" s="46">
        <v>85.930899999999994</v>
      </c>
      <c r="P41" s="46">
        <v>115.8524</v>
      </c>
      <c r="Q41" s="56">
        <v>2</v>
      </c>
      <c r="R41" s="46">
        <v>386</v>
      </c>
      <c r="S41" s="46">
        <v>11</v>
      </c>
      <c r="T41" s="46">
        <v>1496</v>
      </c>
      <c r="U41" s="46">
        <v>279.8</v>
      </c>
      <c r="V41" s="46">
        <v>-63</v>
      </c>
      <c r="W41" s="46">
        <v>-130.31610000000001</v>
      </c>
      <c r="X41" s="46">
        <v>-47.909199999999998</v>
      </c>
      <c r="Y41" s="46">
        <v>36</v>
      </c>
      <c r="Z41" s="46">
        <v>21</v>
      </c>
      <c r="AA41" s="46">
        <v>634.83219999999994</v>
      </c>
      <c r="AB41" s="46">
        <v>1018.1203</v>
      </c>
      <c r="AC41" s="46">
        <v>87.080000000000993</v>
      </c>
      <c r="AD41" s="46">
        <v>41.540100000000002</v>
      </c>
      <c r="AE41" s="46">
        <v>39</v>
      </c>
      <c r="AF41" s="46">
        <v>20</v>
      </c>
      <c r="AG41" s="46">
        <v>11</v>
      </c>
      <c r="AH41" s="46">
        <v>10</v>
      </c>
      <c r="AI41" s="46">
        <v>79</v>
      </c>
      <c r="AJ41" s="46">
        <v>67</v>
      </c>
      <c r="AK41" s="46">
        <v>36</v>
      </c>
      <c r="AL41" s="46">
        <v>31</v>
      </c>
      <c r="AM41" s="46">
        <v>4</v>
      </c>
      <c r="AN41" s="46">
        <v>0</v>
      </c>
      <c r="AO41" s="46">
        <v>195.7</v>
      </c>
      <c r="AP41" s="37" t="s">
        <v>159</v>
      </c>
      <c r="AQ41" s="37" t="s">
        <v>159</v>
      </c>
      <c r="AR41" s="37" t="s">
        <v>159</v>
      </c>
      <c r="AS41" s="37" t="s">
        <v>159</v>
      </c>
      <c r="AT41" s="37" t="s">
        <v>159</v>
      </c>
      <c r="AU41" s="37" t="s">
        <v>159</v>
      </c>
      <c r="AV41" s="37" t="s">
        <v>159</v>
      </c>
      <c r="AW41" s="37" t="s">
        <v>159</v>
      </c>
      <c r="AX41" s="37" t="s">
        <v>159</v>
      </c>
      <c r="AY41" s="37" t="s">
        <v>159</v>
      </c>
      <c r="AZ41" s="37" t="s">
        <v>159</v>
      </c>
      <c r="BA41" s="37" t="s">
        <v>159</v>
      </c>
      <c r="BB41" s="37" t="s">
        <v>159</v>
      </c>
      <c r="BC41" s="37" t="s">
        <v>159</v>
      </c>
      <c r="BD41" s="37" t="s">
        <v>159</v>
      </c>
      <c r="BE41" s="37" t="s">
        <v>159</v>
      </c>
      <c r="BF41" s="37" t="s">
        <v>159</v>
      </c>
      <c r="BG41" s="37" t="s">
        <v>159</v>
      </c>
      <c r="BH41" s="37" t="s">
        <v>159</v>
      </c>
      <c r="BI41" s="37" t="s">
        <v>159</v>
      </c>
      <c r="BJ41" s="46">
        <v>195.7</v>
      </c>
      <c r="BK41" s="46">
        <v>576.24699999999996</v>
      </c>
      <c r="BL41" s="46">
        <v>-323.75299999999999</v>
      </c>
      <c r="BM41" s="46">
        <v>-323.75299999999999</v>
      </c>
      <c r="BN41" s="46">
        <v>0</v>
      </c>
      <c r="BO41" s="46">
        <v>0</v>
      </c>
      <c r="BP41" s="46">
        <v>0</v>
      </c>
      <c r="BQ41" s="46">
        <v>0</v>
      </c>
      <c r="BR41" s="46">
        <v>0</v>
      </c>
      <c r="BS41" s="46">
        <v>0</v>
      </c>
      <c r="BT41" s="46">
        <v>3</v>
      </c>
      <c r="BU41" s="69" t="s">
        <v>930</v>
      </c>
      <c r="BV41" s="69" t="s">
        <v>925</v>
      </c>
      <c r="BW41" s="69" t="s">
        <v>925</v>
      </c>
      <c r="BX41" s="69">
        <v>6</v>
      </c>
      <c r="BY41" s="69">
        <v>48</v>
      </c>
      <c r="BZ41" s="69">
        <v>0</v>
      </c>
      <c r="CA41" s="69">
        <v>0</v>
      </c>
      <c r="CB41" s="46">
        <v>1</v>
      </c>
      <c r="CC41" s="46">
        <v>2</v>
      </c>
      <c r="CD41" s="50" t="s">
        <v>159</v>
      </c>
      <c r="CE41" s="37"/>
      <c r="CF41" s="38"/>
    </row>
    <row r="42" spans="1:84" x14ac:dyDescent="0.25">
      <c r="A42" s="36">
        <v>39</v>
      </c>
      <c r="B42" s="46" t="s">
        <v>776</v>
      </c>
      <c r="C42" s="46">
        <v>0</v>
      </c>
      <c r="D42" s="46">
        <v>0</v>
      </c>
      <c r="E42" s="46">
        <v>0</v>
      </c>
      <c r="F42" s="46">
        <v>1</v>
      </c>
      <c r="G42" s="46">
        <v>0</v>
      </c>
      <c r="H42" s="46">
        <v>0</v>
      </c>
      <c r="I42" s="46">
        <v>0</v>
      </c>
      <c r="J42" s="46">
        <v>1</v>
      </c>
      <c r="K42" s="46">
        <v>0</v>
      </c>
      <c r="L42" s="46">
        <v>1</v>
      </c>
      <c r="M42" s="46">
        <v>892</v>
      </c>
      <c r="N42" s="46">
        <v>19503</v>
      </c>
      <c r="O42" s="46">
        <v>24.209800000000001</v>
      </c>
      <c r="P42" s="46">
        <v>288.87920000000003</v>
      </c>
      <c r="Q42" s="46">
        <v>2</v>
      </c>
      <c r="R42" s="56">
        <v>0</v>
      </c>
      <c r="S42" s="46">
        <v>20</v>
      </c>
      <c r="T42" s="46">
        <v>1537</v>
      </c>
      <c r="U42" s="46">
        <v>292.8</v>
      </c>
      <c r="V42" s="46">
        <v>-67.27</v>
      </c>
      <c r="W42" s="46">
        <v>-120.3993</v>
      </c>
      <c r="X42" s="46">
        <v>-172.32</v>
      </c>
      <c r="Y42" s="46">
        <v>2848</v>
      </c>
      <c r="Z42" s="46">
        <v>11</v>
      </c>
      <c r="AA42" s="46">
        <v>1705.0070000000001</v>
      </c>
      <c r="AB42" s="46">
        <v>714.0729</v>
      </c>
      <c r="AC42" s="46">
        <v>113.80000000000101</v>
      </c>
      <c r="AD42" s="46">
        <v>64.686599999999999</v>
      </c>
      <c r="AE42" s="46">
        <v>18</v>
      </c>
      <c r="AF42" s="46">
        <v>12</v>
      </c>
      <c r="AG42" s="46">
        <v>29</v>
      </c>
      <c r="AH42" s="46">
        <v>81</v>
      </c>
      <c r="AI42" s="46">
        <v>236</v>
      </c>
      <c r="AJ42" s="46">
        <v>173</v>
      </c>
      <c r="AK42" s="46">
        <v>37</v>
      </c>
      <c r="AL42" s="46">
        <v>35</v>
      </c>
      <c r="AM42" s="46">
        <v>6</v>
      </c>
      <c r="AN42" s="46">
        <v>0</v>
      </c>
      <c r="AO42" s="46">
        <v>201</v>
      </c>
      <c r="AP42" s="37" t="s">
        <v>159</v>
      </c>
      <c r="AQ42" s="37" t="s">
        <v>159</v>
      </c>
      <c r="AR42" s="37" t="s">
        <v>159</v>
      </c>
      <c r="AS42" s="37" t="s">
        <v>159</v>
      </c>
      <c r="AT42" s="37" t="s">
        <v>159</v>
      </c>
      <c r="AU42" s="37" t="s">
        <v>159</v>
      </c>
      <c r="AV42" s="37" t="s">
        <v>159</v>
      </c>
      <c r="AW42" s="37" t="s">
        <v>159</v>
      </c>
      <c r="AX42" s="37" t="s">
        <v>159</v>
      </c>
      <c r="AY42" s="37" t="s">
        <v>159</v>
      </c>
      <c r="AZ42" s="37" t="s">
        <v>159</v>
      </c>
      <c r="BA42" s="37" t="s">
        <v>159</v>
      </c>
      <c r="BB42" s="37" t="s">
        <v>159</v>
      </c>
      <c r="BC42" s="37" t="s">
        <v>159</v>
      </c>
      <c r="BD42" s="37" t="s">
        <v>159</v>
      </c>
      <c r="BE42" s="37" t="s">
        <v>159</v>
      </c>
      <c r="BF42" s="37" t="s">
        <v>159</v>
      </c>
      <c r="BG42" s="37" t="s">
        <v>159</v>
      </c>
      <c r="BH42" s="37" t="s">
        <v>159</v>
      </c>
      <c r="BI42" s="37" t="s">
        <v>159</v>
      </c>
      <c r="BJ42" s="46">
        <v>201</v>
      </c>
      <c r="BK42" s="46">
        <v>864.60910000000001</v>
      </c>
      <c r="BL42" s="46">
        <v>-35.390900000000002</v>
      </c>
      <c r="BM42" s="46">
        <v>-35.390900000000002</v>
      </c>
      <c r="BN42" s="46">
        <v>0</v>
      </c>
      <c r="BO42" s="46">
        <v>0</v>
      </c>
      <c r="BP42" s="46">
        <v>0</v>
      </c>
      <c r="BQ42" s="46">
        <v>0</v>
      </c>
      <c r="BR42" s="46">
        <v>0</v>
      </c>
      <c r="BS42" s="46">
        <v>0</v>
      </c>
      <c r="BT42" s="46">
        <v>5</v>
      </c>
      <c r="BU42" s="69" t="s">
        <v>939</v>
      </c>
      <c r="BV42" s="69" t="s">
        <v>940</v>
      </c>
      <c r="BW42" s="69" t="s">
        <v>924</v>
      </c>
      <c r="BX42" s="69">
        <v>9</v>
      </c>
      <c r="BY42" s="69">
        <v>173</v>
      </c>
      <c r="BZ42" s="69">
        <v>52</v>
      </c>
      <c r="CA42" s="69">
        <v>1</v>
      </c>
      <c r="CB42" s="46">
        <v>1</v>
      </c>
      <c r="CC42" s="46">
        <v>3</v>
      </c>
      <c r="CD42" s="50" t="s">
        <v>159</v>
      </c>
      <c r="CE42" s="37"/>
      <c r="CF42" s="38"/>
    </row>
    <row r="43" spans="1:84" x14ac:dyDescent="0.25">
      <c r="A43" s="36">
        <v>40</v>
      </c>
      <c r="B43" s="46" t="s">
        <v>777</v>
      </c>
      <c r="C43" s="46">
        <v>0</v>
      </c>
      <c r="D43" s="46">
        <v>0</v>
      </c>
      <c r="E43" s="46">
        <v>0</v>
      </c>
      <c r="F43" s="46">
        <v>1</v>
      </c>
      <c r="G43" s="46">
        <v>0</v>
      </c>
      <c r="H43" s="46">
        <v>0</v>
      </c>
      <c r="I43" s="46">
        <v>1</v>
      </c>
      <c r="J43" s="46">
        <v>1</v>
      </c>
      <c r="K43" s="46">
        <v>0</v>
      </c>
      <c r="L43" s="46">
        <v>0</v>
      </c>
      <c r="M43" s="46">
        <v>62641</v>
      </c>
      <c r="N43" s="46">
        <v>44049</v>
      </c>
      <c r="O43" s="46">
        <v>301.53989999999999</v>
      </c>
      <c r="P43" s="46">
        <v>23.604900000000001</v>
      </c>
      <c r="Q43" s="46">
        <v>3</v>
      </c>
      <c r="R43" s="56">
        <v>511</v>
      </c>
      <c r="S43" s="46">
        <v>27</v>
      </c>
      <c r="T43" s="46">
        <v>1578</v>
      </c>
      <c r="U43" s="46">
        <v>305.8</v>
      </c>
      <c r="V43" s="46">
        <v>-71.540000000000006</v>
      </c>
      <c r="W43" s="46">
        <v>14.213900000000001</v>
      </c>
      <c r="X43" s="46">
        <v>-145.54949999999999</v>
      </c>
      <c r="Y43" s="46">
        <v>1120</v>
      </c>
      <c r="Z43" s="46">
        <v>20</v>
      </c>
      <c r="AA43" s="46">
        <v>1629.3131000000001</v>
      </c>
      <c r="AB43" s="46">
        <v>493.21870000000001</v>
      </c>
      <c r="AC43" s="46">
        <v>140.520000000001</v>
      </c>
      <c r="AD43" s="46">
        <v>54.518500000000003</v>
      </c>
      <c r="AE43" s="46">
        <v>76</v>
      </c>
      <c r="AF43" s="46">
        <v>40</v>
      </c>
      <c r="AG43" s="46">
        <v>32</v>
      </c>
      <c r="AH43" s="46">
        <v>76</v>
      </c>
      <c r="AI43" s="46">
        <v>140</v>
      </c>
      <c r="AJ43" s="46">
        <v>48</v>
      </c>
      <c r="AK43" s="46">
        <v>38</v>
      </c>
      <c r="AL43" s="46">
        <v>39</v>
      </c>
      <c r="AM43" s="46">
        <v>3</v>
      </c>
      <c r="AN43" s="46">
        <v>0</v>
      </c>
      <c r="AO43" s="46">
        <v>206.3</v>
      </c>
      <c r="AP43" s="37" t="s">
        <v>159</v>
      </c>
      <c r="AQ43" s="37" t="s">
        <v>159</v>
      </c>
      <c r="AR43" s="37" t="s">
        <v>159</v>
      </c>
      <c r="AS43" s="37" t="s">
        <v>159</v>
      </c>
      <c r="AT43" s="37" t="s">
        <v>159</v>
      </c>
      <c r="AU43" s="37" t="s">
        <v>159</v>
      </c>
      <c r="AV43" s="37" t="s">
        <v>159</v>
      </c>
      <c r="AW43" s="37" t="s">
        <v>159</v>
      </c>
      <c r="AX43" s="37" t="s">
        <v>159</v>
      </c>
      <c r="AY43" s="37" t="s">
        <v>159</v>
      </c>
      <c r="AZ43" s="37" t="s">
        <v>159</v>
      </c>
      <c r="BA43" s="37" t="s">
        <v>159</v>
      </c>
      <c r="BB43" s="37" t="s">
        <v>159</v>
      </c>
      <c r="BC43" s="37" t="s">
        <v>159</v>
      </c>
      <c r="BD43" s="37" t="s">
        <v>159</v>
      </c>
      <c r="BE43" s="37" t="s">
        <v>159</v>
      </c>
      <c r="BF43" s="37" t="s">
        <v>159</v>
      </c>
      <c r="BG43" s="37" t="s">
        <v>159</v>
      </c>
      <c r="BH43" s="37" t="s">
        <v>159</v>
      </c>
      <c r="BI43" s="37" t="s">
        <v>159</v>
      </c>
      <c r="BJ43" s="46">
        <v>206.3</v>
      </c>
      <c r="BK43" s="46">
        <v>1727.326</v>
      </c>
      <c r="BL43" s="46">
        <v>827.32600000000002</v>
      </c>
      <c r="BM43" s="46">
        <v>827.32600000000002</v>
      </c>
      <c r="BN43" s="46">
        <v>0</v>
      </c>
      <c r="BO43" s="46">
        <v>0</v>
      </c>
      <c r="BP43" s="46">
        <v>0</v>
      </c>
      <c r="BQ43" s="46">
        <v>0</v>
      </c>
      <c r="BR43" s="46">
        <v>0</v>
      </c>
      <c r="BS43" s="46">
        <v>0</v>
      </c>
      <c r="BT43" s="46">
        <v>2</v>
      </c>
      <c r="BU43" s="69" t="s">
        <v>939</v>
      </c>
      <c r="BV43" s="69" t="s">
        <v>940</v>
      </c>
      <c r="BW43" s="69" t="s">
        <v>924</v>
      </c>
      <c r="BX43" s="69">
        <v>16</v>
      </c>
      <c r="BY43" s="69">
        <v>48</v>
      </c>
      <c r="BZ43" s="69">
        <v>44</v>
      </c>
      <c r="CA43" s="69">
        <v>1</v>
      </c>
      <c r="CB43" s="46">
        <v>1</v>
      </c>
      <c r="CC43" s="46">
        <v>3</v>
      </c>
      <c r="CD43" s="50" t="s">
        <v>159</v>
      </c>
      <c r="CE43" s="37"/>
      <c r="CF43" s="38"/>
    </row>
    <row r="44" spans="1:84" x14ac:dyDescent="0.25">
      <c r="A44" s="36">
        <v>41</v>
      </c>
      <c r="B44" s="46" t="s">
        <v>778</v>
      </c>
      <c r="C44" s="46">
        <v>2</v>
      </c>
      <c r="D44" s="46">
        <v>0</v>
      </c>
      <c r="E44" s="46">
        <v>0</v>
      </c>
      <c r="F44" s="46">
        <v>1</v>
      </c>
      <c r="G44" s="46">
        <v>0</v>
      </c>
      <c r="H44" s="46">
        <v>0</v>
      </c>
      <c r="I44" s="46">
        <v>0</v>
      </c>
      <c r="J44" s="46">
        <v>1</v>
      </c>
      <c r="K44" s="46">
        <v>0</v>
      </c>
      <c r="L44" s="46">
        <v>1</v>
      </c>
      <c r="M44" s="46">
        <v>13756</v>
      </c>
      <c r="N44" s="46">
        <v>15159</v>
      </c>
      <c r="O44" s="46">
        <v>72.986400000000003</v>
      </c>
      <c r="P44" s="46">
        <v>35.446800000000003</v>
      </c>
      <c r="Q44" s="46">
        <v>3</v>
      </c>
      <c r="R44" s="56">
        <v>212</v>
      </c>
      <c r="S44" s="46">
        <v>18</v>
      </c>
      <c r="T44" s="46">
        <v>1619</v>
      </c>
      <c r="U44" s="46">
        <v>318.8</v>
      </c>
      <c r="V44" s="46">
        <v>-75.81</v>
      </c>
      <c r="W44" s="46">
        <v>153.7208</v>
      </c>
      <c r="X44" s="46">
        <v>47.462600000000002</v>
      </c>
      <c r="Y44" s="46">
        <v>1607</v>
      </c>
      <c r="Z44" s="46">
        <v>11</v>
      </c>
      <c r="AA44" s="46">
        <v>1229.3407</v>
      </c>
      <c r="AB44" s="46">
        <v>1046.4577999999999</v>
      </c>
      <c r="AC44" s="46">
        <v>167.24</v>
      </c>
      <c r="AD44" s="46">
        <v>100</v>
      </c>
      <c r="AE44" s="46">
        <v>63</v>
      </c>
      <c r="AF44" s="46">
        <v>41</v>
      </c>
      <c r="AG44" s="46">
        <v>22</v>
      </c>
      <c r="AH44" s="46">
        <v>66</v>
      </c>
      <c r="AI44" s="46">
        <v>182</v>
      </c>
      <c r="AJ44" s="46">
        <v>80</v>
      </c>
      <c r="AK44" s="46">
        <v>39</v>
      </c>
      <c r="AL44" s="46">
        <v>43</v>
      </c>
      <c r="AM44" s="46">
        <v>1</v>
      </c>
      <c r="AN44" s="46">
        <v>0</v>
      </c>
      <c r="AO44" s="46">
        <v>211.6</v>
      </c>
      <c r="AP44" s="37" t="s">
        <v>159</v>
      </c>
      <c r="AQ44" s="37" t="s">
        <v>159</v>
      </c>
      <c r="AR44" s="37" t="s">
        <v>159</v>
      </c>
      <c r="AS44" s="37" t="s">
        <v>159</v>
      </c>
      <c r="AT44" s="37" t="s">
        <v>159</v>
      </c>
      <c r="AU44" s="37" t="s">
        <v>159</v>
      </c>
      <c r="AV44" s="37" t="s">
        <v>159</v>
      </c>
      <c r="AW44" s="37" t="s">
        <v>159</v>
      </c>
      <c r="AX44" s="37" t="s">
        <v>159</v>
      </c>
      <c r="AY44" s="37" t="s">
        <v>159</v>
      </c>
      <c r="AZ44" s="37" t="s">
        <v>159</v>
      </c>
      <c r="BA44" s="37" t="s">
        <v>159</v>
      </c>
      <c r="BB44" s="37" t="s">
        <v>159</v>
      </c>
      <c r="BC44" s="37" t="s">
        <v>159</v>
      </c>
      <c r="BD44" s="37" t="s">
        <v>159</v>
      </c>
      <c r="BE44" s="37" t="s">
        <v>159</v>
      </c>
      <c r="BF44" s="37" t="s">
        <v>159</v>
      </c>
      <c r="BG44" s="37" t="s">
        <v>159</v>
      </c>
      <c r="BH44" s="37" t="s">
        <v>159</v>
      </c>
      <c r="BI44" s="37" t="s">
        <v>159</v>
      </c>
      <c r="BJ44" s="46">
        <v>211.6</v>
      </c>
      <c r="BK44" s="46">
        <v>639.26559999999995</v>
      </c>
      <c r="BL44" s="46">
        <v>-260.73439999999999</v>
      </c>
      <c r="BM44" s="46">
        <v>-260.73439999999999</v>
      </c>
      <c r="BN44" s="46">
        <v>0</v>
      </c>
      <c r="BO44" s="46">
        <v>0</v>
      </c>
      <c r="BP44" s="46">
        <v>0</v>
      </c>
      <c r="BQ44" s="46">
        <v>0</v>
      </c>
      <c r="BR44" s="46">
        <v>0</v>
      </c>
      <c r="BS44" s="46">
        <v>0</v>
      </c>
      <c r="BT44" s="46">
        <v>0</v>
      </c>
      <c r="BU44" s="69" t="s">
        <v>939</v>
      </c>
      <c r="BV44" s="69" t="s">
        <v>940</v>
      </c>
      <c r="BW44" s="69" t="s">
        <v>924</v>
      </c>
      <c r="BX44" s="69">
        <v>6</v>
      </c>
      <c r="BY44" s="69">
        <v>80</v>
      </c>
      <c r="BZ44" s="69">
        <v>44</v>
      </c>
      <c r="CA44" s="69">
        <v>1</v>
      </c>
      <c r="CB44" s="46">
        <v>1</v>
      </c>
      <c r="CC44" s="46">
        <v>3</v>
      </c>
      <c r="CD44" s="50" t="s">
        <v>159</v>
      </c>
      <c r="CE44" s="37"/>
      <c r="CF44" s="38"/>
    </row>
    <row r="45" spans="1:84" x14ac:dyDescent="0.25">
      <c r="A45" s="36">
        <v>42</v>
      </c>
      <c r="B45" s="46" t="s">
        <v>837</v>
      </c>
      <c r="C45" s="46">
        <v>0</v>
      </c>
      <c r="D45" s="46">
        <v>0</v>
      </c>
      <c r="E45" s="46">
        <v>1</v>
      </c>
      <c r="F45" s="46">
        <v>1</v>
      </c>
      <c r="G45" s="46">
        <v>0</v>
      </c>
      <c r="H45" s="46">
        <v>0</v>
      </c>
      <c r="I45" s="46">
        <v>1</v>
      </c>
      <c r="J45" s="46">
        <v>1</v>
      </c>
      <c r="K45" s="46">
        <v>0</v>
      </c>
      <c r="L45" s="46">
        <v>0</v>
      </c>
      <c r="M45" s="46">
        <v>58520</v>
      </c>
      <c r="N45" s="46">
        <v>45407</v>
      </c>
      <c r="O45" s="46">
        <v>279.52409999999998</v>
      </c>
      <c r="P45" s="46">
        <v>253.55099999999999</v>
      </c>
      <c r="Q45" s="46">
        <v>2</v>
      </c>
      <c r="R45" s="46">
        <v>1</v>
      </c>
      <c r="S45" s="56">
        <v>0</v>
      </c>
      <c r="T45" s="46">
        <v>1660</v>
      </c>
      <c r="U45" s="46">
        <v>331.8</v>
      </c>
      <c r="V45" s="46">
        <v>-80.08</v>
      </c>
      <c r="W45" s="46">
        <v>42.848300000000002</v>
      </c>
      <c r="X45" s="46">
        <v>225.64340000000001</v>
      </c>
      <c r="Y45" s="46">
        <v>3855</v>
      </c>
      <c r="Z45" s="46">
        <v>13</v>
      </c>
      <c r="AA45" s="46">
        <v>3185.1075999999998</v>
      </c>
      <c r="AB45" s="46">
        <v>1734.6481000000001</v>
      </c>
      <c r="AC45" s="46">
        <v>193.96</v>
      </c>
      <c r="AD45" s="46">
        <v>32.578800000000001</v>
      </c>
      <c r="AE45" s="46">
        <v>93</v>
      </c>
      <c r="AF45" s="46">
        <v>46</v>
      </c>
      <c r="AG45" s="46">
        <v>40</v>
      </c>
      <c r="AH45" s="46">
        <v>88</v>
      </c>
      <c r="AI45" s="46">
        <v>205</v>
      </c>
      <c r="AJ45" s="46">
        <v>72</v>
      </c>
      <c r="AK45" s="46">
        <v>40</v>
      </c>
      <c r="AL45" s="46">
        <v>47</v>
      </c>
      <c r="AM45" s="46">
        <v>1</v>
      </c>
      <c r="AN45" s="46">
        <v>1</v>
      </c>
      <c r="AO45" s="46">
        <v>216.9</v>
      </c>
      <c r="AP45" s="37" t="s">
        <v>159</v>
      </c>
      <c r="AQ45" s="37" t="s">
        <v>159</v>
      </c>
      <c r="AR45" s="37" t="s">
        <v>159</v>
      </c>
      <c r="AS45" s="37" t="s">
        <v>159</v>
      </c>
      <c r="AT45" s="37" t="s">
        <v>159</v>
      </c>
      <c r="AU45" s="37" t="s">
        <v>159</v>
      </c>
      <c r="AV45" s="37" t="s">
        <v>159</v>
      </c>
      <c r="AW45" s="37" t="s">
        <v>159</v>
      </c>
      <c r="AX45" s="37" t="s">
        <v>159</v>
      </c>
      <c r="AY45" s="37" t="s">
        <v>159</v>
      </c>
      <c r="AZ45" s="37" t="s">
        <v>159</v>
      </c>
      <c r="BA45" s="37" t="s">
        <v>159</v>
      </c>
      <c r="BB45" s="37" t="s">
        <v>159</v>
      </c>
      <c r="BC45" s="37" t="s">
        <v>159</v>
      </c>
      <c r="BD45" s="37" t="s">
        <v>159</v>
      </c>
      <c r="BE45" s="37" t="s">
        <v>159</v>
      </c>
      <c r="BF45" s="37" t="s">
        <v>159</v>
      </c>
      <c r="BG45" s="37" t="s">
        <v>159</v>
      </c>
      <c r="BH45" s="37" t="s">
        <v>159</v>
      </c>
      <c r="BI45" s="37" t="s">
        <v>159</v>
      </c>
      <c r="BJ45" s="46">
        <v>216.9</v>
      </c>
      <c r="BK45" s="46">
        <v>1316.6758</v>
      </c>
      <c r="BL45" s="46">
        <v>416.67579999999998</v>
      </c>
      <c r="BM45" s="46">
        <v>416.67579999999998</v>
      </c>
      <c r="BN45" s="46">
        <v>1</v>
      </c>
      <c r="BO45" s="46">
        <v>0</v>
      </c>
      <c r="BP45" s="46">
        <v>0</v>
      </c>
      <c r="BQ45" s="46">
        <v>0</v>
      </c>
      <c r="BR45" s="46">
        <v>0</v>
      </c>
      <c r="BS45" s="46">
        <v>0</v>
      </c>
      <c r="BT45" s="46">
        <v>0</v>
      </c>
      <c r="BU45" s="69" t="s">
        <v>939</v>
      </c>
      <c r="BV45" s="69" t="s">
        <v>942</v>
      </c>
      <c r="BW45" s="69" t="s">
        <v>924</v>
      </c>
      <c r="BX45" s="69">
        <v>13</v>
      </c>
      <c r="BY45" s="69">
        <v>72</v>
      </c>
      <c r="BZ45" s="69">
        <v>48</v>
      </c>
      <c r="CA45" s="69">
        <v>1</v>
      </c>
      <c r="CB45" s="46">
        <v>1</v>
      </c>
      <c r="CC45" s="46">
        <v>3</v>
      </c>
      <c r="CD45" s="50" t="s">
        <v>159</v>
      </c>
      <c r="CE45" s="37"/>
      <c r="CF45" s="38"/>
    </row>
    <row r="46" spans="1:84" x14ac:dyDescent="0.25">
      <c r="A46" s="36">
        <v>43</v>
      </c>
      <c r="B46" s="46" t="s">
        <v>838</v>
      </c>
      <c r="C46" s="46">
        <v>0</v>
      </c>
      <c r="D46" s="46">
        <v>0</v>
      </c>
      <c r="E46" s="46">
        <v>0</v>
      </c>
      <c r="F46" s="46">
        <v>1</v>
      </c>
      <c r="G46" s="46">
        <v>0</v>
      </c>
      <c r="H46" s="46">
        <v>0</v>
      </c>
      <c r="I46" s="46">
        <v>1</v>
      </c>
      <c r="J46" s="46">
        <v>0</v>
      </c>
      <c r="K46" s="46">
        <v>0</v>
      </c>
      <c r="L46" s="46">
        <v>0</v>
      </c>
      <c r="M46" s="46">
        <v>29201</v>
      </c>
      <c r="N46" s="46">
        <v>21524</v>
      </c>
      <c r="O46" s="46">
        <v>352.71640000000002</v>
      </c>
      <c r="P46" s="46">
        <v>79.286500000000004</v>
      </c>
      <c r="Q46" s="46">
        <v>0</v>
      </c>
      <c r="R46" s="46">
        <v>5</v>
      </c>
      <c r="S46" s="56">
        <v>255</v>
      </c>
      <c r="T46" s="46">
        <v>1701</v>
      </c>
      <c r="U46" s="46">
        <v>344.8</v>
      </c>
      <c r="V46" s="46">
        <v>-84.35</v>
      </c>
      <c r="W46" s="46">
        <v>128.45820000000001</v>
      </c>
      <c r="X46" s="46">
        <v>-102.11320000000001</v>
      </c>
      <c r="Y46" s="46">
        <v>3662</v>
      </c>
      <c r="Z46" s="46">
        <v>2</v>
      </c>
      <c r="AA46" s="46">
        <v>2027.1958999999999</v>
      </c>
      <c r="AB46" s="46">
        <v>174.54249999999999</v>
      </c>
      <c r="AC46" s="46">
        <v>220.68</v>
      </c>
      <c r="AD46" s="46">
        <v>68.645899999999997</v>
      </c>
      <c r="AE46" s="46">
        <v>19</v>
      </c>
      <c r="AF46" s="46">
        <v>29</v>
      </c>
      <c r="AG46" s="46">
        <v>20</v>
      </c>
      <c r="AH46" s="46">
        <v>84</v>
      </c>
      <c r="AI46" s="46">
        <v>180</v>
      </c>
      <c r="AJ46" s="46">
        <v>187</v>
      </c>
      <c r="AK46" s="46">
        <v>41</v>
      </c>
      <c r="AL46" s="46">
        <v>43</v>
      </c>
      <c r="AM46" s="46">
        <v>2</v>
      </c>
      <c r="AN46" s="46">
        <v>0</v>
      </c>
      <c r="AO46" s="46">
        <v>222.2</v>
      </c>
      <c r="AP46" s="37" t="s">
        <v>159</v>
      </c>
      <c r="AQ46" s="37" t="s">
        <v>159</v>
      </c>
      <c r="AR46" s="37" t="s">
        <v>159</v>
      </c>
      <c r="AS46" s="37" t="s">
        <v>159</v>
      </c>
      <c r="AT46" s="37" t="s">
        <v>159</v>
      </c>
      <c r="AU46" s="37" t="s">
        <v>159</v>
      </c>
      <c r="AV46" s="37" t="s">
        <v>159</v>
      </c>
      <c r="AW46" s="37" t="s">
        <v>159</v>
      </c>
      <c r="AX46" s="37" t="s">
        <v>159</v>
      </c>
      <c r="AY46" s="37" t="s">
        <v>159</v>
      </c>
      <c r="AZ46" s="37" t="s">
        <v>159</v>
      </c>
      <c r="BA46" s="37" t="s">
        <v>159</v>
      </c>
      <c r="BB46" s="37" t="s">
        <v>159</v>
      </c>
      <c r="BC46" s="37" t="s">
        <v>159</v>
      </c>
      <c r="BD46" s="37" t="s">
        <v>159</v>
      </c>
      <c r="BE46" s="37" t="s">
        <v>159</v>
      </c>
      <c r="BF46" s="37" t="s">
        <v>159</v>
      </c>
      <c r="BG46" s="37" t="s">
        <v>159</v>
      </c>
      <c r="BH46" s="37" t="s">
        <v>159</v>
      </c>
      <c r="BI46" s="37" t="s">
        <v>159</v>
      </c>
      <c r="BJ46" s="46">
        <v>573.36350000000004</v>
      </c>
      <c r="BK46" s="46">
        <v>584.25819999999999</v>
      </c>
      <c r="BL46" s="46">
        <v>-326.63650000000001</v>
      </c>
      <c r="BM46" s="46">
        <v>-326.63650000000001</v>
      </c>
      <c r="BN46" s="46">
        <v>0</v>
      </c>
      <c r="BO46" s="46">
        <v>0</v>
      </c>
      <c r="BP46" s="46">
        <v>0</v>
      </c>
      <c r="BQ46" s="46">
        <v>0</v>
      </c>
      <c r="BR46" s="46">
        <v>0</v>
      </c>
      <c r="BS46" s="46">
        <v>0</v>
      </c>
      <c r="BT46" s="46">
        <v>1</v>
      </c>
      <c r="BU46" s="69" t="s">
        <v>939</v>
      </c>
      <c r="BV46" s="69" t="s">
        <v>940</v>
      </c>
      <c r="BW46" s="69" t="s">
        <v>924</v>
      </c>
      <c r="BX46" s="69">
        <v>6</v>
      </c>
      <c r="BY46" s="69">
        <v>187</v>
      </c>
      <c r="BZ46" s="69">
        <v>64</v>
      </c>
      <c r="CA46" s="69">
        <v>1</v>
      </c>
      <c r="CB46" s="46">
        <v>1</v>
      </c>
      <c r="CC46" s="46">
        <v>3</v>
      </c>
      <c r="CD46" s="50" t="s">
        <v>159</v>
      </c>
      <c r="CE46" s="37"/>
      <c r="CF46" s="38"/>
    </row>
    <row r="47" spans="1:84" x14ac:dyDescent="0.25">
      <c r="A47" s="36">
        <v>44</v>
      </c>
      <c r="B47" s="46" t="s">
        <v>839</v>
      </c>
      <c r="C47" s="46">
        <v>0</v>
      </c>
      <c r="D47" s="46">
        <v>0</v>
      </c>
      <c r="E47" s="46">
        <v>1</v>
      </c>
      <c r="F47" s="46">
        <v>1</v>
      </c>
      <c r="G47" s="46">
        <v>0</v>
      </c>
      <c r="H47" s="46">
        <v>0</v>
      </c>
      <c r="I47" s="46">
        <v>1</v>
      </c>
      <c r="J47" s="46">
        <v>1</v>
      </c>
      <c r="K47" s="46">
        <v>0</v>
      </c>
      <c r="L47" s="46">
        <v>0</v>
      </c>
      <c r="M47" s="46">
        <v>11137</v>
      </c>
      <c r="N47" s="46">
        <v>3186</v>
      </c>
      <c r="O47" s="46">
        <v>288.411</v>
      </c>
      <c r="P47" s="46">
        <v>132.1234</v>
      </c>
      <c r="Q47" s="46">
        <v>3</v>
      </c>
      <c r="R47" s="46">
        <v>9</v>
      </c>
      <c r="S47" s="56">
        <v>16</v>
      </c>
      <c r="T47" s="46">
        <v>1742</v>
      </c>
      <c r="U47" s="46">
        <v>357.8</v>
      </c>
      <c r="V47" s="46">
        <v>-88.62</v>
      </c>
      <c r="W47" s="46">
        <v>26.838999999999999</v>
      </c>
      <c r="X47" s="46">
        <v>35.486600000000003</v>
      </c>
      <c r="Y47" s="46">
        <v>3387</v>
      </c>
      <c r="Z47" s="46">
        <v>1</v>
      </c>
      <c r="AA47" s="46">
        <v>2850.9519</v>
      </c>
      <c r="AB47" s="46">
        <v>1108.9007999999999</v>
      </c>
      <c r="AC47" s="46">
        <v>247.4</v>
      </c>
      <c r="AD47" s="46">
        <v>36.414999999999999</v>
      </c>
      <c r="AE47" s="46">
        <v>14</v>
      </c>
      <c r="AF47" s="46">
        <v>15</v>
      </c>
      <c r="AG47" s="46">
        <v>43</v>
      </c>
      <c r="AH47" s="46">
        <v>86</v>
      </c>
      <c r="AI47" s="46">
        <v>172</v>
      </c>
      <c r="AJ47" s="46">
        <v>226</v>
      </c>
      <c r="AK47" s="46">
        <v>42</v>
      </c>
      <c r="AL47" s="46">
        <v>39</v>
      </c>
      <c r="AM47" s="46">
        <v>1</v>
      </c>
      <c r="AN47" s="46">
        <v>1</v>
      </c>
      <c r="AO47" s="46">
        <v>227.5</v>
      </c>
      <c r="AP47" s="37" t="s">
        <v>159</v>
      </c>
      <c r="AQ47" s="37" t="s">
        <v>159</v>
      </c>
      <c r="AR47" s="37" t="s">
        <v>159</v>
      </c>
      <c r="AS47" s="37" t="s">
        <v>159</v>
      </c>
      <c r="AT47" s="37" t="s">
        <v>159</v>
      </c>
      <c r="AU47" s="37" t="s">
        <v>159</v>
      </c>
      <c r="AV47" s="37" t="s">
        <v>159</v>
      </c>
      <c r="AW47" s="37" t="s">
        <v>159</v>
      </c>
      <c r="AX47" s="37" t="s">
        <v>159</v>
      </c>
      <c r="AY47" s="37" t="s">
        <v>159</v>
      </c>
      <c r="AZ47" s="37" t="s">
        <v>159</v>
      </c>
      <c r="BA47" s="37" t="s">
        <v>159</v>
      </c>
      <c r="BB47" s="37" t="s">
        <v>159</v>
      </c>
      <c r="BC47" s="37" t="s">
        <v>159</v>
      </c>
      <c r="BD47" s="37" t="s">
        <v>159</v>
      </c>
      <c r="BE47" s="37" t="s">
        <v>159</v>
      </c>
      <c r="BF47" s="37" t="s">
        <v>159</v>
      </c>
      <c r="BG47" s="37" t="s">
        <v>159</v>
      </c>
      <c r="BH47" s="37" t="s">
        <v>159</v>
      </c>
      <c r="BI47" s="37" t="s">
        <v>159</v>
      </c>
      <c r="BJ47" s="46">
        <v>227.5</v>
      </c>
      <c r="BK47" s="46">
        <v>1341.5719999999999</v>
      </c>
      <c r="BL47" s="46">
        <v>441.572</v>
      </c>
      <c r="BM47" s="46">
        <v>441.572</v>
      </c>
      <c r="BN47" s="46">
        <v>1</v>
      </c>
      <c r="BO47" s="46">
        <v>0</v>
      </c>
      <c r="BP47" s="46">
        <v>0</v>
      </c>
      <c r="BQ47" s="46">
        <v>0</v>
      </c>
      <c r="BR47" s="46">
        <v>0</v>
      </c>
      <c r="BS47" s="46">
        <v>0</v>
      </c>
      <c r="BT47" s="46">
        <v>0</v>
      </c>
      <c r="BU47" s="69" t="s">
        <v>939</v>
      </c>
      <c r="BV47" s="69" t="s">
        <v>941</v>
      </c>
      <c r="BW47" s="69" t="s">
        <v>924</v>
      </c>
      <c r="BX47" s="69">
        <v>13</v>
      </c>
      <c r="BY47" s="69">
        <v>176</v>
      </c>
      <c r="BZ47" s="69">
        <v>43</v>
      </c>
      <c r="CA47" s="69">
        <v>1</v>
      </c>
      <c r="CB47" s="46">
        <v>1</v>
      </c>
      <c r="CC47" s="46">
        <v>3</v>
      </c>
      <c r="CD47" s="50" t="s">
        <v>159</v>
      </c>
      <c r="CE47" s="37"/>
      <c r="CF47" s="38"/>
    </row>
    <row r="48" spans="1:84" x14ac:dyDescent="0.25">
      <c r="A48" s="36">
        <v>45</v>
      </c>
      <c r="B48" s="46" t="s">
        <v>840</v>
      </c>
      <c r="C48" s="46">
        <v>1</v>
      </c>
      <c r="D48" s="46">
        <v>1</v>
      </c>
      <c r="E48" s="46">
        <v>1</v>
      </c>
      <c r="F48" s="46">
        <v>1</v>
      </c>
      <c r="G48" s="46">
        <v>0</v>
      </c>
      <c r="H48" s="46">
        <v>0</v>
      </c>
      <c r="I48" s="46">
        <v>1</v>
      </c>
      <c r="J48" s="46">
        <v>0</v>
      </c>
      <c r="K48" s="46">
        <v>0</v>
      </c>
      <c r="L48" s="46">
        <v>1</v>
      </c>
      <c r="M48" s="46">
        <v>18845</v>
      </c>
      <c r="N48" s="46">
        <v>61922</v>
      </c>
      <c r="O48" s="46">
        <v>173.45050000000001</v>
      </c>
      <c r="P48" s="46">
        <v>277.92009999999999</v>
      </c>
      <c r="Q48" s="46">
        <v>4</v>
      </c>
      <c r="R48" s="46">
        <v>13</v>
      </c>
      <c r="S48" s="46">
        <v>14</v>
      </c>
      <c r="T48" s="56">
        <v>0</v>
      </c>
      <c r="U48" s="46">
        <v>10</v>
      </c>
      <c r="V48" s="46">
        <v>-92.89</v>
      </c>
      <c r="W48" s="46">
        <v>181.5027</v>
      </c>
      <c r="X48" s="46">
        <v>-48.365200000000002</v>
      </c>
      <c r="Y48" s="46">
        <v>4247</v>
      </c>
      <c r="Z48" s="46">
        <v>9</v>
      </c>
      <c r="AA48" s="46">
        <v>2703.0585999999998</v>
      </c>
      <c r="AB48" s="46">
        <v>932.38829999999996</v>
      </c>
      <c r="AC48" s="46">
        <v>274.12</v>
      </c>
      <c r="AD48" s="46">
        <v>98.946200000000005</v>
      </c>
      <c r="AE48" s="46">
        <v>48</v>
      </c>
      <c r="AF48" s="46">
        <v>47</v>
      </c>
      <c r="AG48" s="46">
        <v>3</v>
      </c>
      <c r="AH48" s="46">
        <v>5</v>
      </c>
      <c r="AI48" s="46">
        <v>46</v>
      </c>
      <c r="AJ48" s="46">
        <v>178</v>
      </c>
      <c r="AK48" s="46">
        <v>43</v>
      </c>
      <c r="AL48" s="46">
        <v>35</v>
      </c>
      <c r="AM48" s="46">
        <v>5</v>
      </c>
      <c r="AN48" s="46">
        <v>0</v>
      </c>
      <c r="AO48" s="46">
        <v>232.8</v>
      </c>
      <c r="AP48" s="37" t="s">
        <v>159</v>
      </c>
      <c r="AQ48" s="37" t="s">
        <v>159</v>
      </c>
      <c r="AR48" s="37" t="s">
        <v>159</v>
      </c>
      <c r="AS48" s="37" t="s">
        <v>159</v>
      </c>
      <c r="AT48" s="37" t="s">
        <v>159</v>
      </c>
      <c r="AU48" s="37" t="s">
        <v>159</v>
      </c>
      <c r="AV48" s="37" t="s">
        <v>159</v>
      </c>
      <c r="AW48" s="37" t="s">
        <v>159</v>
      </c>
      <c r="AX48" s="37" t="s">
        <v>159</v>
      </c>
      <c r="AY48" s="37" t="s">
        <v>159</v>
      </c>
      <c r="AZ48" s="37" t="s">
        <v>159</v>
      </c>
      <c r="BA48" s="37" t="s">
        <v>159</v>
      </c>
      <c r="BB48" s="37" t="s">
        <v>159</v>
      </c>
      <c r="BC48" s="37" t="s">
        <v>159</v>
      </c>
      <c r="BD48" s="37" t="s">
        <v>159</v>
      </c>
      <c r="BE48" s="37" t="s">
        <v>159</v>
      </c>
      <c r="BF48" s="37" t="s">
        <v>159</v>
      </c>
      <c r="BG48" s="37" t="s">
        <v>159</v>
      </c>
      <c r="BH48" s="37" t="s">
        <v>159</v>
      </c>
      <c r="BI48" s="37" t="s">
        <v>159</v>
      </c>
      <c r="BJ48" s="46">
        <v>1784.6751363636399</v>
      </c>
      <c r="BK48" s="46">
        <v>1791.9477999999999</v>
      </c>
      <c r="BL48" s="46">
        <v>884.67513636363606</v>
      </c>
      <c r="BM48" s="46">
        <v>884.67513636363606</v>
      </c>
      <c r="BN48" s="46">
        <v>0</v>
      </c>
      <c r="BO48" s="46">
        <v>0</v>
      </c>
      <c r="BP48" s="46">
        <v>0</v>
      </c>
      <c r="BQ48" s="46">
        <v>0</v>
      </c>
      <c r="BR48" s="46">
        <v>0</v>
      </c>
      <c r="BS48" s="46">
        <v>0</v>
      </c>
      <c r="BT48" s="46">
        <v>4</v>
      </c>
      <c r="BU48" s="69" t="s">
        <v>930</v>
      </c>
      <c r="BV48" s="69" t="s">
        <v>925</v>
      </c>
      <c r="BW48" s="69" t="s">
        <v>925</v>
      </c>
      <c r="BX48" s="69">
        <v>16</v>
      </c>
      <c r="BY48" s="69">
        <v>13</v>
      </c>
      <c r="BZ48" s="69">
        <v>2</v>
      </c>
      <c r="CA48" s="69">
        <v>1</v>
      </c>
      <c r="CB48" s="46">
        <v>1</v>
      </c>
      <c r="CC48" s="46">
        <v>2</v>
      </c>
      <c r="CD48" s="50" t="s">
        <v>159</v>
      </c>
      <c r="CE48" s="37"/>
      <c r="CF48" s="38"/>
    </row>
    <row r="49" spans="1:84" x14ac:dyDescent="0.25">
      <c r="A49" s="36">
        <v>46</v>
      </c>
      <c r="B49" s="46" t="s">
        <v>841</v>
      </c>
      <c r="C49" s="46">
        <v>0</v>
      </c>
      <c r="D49" s="46">
        <v>1</v>
      </c>
      <c r="E49" s="46">
        <v>1</v>
      </c>
      <c r="F49" s="46">
        <v>1</v>
      </c>
      <c r="G49" s="46">
        <v>0</v>
      </c>
      <c r="H49" s="46">
        <v>0</v>
      </c>
      <c r="I49" s="46">
        <v>1</v>
      </c>
      <c r="J49" s="46">
        <v>0</v>
      </c>
      <c r="K49" s="46">
        <v>0</v>
      </c>
      <c r="L49" s="46">
        <v>1</v>
      </c>
      <c r="M49" s="46">
        <v>49158</v>
      </c>
      <c r="N49" s="46">
        <v>17902</v>
      </c>
      <c r="O49" s="46">
        <v>246.1497</v>
      </c>
      <c r="P49" s="46">
        <v>78.295500000000004</v>
      </c>
      <c r="Q49" s="46">
        <v>1</v>
      </c>
      <c r="R49" s="46">
        <v>17</v>
      </c>
      <c r="S49" s="46">
        <v>19</v>
      </c>
      <c r="T49" s="56">
        <v>4488</v>
      </c>
      <c r="U49" s="46">
        <v>20.2</v>
      </c>
      <c r="V49" s="46">
        <v>-97.16</v>
      </c>
      <c r="W49" s="46">
        <v>-57.219900000000003</v>
      </c>
      <c r="X49" s="46">
        <v>72.535200000000003</v>
      </c>
      <c r="Y49" s="46">
        <v>162</v>
      </c>
      <c r="Z49" s="46">
        <v>21</v>
      </c>
      <c r="AA49" s="46">
        <v>2253.3017</v>
      </c>
      <c r="AB49" s="46">
        <v>705.17600000000004</v>
      </c>
      <c r="AC49" s="46">
        <v>300.83999999999997</v>
      </c>
      <c r="AD49" s="46">
        <v>32.5869</v>
      </c>
      <c r="AE49" s="46">
        <v>60</v>
      </c>
      <c r="AF49" s="46">
        <v>38</v>
      </c>
      <c r="AG49" s="46">
        <v>18</v>
      </c>
      <c r="AH49" s="46">
        <v>82</v>
      </c>
      <c r="AI49" s="46">
        <v>26</v>
      </c>
      <c r="AJ49" s="46">
        <v>160</v>
      </c>
      <c r="AK49" s="46">
        <v>44</v>
      </c>
      <c r="AL49" s="46">
        <v>31</v>
      </c>
      <c r="AM49" s="46">
        <v>5</v>
      </c>
      <c r="AN49" s="46">
        <v>1</v>
      </c>
      <c r="AO49" s="46">
        <v>238.1</v>
      </c>
      <c r="AP49" s="37" t="s">
        <v>159</v>
      </c>
      <c r="AQ49" s="37" t="s">
        <v>159</v>
      </c>
      <c r="AR49" s="37" t="s">
        <v>159</v>
      </c>
      <c r="AS49" s="37" t="s">
        <v>159</v>
      </c>
      <c r="AT49" s="37" t="s">
        <v>159</v>
      </c>
      <c r="AU49" s="37" t="s">
        <v>159</v>
      </c>
      <c r="AV49" s="37" t="s">
        <v>159</v>
      </c>
      <c r="AW49" s="37" t="s">
        <v>159</v>
      </c>
      <c r="AX49" s="37" t="s">
        <v>159</v>
      </c>
      <c r="AY49" s="37" t="s">
        <v>159</v>
      </c>
      <c r="AZ49" s="37" t="s">
        <v>159</v>
      </c>
      <c r="BA49" s="37" t="s">
        <v>159</v>
      </c>
      <c r="BB49" s="37" t="s">
        <v>159</v>
      </c>
      <c r="BC49" s="37" t="s">
        <v>159</v>
      </c>
      <c r="BD49" s="37" t="s">
        <v>159</v>
      </c>
      <c r="BE49" s="37" t="s">
        <v>159</v>
      </c>
      <c r="BF49" s="37" t="s">
        <v>159</v>
      </c>
      <c r="BG49" s="37" t="s">
        <v>159</v>
      </c>
      <c r="BH49" s="37" t="s">
        <v>159</v>
      </c>
      <c r="BI49" s="37" t="s">
        <v>159</v>
      </c>
      <c r="BJ49" s="46">
        <v>657.163772727273</v>
      </c>
      <c r="BK49" s="46">
        <v>663.36959999999999</v>
      </c>
      <c r="BL49" s="46">
        <v>-242.836227272727</v>
      </c>
      <c r="BM49" s="46">
        <v>-242.836227272727</v>
      </c>
      <c r="BN49" s="46">
        <v>1</v>
      </c>
      <c r="BO49" s="46">
        <v>0</v>
      </c>
      <c r="BP49" s="46">
        <v>0</v>
      </c>
      <c r="BQ49" s="46">
        <v>0</v>
      </c>
      <c r="BR49" s="46">
        <v>0</v>
      </c>
      <c r="BS49" s="46">
        <v>0</v>
      </c>
      <c r="BT49" s="46">
        <v>4</v>
      </c>
      <c r="BU49" s="69" t="s">
        <v>939</v>
      </c>
      <c r="BV49" s="69" t="s">
        <v>941</v>
      </c>
      <c r="BW49" s="69" t="s">
        <v>924</v>
      </c>
      <c r="BX49" s="69">
        <v>7</v>
      </c>
      <c r="BY49" s="69">
        <v>64</v>
      </c>
      <c r="BZ49" s="69">
        <v>64</v>
      </c>
      <c r="CA49" s="69">
        <v>1</v>
      </c>
      <c r="CB49" s="46">
        <v>1</v>
      </c>
      <c r="CC49" s="46">
        <v>3</v>
      </c>
      <c r="CD49" s="50" t="s">
        <v>159</v>
      </c>
      <c r="CE49" s="37"/>
      <c r="CF49" s="38"/>
    </row>
    <row r="50" spans="1:84" x14ac:dyDescent="0.25">
      <c r="A50" s="36">
        <v>47</v>
      </c>
      <c r="B50" s="46" t="s">
        <v>842</v>
      </c>
      <c r="C50" s="46">
        <v>2</v>
      </c>
      <c r="D50" s="46">
        <v>1</v>
      </c>
      <c r="E50" s="46">
        <v>1</v>
      </c>
      <c r="F50" s="46">
        <v>1</v>
      </c>
      <c r="G50" s="46">
        <v>0</v>
      </c>
      <c r="H50" s="46">
        <v>0</v>
      </c>
      <c r="I50" s="46">
        <v>0</v>
      </c>
      <c r="J50" s="46">
        <v>1</v>
      </c>
      <c r="K50" s="46">
        <v>0</v>
      </c>
      <c r="L50" s="46">
        <v>0</v>
      </c>
      <c r="M50" s="46">
        <v>55958</v>
      </c>
      <c r="N50" s="46">
        <v>44214</v>
      </c>
      <c r="O50" s="46">
        <v>100.03619999999999</v>
      </c>
      <c r="P50" s="46">
        <v>121.8103</v>
      </c>
      <c r="Q50" s="46">
        <v>2</v>
      </c>
      <c r="R50" s="46">
        <v>21</v>
      </c>
      <c r="S50" s="46">
        <v>19</v>
      </c>
      <c r="T50" s="56">
        <v>224</v>
      </c>
      <c r="U50" s="46">
        <v>-2.2000000000000002</v>
      </c>
      <c r="V50" s="46">
        <v>-101.43</v>
      </c>
      <c r="W50" s="46">
        <v>-61.92</v>
      </c>
      <c r="X50" s="46">
        <v>-303.7638</v>
      </c>
      <c r="Y50" s="46">
        <v>3183</v>
      </c>
      <c r="Z50" s="46">
        <v>5</v>
      </c>
      <c r="AA50" s="46">
        <v>2456.8197</v>
      </c>
      <c r="AB50" s="46">
        <v>999.24990000000003</v>
      </c>
      <c r="AC50" s="46">
        <v>327.56</v>
      </c>
      <c r="AD50" s="46">
        <v>11.712300000000001</v>
      </c>
      <c r="AE50" s="46">
        <v>80</v>
      </c>
      <c r="AF50" s="46">
        <v>27</v>
      </c>
      <c r="AG50" s="46">
        <v>33</v>
      </c>
      <c r="AH50" s="46">
        <v>91</v>
      </c>
      <c r="AI50" s="46">
        <v>241</v>
      </c>
      <c r="AJ50" s="46">
        <v>70</v>
      </c>
      <c r="AK50" s="46">
        <v>45</v>
      </c>
      <c r="AL50" s="46">
        <v>27</v>
      </c>
      <c r="AM50" s="46">
        <v>4</v>
      </c>
      <c r="AN50" s="46">
        <v>1</v>
      </c>
      <c r="AO50" s="46">
        <v>243.4</v>
      </c>
      <c r="AP50" s="37" t="s">
        <v>159</v>
      </c>
      <c r="AQ50" s="37" t="s">
        <v>159</v>
      </c>
      <c r="AR50" s="37" t="s">
        <v>159</v>
      </c>
      <c r="AS50" s="37" t="s">
        <v>159</v>
      </c>
      <c r="AT50" s="37" t="s">
        <v>159</v>
      </c>
      <c r="AU50" s="37" t="s">
        <v>159</v>
      </c>
      <c r="AV50" s="37" t="s">
        <v>159</v>
      </c>
      <c r="AW50" s="37" t="s">
        <v>159</v>
      </c>
      <c r="AX50" s="37" t="s">
        <v>159</v>
      </c>
      <c r="AY50" s="37" t="s">
        <v>159</v>
      </c>
      <c r="AZ50" s="37" t="s">
        <v>159</v>
      </c>
      <c r="BA50" s="37" t="s">
        <v>159</v>
      </c>
      <c r="BB50" s="37" t="s">
        <v>159</v>
      </c>
      <c r="BC50" s="37" t="s">
        <v>159</v>
      </c>
      <c r="BD50" s="37" t="s">
        <v>159</v>
      </c>
      <c r="BE50" s="37" t="s">
        <v>159</v>
      </c>
      <c r="BF50" s="37" t="s">
        <v>159</v>
      </c>
      <c r="BG50" s="37" t="s">
        <v>159</v>
      </c>
      <c r="BH50" s="37" t="s">
        <v>159</v>
      </c>
      <c r="BI50" s="37" t="s">
        <v>159</v>
      </c>
      <c r="BJ50" s="46">
        <v>243.4</v>
      </c>
      <c r="BK50" s="46">
        <v>521.95619999999997</v>
      </c>
      <c r="BL50" s="46">
        <v>-378.04379999999998</v>
      </c>
      <c r="BM50" s="46">
        <v>-378.04379999999998</v>
      </c>
      <c r="BN50" s="46">
        <v>1</v>
      </c>
      <c r="BO50" s="46">
        <v>0</v>
      </c>
      <c r="BP50" s="46">
        <v>0</v>
      </c>
      <c r="BQ50" s="46">
        <v>0</v>
      </c>
      <c r="BR50" s="46">
        <v>0</v>
      </c>
      <c r="BS50" s="46">
        <v>0</v>
      </c>
      <c r="BT50" s="46">
        <v>3</v>
      </c>
      <c r="BU50" s="69" t="s">
        <v>939</v>
      </c>
      <c r="BV50" s="69" t="s">
        <v>942</v>
      </c>
      <c r="BW50" s="69" t="s">
        <v>924</v>
      </c>
      <c r="BX50" s="69">
        <v>6</v>
      </c>
      <c r="BY50" s="69">
        <v>70</v>
      </c>
      <c r="BZ50" s="69">
        <v>58</v>
      </c>
      <c r="CA50" s="69">
        <v>1</v>
      </c>
      <c r="CB50" s="46">
        <v>1</v>
      </c>
      <c r="CC50" s="46">
        <v>3</v>
      </c>
      <c r="CD50" s="50" t="s">
        <v>159</v>
      </c>
      <c r="CE50" s="37"/>
      <c r="CF50" s="38"/>
    </row>
    <row r="51" spans="1:84" x14ac:dyDescent="0.25">
      <c r="A51" s="36">
        <v>48</v>
      </c>
      <c r="B51" s="46" t="s">
        <v>843</v>
      </c>
      <c r="C51" s="46">
        <v>2</v>
      </c>
      <c r="D51" s="46">
        <v>1</v>
      </c>
      <c r="E51" s="46">
        <v>1</v>
      </c>
      <c r="F51" s="46">
        <v>1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16771</v>
      </c>
      <c r="N51" s="46">
        <v>65436</v>
      </c>
      <c r="O51" s="46">
        <v>29.111999999999998</v>
      </c>
      <c r="P51" s="46">
        <v>100.5309</v>
      </c>
      <c r="Q51" s="46">
        <v>4</v>
      </c>
      <c r="R51" s="46">
        <v>25</v>
      </c>
      <c r="S51" s="46">
        <v>7</v>
      </c>
      <c r="T51" s="46">
        <v>1</v>
      </c>
      <c r="U51" s="56">
        <v>-180</v>
      </c>
      <c r="V51" s="46">
        <v>-105.7</v>
      </c>
      <c r="W51" s="46">
        <v>86.971800000000002</v>
      </c>
      <c r="X51" s="46">
        <v>-80.385400000000004</v>
      </c>
      <c r="Y51" s="46">
        <v>224</v>
      </c>
      <c r="Z51" s="46">
        <v>4</v>
      </c>
      <c r="AA51" s="46">
        <v>2357.7116000000001</v>
      </c>
      <c r="AB51" s="46">
        <v>748.15480000000002</v>
      </c>
      <c r="AC51" s="46">
        <v>354.28</v>
      </c>
      <c r="AD51" s="46">
        <v>2.9432999999999998</v>
      </c>
      <c r="AE51" s="46">
        <v>74</v>
      </c>
      <c r="AF51" s="46">
        <v>7</v>
      </c>
      <c r="AG51" s="46">
        <v>22</v>
      </c>
      <c r="AH51" s="46">
        <v>20</v>
      </c>
      <c r="AI51" s="46">
        <v>200</v>
      </c>
      <c r="AJ51" s="46">
        <v>201</v>
      </c>
      <c r="AK51" s="46">
        <v>46</v>
      </c>
      <c r="AL51" s="46">
        <v>23</v>
      </c>
      <c r="AM51" s="46">
        <v>5</v>
      </c>
      <c r="AN51" s="46">
        <v>1</v>
      </c>
      <c r="AO51" s="46">
        <v>248.7</v>
      </c>
      <c r="AP51" s="37" t="s">
        <v>159</v>
      </c>
      <c r="AQ51" s="37" t="s">
        <v>159</v>
      </c>
      <c r="AR51" s="37" t="s">
        <v>159</v>
      </c>
      <c r="AS51" s="37" t="s">
        <v>159</v>
      </c>
      <c r="AT51" s="37" t="s">
        <v>159</v>
      </c>
      <c r="AU51" s="37" t="s">
        <v>159</v>
      </c>
      <c r="AV51" s="37" t="s">
        <v>159</v>
      </c>
      <c r="AW51" s="37" t="s">
        <v>159</v>
      </c>
      <c r="AX51" s="37" t="s">
        <v>159</v>
      </c>
      <c r="AY51" s="37" t="s">
        <v>159</v>
      </c>
      <c r="AZ51" s="37" t="s">
        <v>159</v>
      </c>
      <c r="BA51" s="37" t="s">
        <v>159</v>
      </c>
      <c r="BB51" s="37" t="s">
        <v>159</v>
      </c>
      <c r="BC51" s="37" t="s">
        <v>159</v>
      </c>
      <c r="BD51" s="37" t="s">
        <v>159</v>
      </c>
      <c r="BE51" s="37" t="s">
        <v>159</v>
      </c>
      <c r="BF51" s="37" t="s">
        <v>159</v>
      </c>
      <c r="BG51" s="37" t="s">
        <v>159</v>
      </c>
      <c r="BH51" s="37" t="s">
        <v>159</v>
      </c>
      <c r="BI51" s="37" t="s">
        <v>159</v>
      </c>
      <c r="BJ51" s="46">
        <v>584.65040909090897</v>
      </c>
      <c r="BK51" s="46">
        <v>569.11199999999997</v>
      </c>
      <c r="BL51" s="46">
        <v>-315.34959090909098</v>
      </c>
      <c r="BM51" s="46">
        <v>-315.34959090909098</v>
      </c>
      <c r="BN51" s="46">
        <v>1</v>
      </c>
      <c r="BO51" s="46">
        <v>0</v>
      </c>
      <c r="BP51" s="46">
        <v>1</v>
      </c>
      <c r="BQ51" s="46">
        <v>0</v>
      </c>
      <c r="BR51" s="46">
        <v>1</v>
      </c>
      <c r="BS51" s="46">
        <v>0</v>
      </c>
      <c r="BT51" s="46">
        <v>4</v>
      </c>
      <c r="BU51" s="69" t="s">
        <v>939</v>
      </c>
      <c r="BV51" s="69" t="s">
        <v>942</v>
      </c>
      <c r="BW51" s="69" t="s">
        <v>924</v>
      </c>
      <c r="BX51" s="69">
        <v>6</v>
      </c>
      <c r="BY51" s="69">
        <v>201</v>
      </c>
      <c r="BZ51" s="69">
        <v>27</v>
      </c>
      <c r="CA51" s="69">
        <v>1</v>
      </c>
      <c r="CB51" s="46">
        <v>1</v>
      </c>
      <c r="CC51" s="46">
        <v>3</v>
      </c>
      <c r="CD51" s="50" t="s">
        <v>159</v>
      </c>
      <c r="CE51" s="37"/>
      <c r="CF51" s="38"/>
    </row>
    <row r="52" spans="1:84" x14ac:dyDescent="0.25">
      <c r="A52" s="36">
        <v>49</v>
      </c>
      <c r="B52" s="46" t="s">
        <v>844</v>
      </c>
      <c r="C52" s="46">
        <v>1</v>
      </c>
      <c r="D52" s="46">
        <v>0</v>
      </c>
      <c r="E52" s="46">
        <v>0</v>
      </c>
      <c r="F52" s="46">
        <v>1</v>
      </c>
      <c r="G52" s="46">
        <v>0</v>
      </c>
      <c r="H52" s="46">
        <v>0</v>
      </c>
      <c r="I52" s="46">
        <v>1</v>
      </c>
      <c r="J52" s="46">
        <v>0</v>
      </c>
      <c r="K52" s="46">
        <v>0</v>
      </c>
      <c r="L52" s="46">
        <v>1</v>
      </c>
      <c r="M52" s="46">
        <v>22759</v>
      </c>
      <c r="N52" s="46">
        <v>24884</v>
      </c>
      <c r="O52" s="46">
        <v>122.6161</v>
      </c>
      <c r="P52" s="46">
        <v>175.0112</v>
      </c>
      <c r="Q52" s="46">
        <v>2</v>
      </c>
      <c r="R52" s="46">
        <v>29</v>
      </c>
      <c r="S52" s="46">
        <v>27</v>
      </c>
      <c r="T52" s="46">
        <v>1</v>
      </c>
      <c r="U52" s="56">
        <v>360</v>
      </c>
      <c r="V52" s="46">
        <v>-109.97</v>
      </c>
      <c r="W52" s="46">
        <v>272.35950000000003</v>
      </c>
      <c r="X52" s="46">
        <v>-242.0273</v>
      </c>
      <c r="Y52" s="46">
        <v>1731</v>
      </c>
      <c r="Z52" s="46">
        <v>10</v>
      </c>
      <c r="AA52" s="46">
        <v>2696.1361999999999</v>
      </c>
      <c r="AB52" s="46">
        <v>1202.7478000000001</v>
      </c>
      <c r="AC52" s="46">
        <v>381</v>
      </c>
      <c r="AD52" s="46">
        <v>37.178800000000003</v>
      </c>
      <c r="AE52" s="46">
        <v>75</v>
      </c>
      <c r="AF52" s="46">
        <v>23</v>
      </c>
      <c r="AG52" s="46">
        <v>27</v>
      </c>
      <c r="AH52" s="46">
        <v>56</v>
      </c>
      <c r="AI52" s="46">
        <v>156</v>
      </c>
      <c r="AJ52" s="46">
        <v>209</v>
      </c>
      <c r="AK52" s="46">
        <v>47</v>
      </c>
      <c r="AL52" s="46">
        <v>19</v>
      </c>
      <c r="AM52" s="46">
        <v>0</v>
      </c>
      <c r="AN52" s="46">
        <v>1</v>
      </c>
      <c r="AO52" s="46">
        <v>254</v>
      </c>
      <c r="AP52" s="37" t="s">
        <v>159</v>
      </c>
      <c r="AQ52" s="37" t="s">
        <v>159</v>
      </c>
      <c r="AR52" s="37" t="s">
        <v>159</v>
      </c>
      <c r="AS52" s="37" t="s">
        <v>159</v>
      </c>
      <c r="AT52" s="37" t="s">
        <v>159</v>
      </c>
      <c r="AU52" s="37" t="s">
        <v>159</v>
      </c>
      <c r="AV52" s="37" t="s">
        <v>159</v>
      </c>
      <c r="AW52" s="37" t="s">
        <v>159</v>
      </c>
      <c r="AX52" s="37" t="s">
        <v>159</v>
      </c>
      <c r="AY52" s="37" t="s">
        <v>159</v>
      </c>
      <c r="AZ52" s="37" t="s">
        <v>159</v>
      </c>
      <c r="BA52" s="37" t="s">
        <v>159</v>
      </c>
      <c r="BB52" s="37" t="s">
        <v>159</v>
      </c>
      <c r="BC52" s="37" t="s">
        <v>159</v>
      </c>
      <c r="BD52" s="37" t="s">
        <v>159</v>
      </c>
      <c r="BE52" s="37" t="s">
        <v>159</v>
      </c>
      <c r="BF52" s="37" t="s">
        <v>159</v>
      </c>
      <c r="BG52" s="37" t="s">
        <v>159</v>
      </c>
      <c r="BH52" s="37" t="s">
        <v>159</v>
      </c>
      <c r="BI52" s="37" t="s">
        <v>159</v>
      </c>
      <c r="BJ52" s="46">
        <v>129.53690909090901</v>
      </c>
      <c r="BK52" s="46">
        <v>122.6161</v>
      </c>
      <c r="BL52" s="46">
        <v>-770.46309090909097</v>
      </c>
      <c r="BM52" s="46">
        <v>-770.46309090909097</v>
      </c>
      <c r="BN52" s="46">
        <v>1</v>
      </c>
      <c r="BO52" s="46">
        <v>0</v>
      </c>
      <c r="BP52" s="46">
        <v>1</v>
      </c>
      <c r="BQ52" s="46">
        <v>0</v>
      </c>
      <c r="BR52" s="46">
        <v>1</v>
      </c>
      <c r="BS52" s="46">
        <v>0</v>
      </c>
      <c r="BT52" s="46">
        <v>0</v>
      </c>
      <c r="BU52" s="69" t="s">
        <v>939</v>
      </c>
      <c r="BV52" s="69" t="s">
        <v>943</v>
      </c>
      <c r="BW52" s="69" t="s">
        <v>924</v>
      </c>
      <c r="BX52" s="69">
        <v>2</v>
      </c>
      <c r="BY52" s="69">
        <v>209</v>
      </c>
      <c r="BZ52" s="69">
        <v>29</v>
      </c>
      <c r="CA52" s="69">
        <v>1</v>
      </c>
      <c r="CB52" s="46">
        <v>1</v>
      </c>
      <c r="CC52" s="46">
        <v>3</v>
      </c>
      <c r="CD52" s="50" t="s">
        <v>159</v>
      </c>
      <c r="CE52" s="37"/>
      <c r="CF52" s="38"/>
    </row>
    <row r="53" spans="1:84" x14ac:dyDescent="0.25">
      <c r="A53" s="36">
        <v>50</v>
      </c>
      <c r="B53" s="46" t="s">
        <v>845</v>
      </c>
      <c r="C53" s="46">
        <v>0</v>
      </c>
      <c r="D53" s="46">
        <v>1</v>
      </c>
      <c r="E53" s="46">
        <v>1</v>
      </c>
      <c r="F53" s="46">
        <v>1</v>
      </c>
      <c r="G53" s="46">
        <v>0</v>
      </c>
      <c r="H53" s="46">
        <v>0</v>
      </c>
      <c r="I53" s="46">
        <v>0</v>
      </c>
      <c r="J53" s="46">
        <v>0</v>
      </c>
      <c r="K53" s="46">
        <v>0</v>
      </c>
      <c r="L53" s="46">
        <v>0</v>
      </c>
      <c r="M53" s="46">
        <v>56889</v>
      </c>
      <c r="N53" s="46">
        <v>23944</v>
      </c>
      <c r="O53" s="46">
        <v>87.096500000000006</v>
      </c>
      <c r="P53" s="46">
        <v>348.33120000000002</v>
      </c>
      <c r="Q53" s="46">
        <v>2</v>
      </c>
      <c r="R53" s="46">
        <v>33</v>
      </c>
      <c r="S53" s="46">
        <v>11</v>
      </c>
      <c r="T53" s="46">
        <v>1</v>
      </c>
      <c r="U53" s="56">
        <v>120.2</v>
      </c>
      <c r="V53" s="46">
        <v>-114.24</v>
      </c>
      <c r="W53" s="46">
        <v>-242.3056</v>
      </c>
      <c r="X53" s="46">
        <v>294.60579999999999</v>
      </c>
      <c r="Y53" s="46">
        <v>4450</v>
      </c>
      <c r="Z53" s="46">
        <v>11</v>
      </c>
      <c r="AA53" s="46">
        <v>432.24900000000002</v>
      </c>
      <c r="AB53" s="46">
        <v>1053.9835</v>
      </c>
      <c r="AC53" s="46">
        <v>407.72</v>
      </c>
      <c r="AD53" s="46">
        <v>29.436800000000002</v>
      </c>
      <c r="AE53" s="46">
        <v>90</v>
      </c>
      <c r="AF53" s="46">
        <v>15</v>
      </c>
      <c r="AG53" s="46">
        <v>22</v>
      </c>
      <c r="AH53" s="46">
        <v>99</v>
      </c>
      <c r="AI53" s="46">
        <v>200</v>
      </c>
      <c r="AJ53" s="46">
        <v>15</v>
      </c>
      <c r="AK53" s="46">
        <v>48</v>
      </c>
      <c r="AL53" s="46">
        <v>15</v>
      </c>
      <c r="AM53" s="46">
        <v>1</v>
      </c>
      <c r="AN53" s="46">
        <v>0</v>
      </c>
      <c r="AO53" s="46">
        <v>259.3</v>
      </c>
      <c r="AP53" s="37" t="s">
        <v>159</v>
      </c>
      <c r="AQ53" s="37" t="s">
        <v>159</v>
      </c>
      <c r="AR53" s="37" t="s">
        <v>159</v>
      </c>
      <c r="AS53" s="37" t="s">
        <v>159</v>
      </c>
      <c r="AT53" s="37" t="s">
        <v>159</v>
      </c>
      <c r="AU53" s="37" t="s">
        <v>159</v>
      </c>
      <c r="AV53" s="37" t="s">
        <v>159</v>
      </c>
      <c r="AW53" s="37" t="s">
        <v>159</v>
      </c>
      <c r="AX53" s="37" t="s">
        <v>159</v>
      </c>
      <c r="AY53" s="37" t="s">
        <v>159</v>
      </c>
      <c r="AZ53" s="37" t="s">
        <v>159</v>
      </c>
      <c r="BA53" s="37" t="s">
        <v>159</v>
      </c>
      <c r="BB53" s="37" t="s">
        <v>159</v>
      </c>
      <c r="BC53" s="37" t="s">
        <v>159</v>
      </c>
      <c r="BD53" s="37" t="s">
        <v>159</v>
      </c>
      <c r="BE53" s="37" t="s">
        <v>159</v>
      </c>
      <c r="BF53" s="37" t="s">
        <v>159</v>
      </c>
      <c r="BG53" s="37" t="s">
        <v>159</v>
      </c>
      <c r="BH53" s="37" t="s">
        <v>159</v>
      </c>
      <c r="BI53" s="37" t="s">
        <v>159</v>
      </c>
      <c r="BJ53" s="46">
        <v>701.16872727272698</v>
      </c>
      <c r="BK53" s="46">
        <v>686.89649999999995</v>
      </c>
      <c r="BL53" s="46">
        <v>-198.83127272727299</v>
      </c>
      <c r="BM53" s="46">
        <v>-198.83127272727299</v>
      </c>
      <c r="BN53" s="46">
        <v>0</v>
      </c>
      <c r="BO53" s="46">
        <v>0</v>
      </c>
      <c r="BP53" s="46">
        <v>1</v>
      </c>
      <c r="BQ53" s="46">
        <v>0</v>
      </c>
      <c r="BR53" s="46">
        <v>1</v>
      </c>
      <c r="BS53" s="46">
        <v>0</v>
      </c>
      <c r="BT53" s="46">
        <v>0</v>
      </c>
      <c r="BU53" s="69" t="s">
        <v>939</v>
      </c>
      <c r="BV53" s="69" t="s">
        <v>940</v>
      </c>
      <c r="BW53" s="69" t="s">
        <v>924</v>
      </c>
      <c r="BX53" s="69">
        <v>7</v>
      </c>
      <c r="BY53" s="69">
        <v>15</v>
      </c>
      <c r="BZ53" s="69">
        <v>77</v>
      </c>
      <c r="CA53" s="69">
        <v>1</v>
      </c>
      <c r="CB53" s="46">
        <v>1</v>
      </c>
      <c r="CC53" s="46">
        <v>3</v>
      </c>
      <c r="CD53" s="50" t="s">
        <v>159</v>
      </c>
      <c r="CE53" s="37"/>
      <c r="CF53" s="38"/>
    </row>
    <row r="54" spans="1:84" x14ac:dyDescent="0.25">
      <c r="A54" s="36">
        <v>51</v>
      </c>
      <c r="B54" s="46" t="s">
        <v>877</v>
      </c>
      <c r="C54" s="46">
        <v>0</v>
      </c>
      <c r="D54" s="46">
        <v>0</v>
      </c>
      <c r="E54" s="46">
        <v>0</v>
      </c>
      <c r="F54" s="46">
        <v>1</v>
      </c>
      <c r="G54" s="46">
        <v>0</v>
      </c>
      <c r="H54" s="46">
        <v>0</v>
      </c>
      <c r="I54" s="46">
        <v>0</v>
      </c>
      <c r="J54" s="46">
        <v>0</v>
      </c>
      <c r="K54" s="46">
        <v>0</v>
      </c>
      <c r="L54" s="46">
        <v>0</v>
      </c>
      <c r="M54" s="46">
        <v>1263</v>
      </c>
      <c r="N54" s="46">
        <v>24304</v>
      </c>
      <c r="O54" s="46">
        <v>334.68619999999999</v>
      </c>
      <c r="P54" s="46">
        <v>134.21610000000001</v>
      </c>
      <c r="Q54" s="46">
        <v>2</v>
      </c>
      <c r="R54" s="46">
        <v>37</v>
      </c>
      <c r="S54" s="46">
        <v>14</v>
      </c>
      <c r="T54" s="46">
        <v>1</v>
      </c>
      <c r="U54" s="56">
        <v>0</v>
      </c>
      <c r="V54" s="46">
        <v>-118.51</v>
      </c>
      <c r="W54" s="46">
        <v>-107.90219999999999</v>
      </c>
      <c r="X54" s="46">
        <v>95.133399999999995</v>
      </c>
      <c r="Y54" s="46">
        <v>1495</v>
      </c>
      <c r="Z54" s="46">
        <v>4</v>
      </c>
      <c r="AA54" s="46">
        <v>3508.2509</v>
      </c>
      <c r="AB54" s="46">
        <v>1696.8518999999999</v>
      </c>
      <c r="AC54" s="46">
        <v>434.44</v>
      </c>
      <c r="AD54" s="46">
        <v>47.318100000000001</v>
      </c>
      <c r="AE54" s="46">
        <v>48</v>
      </c>
      <c r="AF54" s="46">
        <v>47</v>
      </c>
      <c r="AG54" s="46">
        <v>32</v>
      </c>
      <c r="AH54" s="46">
        <v>69</v>
      </c>
      <c r="AI54" s="46">
        <v>91</v>
      </c>
      <c r="AJ54" s="46">
        <v>52</v>
      </c>
      <c r="AK54" s="46">
        <v>49</v>
      </c>
      <c r="AL54" s="46">
        <v>11</v>
      </c>
      <c r="AM54" s="46">
        <v>6</v>
      </c>
      <c r="AN54" s="46">
        <v>1</v>
      </c>
      <c r="AO54" s="46">
        <v>264.60000000000002</v>
      </c>
      <c r="AP54" s="37" t="s">
        <v>159</v>
      </c>
      <c r="AQ54" s="37" t="s">
        <v>159</v>
      </c>
      <c r="AR54" s="37" t="s">
        <v>159</v>
      </c>
      <c r="AS54" s="37" t="s">
        <v>159</v>
      </c>
      <c r="AT54" s="37" t="s">
        <v>159</v>
      </c>
      <c r="AU54" s="37" t="s">
        <v>159</v>
      </c>
      <c r="AV54" s="37" t="s">
        <v>159</v>
      </c>
      <c r="AW54" s="37" t="s">
        <v>159</v>
      </c>
      <c r="AX54" s="37" t="s">
        <v>159</v>
      </c>
      <c r="AY54" s="37" t="s">
        <v>159</v>
      </c>
      <c r="AZ54" s="37" t="s">
        <v>159</v>
      </c>
      <c r="BA54" s="37" t="s">
        <v>159</v>
      </c>
      <c r="BB54" s="37" t="s">
        <v>159</v>
      </c>
      <c r="BC54" s="37" t="s">
        <v>159</v>
      </c>
      <c r="BD54" s="37" t="s">
        <v>159</v>
      </c>
      <c r="BE54" s="37" t="s">
        <v>159</v>
      </c>
      <c r="BF54" s="37" t="s">
        <v>159</v>
      </c>
      <c r="BG54" s="37" t="s">
        <v>159</v>
      </c>
      <c r="BH54" s="37" t="s">
        <v>159</v>
      </c>
      <c r="BI54" s="37" t="s">
        <v>159</v>
      </c>
      <c r="BJ54" s="46">
        <v>1423.96640909091</v>
      </c>
      <c r="BK54" s="46">
        <v>1414.6862000000001</v>
      </c>
      <c r="BL54" s="46">
        <v>523.966409090909</v>
      </c>
      <c r="BM54" s="46">
        <v>523.966409090909</v>
      </c>
      <c r="BN54" s="46">
        <v>1</v>
      </c>
      <c r="BO54" s="46">
        <v>0</v>
      </c>
      <c r="BP54" s="46">
        <v>1</v>
      </c>
      <c r="BQ54" s="46">
        <v>0</v>
      </c>
      <c r="BR54" s="46">
        <v>1</v>
      </c>
      <c r="BS54" s="46">
        <v>0</v>
      </c>
      <c r="BT54" s="46">
        <v>5</v>
      </c>
      <c r="BU54" s="69" t="s">
        <v>939</v>
      </c>
      <c r="BV54" s="69" t="s">
        <v>942</v>
      </c>
      <c r="BW54" s="69" t="s">
        <v>924</v>
      </c>
      <c r="BX54" s="69">
        <v>13</v>
      </c>
      <c r="BY54" s="69">
        <v>52</v>
      </c>
      <c r="BZ54" s="69">
        <v>37</v>
      </c>
      <c r="CA54" s="69">
        <v>1</v>
      </c>
      <c r="CB54" s="46">
        <v>1</v>
      </c>
      <c r="CC54" s="46">
        <v>3</v>
      </c>
      <c r="CD54" s="50" t="s">
        <v>159</v>
      </c>
      <c r="CE54" s="37"/>
      <c r="CF54" s="38"/>
    </row>
    <row r="55" spans="1:84" x14ac:dyDescent="0.25">
      <c r="A55" s="36">
        <v>52</v>
      </c>
      <c r="B55" s="46" t="s">
        <v>878</v>
      </c>
      <c r="C55" s="46">
        <v>1</v>
      </c>
      <c r="D55" s="46">
        <v>0</v>
      </c>
      <c r="E55" s="46">
        <v>1</v>
      </c>
      <c r="F55" s="46">
        <v>1</v>
      </c>
      <c r="G55" s="46">
        <v>0</v>
      </c>
      <c r="H55" s="46">
        <v>0</v>
      </c>
      <c r="I55" s="46">
        <v>1</v>
      </c>
      <c r="J55" s="46">
        <v>0</v>
      </c>
      <c r="K55" s="46">
        <v>0</v>
      </c>
      <c r="L55" s="46">
        <v>1</v>
      </c>
      <c r="M55" s="46">
        <v>3704</v>
      </c>
      <c r="N55" s="46">
        <v>50984</v>
      </c>
      <c r="O55" s="46">
        <v>306.68950000000001</v>
      </c>
      <c r="P55" s="46">
        <v>161.61009999999999</v>
      </c>
      <c r="Q55" s="46">
        <v>3</v>
      </c>
      <c r="R55" s="46">
        <v>41</v>
      </c>
      <c r="S55" s="46">
        <v>25</v>
      </c>
      <c r="T55" s="46">
        <v>1</v>
      </c>
      <c r="U55" s="56">
        <v>-124.14</v>
      </c>
      <c r="V55" s="46">
        <v>-122.78</v>
      </c>
      <c r="W55" s="46">
        <v>-173.78280000000001</v>
      </c>
      <c r="X55" s="46">
        <v>4.5834000000000001</v>
      </c>
      <c r="Y55" s="46">
        <v>2653</v>
      </c>
      <c r="Z55" s="46">
        <v>10</v>
      </c>
      <c r="AA55" s="46">
        <v>2462.1080999999999</v>
      </c>
      <c r="AB55" s="46">
        <v>971.18340000000001</v>
      </c>
      <c r="AC55" s="46">
        <v>461.16</v>
      </c>
      <c r="AD55" s="46">
        <v>52.5062</v>
      </c>
      <c r="AE55" s="46">
        <v>74</v>
      </c>
      <c r="AF55" s="46">
        <v>0</v>
      </c>
      <c r="AG55" s="46">
        <v>10</v>
      </c>
      <c r="AH55" s="46">
        <v>56</v>
      </c>
      <c r="AI55" s="46">
        <v>223</v>
      </c>
      <c r="AJ55" s="46">
        <v>57</v>
      </c>
      <c r="AK55" s="46">
        <v>50</v>
      </c>
      <c r="AL55" s="46">
        <v>7</v>
      </c>
      <c r="AM55" s="46">
        <v>5</v>
      </c>
      <c r="AN55" s="46">
        <v>1</v>
      </c>
      <c r="AO55" s="46">
        <v>269.89999999999998</v>
      </c>
      <c r="AP55" s="37" t="s">
        <v>159</v>
      </c>
      <c r="AQ55" s="37" t="s">
        <v>159</v>
      </c>
      <c r="AR55" s="37" t="s">
        <v>159</v>
      </c>
      <c r="AS55" s="37" t="s">
        <v>159</v>
      </c>
      <c r="AT55" s="37" t="s">
        <v>159</v>
      </c>
      <c r="AU55" s="37" t="s">
        <v>159</v>
      </c>
      <c r="AV55" s="37" t="s">
        <v>159</v>
      </c>
      <c r="AW55" s="37" t="s">
        <v>159</v>
      </c>
      <c r="AX55" s="37" t="s">
        <v>159</v>
      </c>
      <c r="AY55" s="37" t="s">
        <v>159</v>
      </c>
      <c r="AZ55" s="37" t="s">
        <v>159</v>
      </c>
      <c r="BA55" s="37" t="s">
        <v>159</v>
      </c>
      <c r="BB55" s="37" t="s">
        <v>159</v>
      </c>
      <c r="BC55" s="37" t="s">
        <v>159</v>
      </c>
      <c r="BD55" s="37" t="s">
        <v>159</v>
      </c>
      <c r="BE55" s="37" t="s">
        <v>159</v>
      </c>
      <c r="BF55" s="37" t="s">
        <v>159</v>
      </c>
      <c r="BG55" s="37" t="s">
        <v>159</v>
      </c>
      <c r="BH55" s="37" t="s">
        <v>159</v>
      </c>
      <c r="BI55" s="37" t="s">
        <v>159</v>
      </c>
      <c r="BJ55" s="46">
        <v>783.81368181818198</v>
      </c>
      <c r="BK55" s="46">
        <v>790.82950000000005</v>
      </c>
      <c r="BL55" s="46">
        <v>-116.186318181818</v>
      </c>
      <c r="BM55" s="46">
        <v>-116.186318181818</v>
      </c>
      <c r="BN55" s="46">
        <v>1</v>
      </c>
      <c r="BO55" s="46">
        <v>0</v>
      </c>
      <c r="BP55" s="46">
        <v>1</v>
      </c>
      <c r="BQ55" s="46">
        <v>0</v>
      </c>
      <c r="BR55" s="46">
        <v>1</v>
      </c>
      <c r="BS55" s="46">
        <v>0</v>
      </c>
      <c r="BT55" s="46">
        <v>4</v>
      </c>
      <c r="BU55" s="69" t="s">
        <v>939</v>
      </c>
      <c r="BV55" s="69" t="s">
        <v>942</v>
      </c>
      <c r="BW55" s="69" t="s">
        <v>924</v>
      </c>
      <c r="BX55" s="69">
        <v>8</v>
      </c>
      <c r="BY55" s="69">
        <v>57</v>
      </c>
      <c r="BZ55" s="69">
        <v>46</v>
      </c>
      <c r="CA55" s="69">
        <v>1</v>
      </c>
      <c r="CB55" s="46">
        <v>1</v>
      </c>
      <c r="CC55" s="46">
        <v>3</v>
      </c>
      <c r="CD55" s="50" t="s">
        <v>159</v>
      </c>
      <c r="CE55" s="37"/>
      <c r="CF55" s="38"/>
    </row>
    <row r="56" spans="1:84" x14ac:dyDescent="0.25">
      <c r="A56" s="36">
        <v>53</v>
      </c>
      <c r="B56" s="46" t="s">
        <v>846</v>
      </c>
      <c r="C56" s="46">
        <v>0</v>
      </c>
      <c r="D56" s="46">
        <v>0</v>
      </c>
      <c r="E56" s="46">
        <v>0</v>
      </c>
      <c r="F56" s="46">
        <v>1</v>
      </c>
      <c r="G56" s="46">
        <v>0</v>
      </c>
      <c r="H56" s="46">
        <v>0</v>
      </c>
      <c r="I56" s="46">
        <v>1</v>
      </c>
      <c r="J56" s="46">
        <v>1</v>
      </c>
      <c r="K56" s="46">
        <v>0</v>
      </c>
      <c r="L56" s="46">
        <v>1</v>
      </c>
      <c r="M56" s="46">
        <v>56270</v>
      </c>
      <c r="N56" s="46">
        <v>30009</v>
      </c>
      <c r="O56" s="46">
        <v>158.11500000000001</v>
      </c>
      <c r="P56" s="46">
        <v>240.0266</v>
      </c>
      <c r="Q56" s="46">
        <v>0</v>
      </c>
      <c r="R56" s="46">
        <v>45</v>
      </c>
      <c r="S56" s="46">
        <v>17</v>
      </c>
      <c r="T56" s="46">
        <v>1</v>
      </c>
      <c r="U56" s="46">
        <v>3</v>
      </c>
      <c r="V56" s="56">
        <v>-180</v>
      </c>
      <c r="W56" s="46">
        <v>-309.86669999999998</v>
      </c>
      <c r="X56" s="46">
        <v>287.0215</v>
      </c>
      <c r="Y56" s="46">
        <v>1221</v>
      </c>
      <c r="Z56" s="46">
        <v>6</v>
      </c>
      <c r="AA56" s="46">
        <v>3542.6880000000001</v>
      </c>
      <c r="AB56" s="46">
        <v>300.4196</v>
      </c>
      <c r="AC56" s="46">
        <v>487.88</v>
      </c>
      <c r="AD56" s="46">
        <v>11.5189</v>
      </c>
      <c r="AE56" s="46">
        <v>83</v>
      </c>
      <c r="AF56" s="46">
        <v>41</v>
      </c>
      <c r="AG56" s="46">
        <v>8</v>
      </c>
      <c r="AH56" s="46">
        <v>64</v>
      </c>
      <c r="AI56" s="46">
        <v>59</v>
      </c>
      <c r="AJ56" s="46">
        <v>227</v>
      </c>
      <c r="AK56" s="46">
        <v>48</v>
      </c>
      <c r="AL56" s="46">
        <v>3</v>
      </c>
      <c r="AM56" s="46">
        <v>2</v>
      </c>
      <c r="AN56" s="46">
        <v>1</v>
      </c>
      <c r="AO56" s="46">
        <v>275.2</v>
      </c>
      <c r="AP56" s="37" t="s">
        <v>159</v>
      </c>
      <c r="AQ56" s="37" t="s">
        <v>159</v>
      </c>
      <c r="AR56" s="37" t="s">
        <v>159</v>
      </c>
      <c r="AS56" s="37" t="s">
        <v>159</v>
      </c>
      <c r="AT56" s="37" t="s">
        <v>159</v>
      </c>
      <c r="AU56" s="37" t="s">
        <v>159</v>
      </c>
      <c r="AV56" s="37" t="s">
        <v>159</v>
      </c>
      <c r="AW56" s="37" t="s">
        <v>159</v>
      </c>
      <c r="AX56" s="37" t="s">
        <v>159</v>
      </c>
      <c r="AY56" s="37" t="s">
        <v>159</v>
      </c>
      <c r="AZ56" s="37" t="s">
        <v>159</v>
      </c>
      <c r="BA56" s="37" t="s">
        <v>159</v>
      </c>
      <c r="BB56" s="37" t="s">
        <v>159</v>
      </c>
      <c r="BC56" s="37" t="s">
        <v>159</v>
      </c>
      <c r="BD56" s="37" t="s">
        <v>159</v>
      </c>
      <c r="BE56" s="37" t="s">
        <v>159</v>
      </c>
      <c r="BF56" s="37" t="s">
        <v>159</v>
      </c>
      <c r="BG56" s="37" t="s">
        <v>159</v>
      </c>
      <c r="BH56" s="37" t="s">
        <v>159</v>
      </c>
      <c r="BI56" s="37" t="s">
        <v>159</v>
      </c>
      <c r="BJ56" s="46">
        <v>275.2</v>
      </c>
      <c r="BK56" s="46">
        <v>515.11500000000001</v>
      </c>
      <c r="BL56" s="46">
        <v>-384.88499999999999</v>
      </c>
      <c r="BM56" s="46">
        <v>-384.88499999999999</v>
      </c>
      <c r="BN56" s="46">
        <v>1</v>
      </c>
      <c r="BO56" s="46">
        <v>0</v>
      </c>
      <c r="BP56" s="46">
        <v>1</v>
      </c>
      <c r="BQ56" s="46">
        <v>0</v>
      </c>
      <c r="BR56" s="46">
        <v>1</v>
      </c>
      <c r="BS56" s="46">
        <v>0</v>
      </c>
      <c r="BT56" s="46">
        <v>1</v>
      </c>
      <c r="BU56" s="69" t="s">
        <v>939</v>
      </c>
      <c r="BV56" s="69" t="s">
        <v>941</v>
      </c>
      <c r="BW56" s="69" t="s">
        <v>924</v>
      </c>
      <c r="BX56" s="69">
        <v>6</v>
      </c>
      <c r="BY56" s="69">
        <v>112</v>
      </c>
      <c r="BZ56" s="69">
        <v>56</v>
      </c>
      <c r="CA56" s="69">
        <v>1</v>
      </c>
      <c r="CB56" s="46">
        <v>1</v>
      </c>
      <c r="CC56" s="46">
        <v>3</v>
      </c>
      <c r="CD56" s="50" t="s">
        <v>159</v>
      </c>
      <c r="CE56" s="37"/>
      <c r="CF56" s="38"/>
    </row>
    <row r="57" spans="1:84" x14ac:dyDescent="0.25">
      <c r="A57" s="36">
        <v>54</v>
      </c>
      <c r="B57" s="46" t="s">
        <v>847</v>
      </c>
      <c r="C57" s="46">
        <v>0</v>
      </c>
      <c r="D57" s="46">
        <v>1</v>
      </c>
      <c r="E57" s="46">
        <v>1</v>
      </c>
      <c r="F57" s="46">
        <v>1</v>
      </c>
      <c r="G57" s="46">
        <v>0</v>
      </c>
      <c r="H57" s="46">
        <v>0</v>
      </c>
      <c r="I57" s="46">
        <v>0</v>
      </c>
      <c r="J57" s="46">
        <v>0</v>
      </c>
      <c r="K57" s="46">
        <v>0</v>
      </c>
      <c r="L57" s="46">
        <v>1</v>
      </c>
      <c r="M57" s="46">
        <v>27244</v>
      </c>
      <c r="N57" s="46">
        <v>47138</v>
      </c>
      <c r="O57" s="46">
        <v>119.36799999999999</v>
      </c>
      <c r="P57" s="46">
        <v>300.16140000000001</v>
      </c>
      <c r="Q57" s="46">
        <v>2</v>
      </c>
      <c r="R57" s="46">
        <v>49</v>
      </c>
      <c r="S57" s="46">
        <v>0</v>
      </c>
      <c r="T57" s="46">
        <v>1</v>
      </c>
      <c r="U57" s="46">
        <v>-12.4</v>
      </c>
      <c r="V57" s="56">
        <v>360</v>
      </c>
      <c r="W57" s="46">
        <v>-184.32640000000001</v>
      </c>
      <c r="X57" s="46">
        <v>324.51650000000001</v>
      </c>
      <c r="Y57" s="46">
        <v>1454</v>
      </c>
      <c r="Z57" s="46">
        <v>20</v>
      </c>
      <c r="AA57" s="46">
        <v>2329.2258999999999</v>
      </c>
      <c r="AB57" s="46">
        <v>526.11980000000005</v>
      </c>
      <c r="AC57" s="46">
        <v>514.6</v>
      </c>
      <c r="AD57" s="46">
        <v>57.454099999999997</v>
      </c>
      <c r="AE57" s="46">
        <v>8</v>
      </c>
      <c r="AF57" s="46">
        <v>41</v>
      </c>
      <c r="AG57" s="46">
        <v>50</v>
      </c>
      <c r="AH57" s="46">
        <v>55</v>
      </c>
      <c r="AI57" s="46">
        <v>46</v>
      </c>
      <c r="AJ57" s="46">
        <v>129</v>
      </c>
      <c r="AK57" s="46">
        <v>46</v>
      </c>
      <c r="AL57" s="46">
        <v>11</v>
      </c>
      <c r="AM57" s="46">
        <v>5</v>
      </c>
      <c r="AN57" s="46">
        <v>1</v>
      </c>
      <c r="AO57" s="46">
        <v>280.5</v>
      </c>
      <c r="AP57" s="37" t="s">
        <v>159</v>
      </c>
      <c r="AQ57" s="37" t="s">
        <v>159</v>
      </c>
      <c r="AR57" s="37" t="s">
        <v>159</v>
      </c>
      <c r="AS57" s="37" t="s">
        <v>159</v>
      </c>
      <c r="AT57" s="37" t="s">
        <v>159</v>
      </c>
      <c r="AU57" s="37" t="s">
        <v>159</v>
      </c>
      <c r="AV57" s="37" t="s">
        <v>159</v>
      </c>
      <c r="AW57" s="37" t="s">
        <v>159</v>
      </c>
      <c r="AX57" s="37" t="s">
        <v>159</v>
      </c>
      <c r="AY57" s="37" t="s">
        <v>159</v>
      </c>
      <c r="AZ57" s="37" t="s">
        <v>159</v>
      </c>
      <c r="BA57" s="37" t="s">
        <v>159</v>
      </c>
      <c r="BB57" s="37" t="s">
        <v>159</v>
      </c>
      <c r="BC57" s="37" t="s">
        <v>159</v>
      </c>
      <c r="BD57" s="37" t="s">
        <v>159</v>
      </c>
      <c r="BE57" s="37" t="s">
        <v>159</v>
      </c>
      <c r="BF57" s="37" t="s">
        <v>159</v>
      </c>
      <c r="BG57" s="37" t="s">
        <v>159</v>
      </c>
      <c r="BH57" s="37" t="s">
        <v>159</v>
      </c>
      <c r="BI57" s="37" t="s">
        <v>159</v>
      </c>
      <c r="BJ57" s="46">
        <v>136.43700000000001</v>
      </c>
      <c r="BK57" s="46">
        <v>131.768</v>
      </c>
      <c r="BL57" s="46">
        <v>-763.56299999999999</v>
      </c>
      <c r="BM57" s="46">
        <v>-763.56299999999999</v>
      </c>
      <c r="BN57" s="46">
        <v>1</v>
      </c>
      <c r="BO57" s="46">
        <v>0</v>
      </c>
      <c r="BP57" s="46">
        <v>1</v>
      </c>
      <c r="BQ57" s="46">
        <v>0</v>
      </c>
      <c r="BR57" s="46">
        <v>1</v>
      </c>
      <c r="BS57" s="46">
        <v>0</v>
      </c>
      <c r="BT57" s="46">
        <v>4</v>
      </c>
      <c r="BU57" s="69" t="s">
        <v>939</v>
      </c>
      <c r="BV57" s="69" t="s">
        <v>941</v>
      </c>
      <c r="BW57" s="69" t="s">
        <v>924</v>
      </c>
      <c r="BX57" s="69">
        <v>2</v>
      </c>
      <c r="BY57" s="69">
        <v>97</v>
      </c>
      <c r="BZ57" s="69">
        <v>5</v>
      </c>
      <c r="CA57" s="69">
        <v>1</v>
      </c>
      <c r="CB57" s="46">
        <v>1</v>
      </c>
      <c r="CC57" s="46">
        <v>3</v>
      </c>
      <c r="CD57" s="50" t="s">
        <v>159</v>
      </c>
      <c r="CE57" s="37"/>
      <c r="CF57" s="38"/>
    </row>
    <row r="58" spans="1:84" x14ac:dyDescent="0.25">
      <c r="A58" s="36">
        <v>55</v>
      </c>
      <c r="B58" s="46" t="s">
        <v>848</v>
      </c>
      <c r="C58" s="46">
        <v>1</v>
      </c>
      <c r="D58" s="46">
        <v>0</v>
      </c>
      <c r="E58" s="46">
        <v>1</v>
      </c>
      <c r="F58" s="46">
        <v>1</v>
      </c>
      <c r="G58" s="46">
        <v>0</v>
      </c>
      <c r="H58" s="46">
        <v>0</v>
      </c>
      <c r="I58" s="46">
        <v>1</v>
      </c>
      <c r="J58" s="46">
        <v>0</v>
      </c>
      <c r="K58" s="46">
        <v>0</v>
      </c>
      <c r="L58" s="46">
        <v>0</v>
      </c>
      <c r="M58" s="46">
        <v>39038</v>
      </c>
      <c r="N58" s="46">
        <v>16754</v>
      </c>
      <c r="O58" s="46">
        <v>231.62100000000001</v>
      </c>
      <c r="P58" s="46">
        <v>169.53110000000001</v>
      </c>
      <c r="Q58" s="46">
        <v>1</v>
      </c>
      <c r="R58" s="46">
        <v>53</v>
      </c>
      <c r="S58" s="46">
        <v>4</v>
      </c>
      <c r="T58" s="46">
        <v>1</v>
      </c>
      <c r="U58" s="46">
        <v>-44.1</v>
      </c>
      <c r="V58" s="56">
        <v>120.2</v>
      </c>
      <c r="W58" s="46">
        <v>-14.080399999999999</v>
      </c>
      <c r="X58" s="46">
        <v>122.7428</v>
      </c>
      <c r="Y58" s="46">
        <v>4148</v>
      </c>
      <c r="Z58" s="46">
        <v>5</v>
      </c>
      <c r="AA58" s="46">
        <v>1196.4849999999999</v>
      </c>
      <c r="AB58" s="46">
        <v>744.68110000000001</v>
      </c>
      <c r="AC58" s="46">
        <v>541.32000000000005</v>
      </c>
      <c r="AD58" s="46">
        <v>36.854399999999998</v>
      </c>
      <c r="AE58" s="46">
        <v>61</v>
      </c>
      <c r="AF58" s="46">
        <v>10</v>
      </c>
      <c r="AG58" s="46">
        <v>49</v>
      </c>
      <c r="AH58" s="46">
        <v>15</v>
      </c>
      <c r="AI58" s="46">
        <v>231</v>
      </c>
      <c r="AJ58" s="46">
        <v>26</v>
      </c>
      <c r="AK58" s="46">
        <v>44</v>
      </c>
      <c r="AL58" s="46">
        <v>19</v>
      </c>
      <c r="AM58" s="46">
        <v>0</v>
      </c>
      <c r="AN58" s="46">
        <v>1</v>
      </c>
      <c r="AO58" s="46">
        <v>285.8</v>
      </c>
      <c r="AP58" s="37" t="s">
        <v>159</v>
      </c>
      <c r="AQ58" s="37" t="s">
        <v>159</v>
      </c>
      <c r="AR58" s="37" t="s">
        <v>159</v>
      </c>
      <c r="AS58" s="37" t="s">
        <v>159</v>
      </c>
      <c r="AT58" s="37" t="s">
        <v>159</v>
      </c>
      <c r="AU58" s="37" t="s">
        <v>159</v>
      </c>
      <c r="AV58" s="37" t="s">
        <v>159</v>
      </c>
      <c r="AW58" s="37" t="s">
        <v>159</v>
      </c>
      <c r="AX58" s="37" t="s">
        <v>159</v>
      </c>
      <c r="AY58" s="37" t="s">
        <v>159</v>
      </c>
      <c r="AZ58" s="37" t="s">
        <v>159</v>
      </c>
      <c r="BA58" s="37" t="s">
        <v>159</v>
      </c>
      <c r="BB58" s="37" t="s">
        <v>159</v>
      </c>
      <c r="BC58" s="37" t="s">
        <v>159</v>
      </c>
      <c r="BD58" s="37" t="s">
        <v>159</v>
      </c>
      <c r="BE58" s="37" t="s">
        <v>159</v>
      </c>
      <c r="BF58" s="37" t="s">
        <v>159</v>
      </c>
      <c r="BG58" s="37" t="s">
        <v>159</v>
      </c>
      <c r="BH58" s="37" t="s">
        <v>159</v>
      </c>
      <c r="BI58" s="37" t="s">
        <v>159</v>
      </c>
      <c r="BJ58" s="46">
        <v>1004.24140909091</v>
      </c>
      <c r="BK58" s="46">
        <v>995.721</v>
      </c>
      <c r="BL58" s="46">
        <v>104.241409090909</v>
      </c>
      <c r="BM58" s="46">
        <v>104.241409090909</v>
      </c>
      <c r="BN58" s="46">
        <v>1</v>
      </c>
      <c r="BO58" s="46">
        <v>0</v>
      </c>
      <c r="BP58" s="46">
        <v>1</v>
      </c>
      <c r="BQ58" s="46">
        <v>0</v>
      </c>
      <c r="BR58" s="46">
        <v>1</v>
      </c>
      <c r="BS58" s="46">
        <v>0</v>
      </c>
      <c r="BT58" s="46">
        <v>0</v>
      </c>
      <c r="BU58" s="69" t="s">
        <v>939</v>
      </c>
      <c r="BV58" s="69" t="s">
        <v>943</v>
      </c>
      <c r="BW58" s="69" t="s">
        <v>924</v>
      </c>
      <c r="BX58" s="69">
        <v>10</v>
      </c>
      <c r="BY58" s="69">
        <v>26</v>
      </c>
      <c r="BZ58" s="69">
        <v>0</v>
      </c>
      <c r="CA58" s="69">
        <v>1</v>
      </c>
      <c r="CB58" s="46">
        <v>1</v>
      </c>
      <c r="CC58" s="46">
        <v>3</v>
      </c>
      <c r="CD58" s="50" t="s">
        <v>159</v>
      </c>
      <c r="CE58" s="37"/>
      <c r="CF58" s="38"/>
    </row>
    <row r="59" spans="1:84" x14ac:dyDescent="0.25">
      <c r="A59" s="36">
        <v>56</v>
      </c>
      <c r="B59" s="46" t="s">
        <v>879</v>
      </c>
      <c r="C59" s="46">
        <v>1</v>
      </c>
      <c r="D59" s="46">
        <v>0</v>
      </c>
      <c r="E59" s="46">
        <v>0</v>
      </c>
      <c r="F59" s="46">
        <v>1</v>
      </c>
      <c r="G59" s="46">
        <v>0</v>
      </c>
      <c r="H59" s="46">
        <v>0</v>
      </c>
      <c r="I59" s="46">
        <v>1</v>
      </c>
      <c r="J59" s="46">
        <v>0</v>
      </c>
      <c r="K59" s="46">
        <v>0</v>
      </c>
      <c r="L59" s="46">
        <v>1</v>
      </c>
      <c r="M59" s="46">
        <v>28091</v>
      </c>
      <c r="N59" s="46">
        <v>53134</v>
      </c>
      <c r="O59" s="46">
        <v>91.366100000000003</v>
      </c>
      <c r="P59" s="46">
        <v>77.070700000000002</v>
      </c>
      <c r="Q59" s="46">
        <v>3</v>
      </c>
      <c r="R59" s="46">
        <v>57</v>
      </c>
      <c r="S59" s="46">
        <v>3</v>
      </c>
      <c r="T59" s="46">
        <v>1</v>
      </c>
      <c r="U59" s="46">
        <v>-75.8</v>
      </c>
      <c r="V59" s="56">
        <v>0</v>
      </c>
      <c r="W59" s="46">
        <v>313.53710000000001</v>
      </c>
      <c r="X59" s="46">
        <v>-292.50400000000002</v>
      </c>
      <c r="Y59" s="46">
        <v>4081</v>
      </c>
      <c r="Z59" s="46">
        <v>8</v>
      </c>
      <c r="AA59" s="46">
        <v>2390.3498</v>
      </c>
      <c r="AB59" s="46">
        <v>452.53550000000001</v>
      </c>
      <c r="AC59" s="46">
        <v>568.04</v>
      </c>
      <c r="AD59" s="46">
        <v>98.277799999999999</v>
      </c>
      <c r="AE59" s="46">
        <v>13</v>
      </c>
      <c r="AF59" s="46">
        <v>4</v>
      </c>
      <c r="AG59" s="46">
        <v>32</v>
      </c>
      <c r="AH59" s="46">
        <v>60</v>
      </c>
      <c r="AI59" s="46">
        <v>160</v>
      </c>
      <c r="AJ59" s="46">
        <v>255</v>
      </c>
      <c r="AK59" s="46">
        <v>42</v>
      </c>
      <c r="AL59" s="46">
        <v>27</v>
      </c>
      <c r="AM59" s="46">
        <v>2</v>
      </c>
      <c r="AN59" s="46">
        <v>0</v>
      </c>
      <c r="AO59" s="46">
        <v>1204</v>
      </c>
      <c r="AP59" s="37" t="s">
        <v>159</v>
      </c>
      <c r="AQ59" s="37" t="s">
        <v>159</v>
      </c>
      <c r="AR59" s="37" t="s">
        <v>159</v>
      </c>
      <c r="AS59" s="37" t="s">
        <v>159</v>
      </c>
      <c r="AT59" s="37" t="s">
        <v>159</v>
      </c>
      <c r="AU59" s="37" t="s">
        <v>159</v>
      </c>
      <c r="AV59" s="37" t="s">
        <v>159</v>
      </c>
      <c r="AW59" s="37" t="s">
        <v>159</v>
      </c>
      <c r="AX59" s="37" t="s">
        <v>159</v>
      </c>
      <c r="AY59" s="37" t="s">
        <v>159</v>
      </c>
      <c r="AZ59" s="37" t="s">
        <v>159</v>
      </c>
      <c r="BA59" s="37" t="s">
        <v>159</v>
      </c>
      <c r="BB59" s="37" t="s">
        <v>159</v>
      </c>
      <c r="BC59" s="37" t="s">
        <v>159</v>
      </c>
      <c r="BD59" s="37" t="s">
        <v>159</v>
      </c>
      <c r="BE59" s="37" t="s">
        <v>159</v>
      </c>
      <c r="BF59" s="37" t="s">
        <v>159</v>
      </c>
      <c r="BG59" s="37" t="s">
        <v>159</v>
      </c>
      <c r="BH59" s="37" t="s">
        <v>159</v>
      </c>
      <c r="BI59" s="37" t="s">
        <v>159</v>
      </c>
      <c r="BJ59" s="46">
        <v>525.94122727272702</v>
      </c>
      <c r="BK59" s="46">
        <v>527.16610000000003</v>
      </c>
      <c r="BL59" s="46">
        <v>-374.05877272727298</v>
      </c>
      <c r="BM59" s="46">
        <v>-374.05877272727298</v>
      </c>
      <c r="BN59" s="46">
        <v>0</v>
      </c>
      <c r="BO59" s="46">
        <v>0</v>
      </c>
      <c r="BP59" s="46">
        <v>1</v>
      </c>
      <c r="BQ59" s="46">
        <v>0</v>
      </c>
      <c r="BR59" s="46">
        <v>1</v>
      </c>
      <c r="BS59" s="46">
        <v>0</v>
      </c>
      <c r="BT59" s="46">
        <v>1</v>
      </c>
      <c r="BU59" s="69" t="s">
        <v>930</v>
      </c>
      <c r="BV59" s="69" t="s">
        <v>925</v>
      </c>
      <c r="BW59" s="69" t="s">
        <v>925</v>
      </c>
      <c r="BX59" s="69">
        <v>6</v>
      </c>
      <c r="BY59" s="69">
        <v>230</v>
      </c>
      <c r="BZ59" s="69">
        <v>28</v>
      </c>
      <c r="CA59" s="69">
        <v>1</v>
      </c>
      <c r="CB59" s="46">
        <v>1</v>
      </c>
      <c r="CC59" s="46">
        <v>2</v>
      </c>
      <c r="CD59" s="50" t="s">
        <v>159</v>
      </c>
      <c r="CE59" s="37"/>
      <c r="CF59" s="38"/>
    </row>
    <row r="60" spans="1:84" x14ac:dyDescent="0.25">
      <c r="A60" s="36">
        <v>57</v>
      </c>
      <c r="B60" s="46" t="s">
        <v>816</v>
      </c>
      <c r="C60" s="46">
        <v>1</v>
      </c>
      <c r="D60" s="46">
        <v>0</v>
      </c>
      <c r="E60" s="46">
        <v>0</v>
      </c>
      <c r="F60" s="46">
        <v>1</v>
      </c>
      <c r="G60" s="46">
        <v>0</v>
      </c>
      <c r="H60" s="46">
        <v>0</v>
      </c>
      <c r="I60" s="46">
        <v>0</v>
      </c>
      <c r="J60" s="46">
        <v>0</v>
      </c>
      <c r="K60" s="46">
        <v>0</v>
      </c>
      <c r="L60" s="46">
        <v>0</v>
      </c>
      <c r="M60" s="46">
        <v>54010</v>
      </c>
      <c r="N60" s="46">
        <v>13827</v>
      </c>
      <c r="O60" s="46">
        <v>54.089599999999997</v>
      </c>
      <c r="P60" s="46">
        <v>208.5497</v>
      </c>
      <c r="Q60" s="46">
        <v>1</v>
      </c>
      <c r="R60" s="46">
        <v>61</v>
      </c>
      <c r="S60" s="46">
        <v>14</v>
      </c>
      <c r="T60" s="46">
        <v>1</v>
      </c>
      <c r="U60" s="46">
        <v>-107.5</v>
      </c>
      <c r="V60" s="56">
        <v>-124.14</v>
      </c>
      <c r="W60" s="46">
        <v>-20.723500000000001</v>
      </c>
      <c r="X60" s="46">
        <v>323.96960000000001</v>
      </c>
      <c r="Y60" s="46">
        <v>805</v>
      </c>
      <c r="Z60" s="46">
        <v>16</v>
      </c>
      <c r="AA60" s="46">
        <v>112.20650000000001</v>
      </c>
      <c r="AB60" s="46">
        <v>372.80340000000001</v>
      </c>
      <c r="AC60" s="46">
        <v>594.76</v>
      </c>
      <c r="AD60" s="46">
        <v>46.997900000000001</v>
      </c>
      <c r="AE60" s="46">
        <v>82</v>
      </c>
      <c r="AF60" s="46">
        <v>38</v>
      </c>
      <c r="AG60" s="46">
        <v>49</v>
      </c>
      <c r="AH60" s="46">
        <v>68</v>
      </c>
      <c r="AI60" s="46">
        <v>232</v>
      </c>
      <c r="AJ60" s="46">
        <v>87</v>
      </c>
      <c r="AK60" s="46">
        <v>40</v>
      </c>
      <c r="AL60" s="46">
        <v>35</v>
      </c>
      <c r="AM60" s="46">
        <v>1</v>
      </c>
      <c r="AN60" s="46">
        <v>1</v>
      </c>
      <c r="AO60" s="46">
        <v>296.39999999999998</v>
      </c>
      <c r="AP60" s="37" t="s">
        <v>159</v>
      </c>
      <c r="AQ60" s="37" t="s">
        <v>159</v>
      </c>
      <c r="AR60" s="37" t="s">
        <v>159</v>
      </c>
      <c r="AS60" s="37" t="s">
        <v>159</v>
      </c>
      <c r="AT60" s="37" t="s">
        <v>159</v>
      </c>
      <c r="AU60" s="37" t="s">
        <v>159</v>
      </c>
      <c r="AV60" s="37" t="s">
        <v>159</v>
      </c>
      <c r="AW60" s="37" t="s">
        <v>159</v>
      </c>
      <c r="AX60" s="37" t="s">
        <v>159</v>
      </c>
      <c r="AY60" s="37" t="s">
        <v>159</v>
      </c>
      <c r="AZ60" s="37" t="s">
        <v>159</v>
      </c>
      <c r="BA60" s="37" t="s">
        <v>159</v>
      </c>
      <c r="BB60" s="37" t="s">
        <v>159</v>
      </c>
      <c r="BC60" s="37" t="s">
        <v>159</v>
      </c>
      <c r="BD60" s="37" t="s">
        <v>159</v>
      </c>
      <c r="BE60" s="37" t="s">
        <v>159</v>
      </c>
      <c r="BF60" s="37" t="s">
        <v>159</v>
      </c>
      <c r="BG60" s="37" t="s">
        <v>159</v>
      </c>
      <c r="BH60" s="37" t="s">
        <v>159</v>
      </c>
      <c r="BI60" s="37" t="s">
        <v>159</v>
      </c>
      <c r="BJ60" s="46">
        <v>151.222590909091</v>
      </c>
      <c r="BK60" s="46">
        <v>161.58959999999999</v>
      </c>
      <c r="BL60" s="46">
        <v>-748.77740909090903</v>
      </c>
      <c r="BM60" s="46">
        <v>-748.77740909090903</v>
      </c>
      <c r="BN60" s="46">
        <v>1</v>
      </c>
      <c r="BO60" s="46">
        <v>0</v>
      </c>
      <c r="BP60" s="46">
        <v>1</v>
      </c>
      <c r="BQ60" s="46">
        <v>0</v>
      </c>
      <c r="BR60" s="46">
        <v>1</v>
      </c>
      <c r="BS60" s="46">
        <v>0</v>
      </c>
      <c r="BT60" s="46">
        <v>0</v>
      </c>
      <c r="BU60" s="69" t="s">
        <v>939</v>
      </c>
      <c r="BV60" s="69" t="s">
        <v>942</v>
      </c>
      <c r="BW60" s="69" t="s">
        <v>924</v>
      </c>
      <c r="BX60" s="69">
        <v>2</v>
      </c>
      <c r="BY60" s="69">
        <v>87</v>
      </c>
      <c r="BZ60" s="69">
        <v>19</v>
      </c>
      <c r="CA60" s="69">
        <v>1</v>
      </c>
      <c r="CB60" s="46">
        <v>1</v>
      </c>
      <c r="CC60" s="46">
        <v>3</v>
      </c>
      <c r="CD60" s="50" t="s">
        <v>159</v>
      </c>
      <c r="CE60" s="37"/>
      <c r="CF60" s="38"/>
    </row>
    <row r="61" spans="1:84" x14ac:dyDescent="0.25">
      <c r="A61" s="36">
        <v>58</v>
      </c>
      <c r="B61" s="46" t="s">
        <v>849</v>
      </c>
      <c r="C61" s="46">
        <v>1</v>
      </c>
      <c r="D61" s="46">
        <v>1</v>
      </c>
      <c r="E61" s="46">
        <v>0</v>
      </c>
      <c r="F61" s="46">
        <v>1</v>
      </c>
      <c r="G61" s="46">
        <v>0</v>
      </c>
      <c r="H61" s="46">
        <v>0</v>
      </c>
      <c r="I61" s="46">
        <v>0</v>
      </c>
      <c r="J61" s="46">
        <v>1</v>
      </c>
      <c r="K61" s="46">
        <v>0</v>
      </c>
      <c r="L61" s="46">
        <v>1</v>
      </c>
      <c r="M61" s="46">
        <v>12420</v>
      </c>
      <c r="N61" s="46">
        <v>57184</v>
      </c>
      <c r="O61" s="46">
        <v>155.0137</v>
      </c>
      <c r="P61" s="46">
        <v>118.78740000000001</v>
      </c>
      <c r="Q61" s="46">
        <v>2</v>
      </c>
      <c r="R61" s="46">
        <v>65</v>
      </c>
      <c r="S61" s="46">
        <v>26</v>
      </c>
      <c r="T61" s="46">
        <v>420</v>
      </c>
      <c r="U61" s="46">
        <v>-139.19999999999999</v>
      </c>
      <c r="V61" s="46">
        <v>12.1</v>
      </c>
      <c r="W61" s="56">
        <v>-360</v>
      </c>
      <c r="X61" s="46">
        <v>-310.88220000000001</v>
      </c>
      <c r="Y61" s="46">
        <v>2443</v>
      </c>
      <c r="Z61" s="46">
        <v>21</v>
      </c>
      <c r="AA61" s="46">
        <v>3384.7768999999998</v>
      </c>
      <c r="AB61" s="46">
        <v>1122.9485</v>
      </c>
      <c r="AC61" s="46">
        <v>621.48</v>
      </c>
      <c r="AD61" s="46">
        <v>65.786100000000005</v>
      </c>
      <c r="AE61" s="46">
        <v>89</v>
      </c>
      <c r="AF61" s="46">
        <v>4</v>
      </c>
      <c r="AG61" s="46">
        <v>15</v>
      </c>
      <c r="AH61" s="46">
        <v>48</v>
      </c>
      <c r="AI61" s="46">
        <v>182</v>
      </c>
      <c r="AJ61" s="46">
        <v>94</v>
      </c>
      <c r="AK61" s="46">
        <v>38</v>
      </c>
      <c r="AL61" s="46">
        <v>43</v>
      </c>
      <c r="AM61" s="46">
        <v>3</v>
      </c>
      <c r="AN61" s="46">
        <v>1</v>
      </c>
      <c r="AO61" s="46">
        <v>301.7</v>
      </c>
      <c r="AP61" s="37" t="s">
        <v>159</v>
      </c>
      <c r="AQ61" s="37" t="s">
        <v>159</v>
      </c>
      <c r="AR61" s="37" t="s">
        <v>159</v>
      </c>
      <c r="AS61" s="37" t="s">
        <v>159</v>
      </c>
      <c r="AT61" s="37" t="s">
        <v>159</v>
      </c>
      <c r="AU61" s="37" t="s">
        <v>159</v>
      </c>
      <c r="AV61" s="37" t="s">
        <v>159</v>
      </c>
      <c r="AW61" s="37" t="s">
        <v>159</v>
      </c>
      <c r="AX61" s="37" t="s">
        <v>159</v>
      </c>
      <c r="AY61" s="37" t="s">
        <v>159</v>
      </c>
      <c r="AZ61" s="37" t="s">
        <v>159</v>
      </c>
      <c r="BA61" s="37" t="s">
        <v>159</v>
      </c>
      <c r="BB61" s="37" t="s">
        <v>159</v>
      </c>
      <c r="BC61" s="37" t="s">
        <v>159</v>
      </c>
      <c r="BD61" s="37" t="s">
        <v>159</v>
      </c>
      <c r="BE61" s="37" t="s">
        <v>159</v>
      </c>
      <c r="BF61" s="37" t="s">
        <v>159</v>
      </c>
      <c r="BG61" s="37" t="s">
        <v>159</v>
      </c>
      <c r="BH61" s="37" t="s">
        <v>159</v>
      </c>
      <c r="BI61" s="37" t="s">
        <v>159</v>
      </c>
      <c r="BJ61" s="46">
        <v>301.7</v>
      </c>
      <c r="BK61" s="46">
        <v>515.01369999999997</v>
      </c>
      <c r="BL61" s="46">
        <v>-384.98630000000003</v>
      </c>
      <c r="BM61" s="46">
        <v>-384.98630000000003</v>
      </c>
      <c r="BN61" s="46">
        <v>1</v>
      </c>
      <c r="BO61" s="46">
        <v>0</v>
      </c>
      <c r="BP61" s="46">
        <v>0</v>
      </c>
      <c r="BQ61" s="46">
        <v>0</v>
      </c>
      <c r="BR61" s="46">
        <v>0</v>
      </c>
      <c r="BS61" s="46">
        <v>0</v>
      </c>
      <c r="BT61" s="46">
        <v>2</v>
      </c>
      <c r="BU61" s="69" t="s">
        <v>939</v>
      </c>
      <c r="BV61" s="69" t="s">
        <v>942</v>
      </c>
      <c r="BW61" s="69" t="s">
        <v>924</v>
      </c>
      <c r="BX61" s="69">
        <v>6</v>
      </c>
      <c r="BY61" s="69">
        <v>94</v>
      </c>
      <c r="BZ61" s="69">
        <v>33</v>
      </c>
      <c r="CA61" s="69">
        <v>1</v>
      </c>
      <c r="CB61" s="46">
        <v>1</v>
      </c>
      <c r="CC61" s="46">
        <v>3</v>
      </c>
      <c r="CD61" s="50" t="s">
        <v>159</v>
      </c>
      <c r="CE61" s="37"/>
      <c r="CF61" s="38"/>
    </row>
    <row r="62" spans="1:84" x14ac:dyDescent="0.25">
      <c r="A62" s="36">
        <v>59</v>
      </c>
      <c r="B62" s="46" t="s">
        <v>850</v>
      </c>
      <c r="C62" s="46">
        <v>1</v>
      </c>
      <c r="D62" s="46">
        <v>0</v>
      </c>
      <c r="E62" s="46">
        <v>0</v>
      </c>
      <c r="F62" s="46">
        <v>1</v>
      </c>
      <c r="G62" s="46">
        <v>0</v>
      </c>
      <c r="H62" s="46">
        <v>0</v>
      </c>
      <c r="I62" s="46">
        <v>1</v>
      </c>
      <c r="J62" s="46">
        <v>1</v>
      </c>
      <c r="K62" s="46">
        <v>0</v>
      </c>
      <c r="L62" s="46">
        <v>0</v>
      </c>
      <c r="M62" s="46">
        <v>61885</v>
      </c>
      <c r="N62" s="46">
        <v>51201</v>
      </c>
      <c r="O62" s="46">
        <v>303.8177</v>
      </c>
      <c r="P62" s="46">
        <v>312.86040000000003</v>
      </c>
      <c r="Q62" s="46">
        <v>3</v>
      </c>
      <c r="R62" s="46">
        <v>69</v>
      </c>
      <c r="S62" s="46">
        <v>14</v>
      </c>
      <c r="T62" s="46">
        <v>450</v>
      </c>
      <c r="U62" s="46">
        <v>-170.9</v>
      </c>
      <c r="V62" s="46">
        <v>27.14</v>
      </c>
      <c r="W62" s="56">
        <v>360</v>
      </c>
      <c r="X62" s="46">
        <v>96.268000000000001</v>
      </c>
      <c r="Y62" s="46">
        <v>1609</v>
      </c>
      <c r="Z62" s="46">
        <v>6</v>
      </c>
      <c r="AA62" s="46">
        <v>224.6311</v>
      </c>
      <c r="AB62" s="46">
        <v>1032.4799</v>
      </c>
      <c r="AC62" s="46">
        <v>648.20000000000005</v>
      </c>
      <c r="AD62" s="46">
        <v>21.343299999999999</v>
      </c>
      <c r="AE62" s="46">
        <v>42</v>
      </c>
      <c r="AF62" s="46">
        <v>32</v>
      </c>
      <c r="AG62" s="46">
        <v>17</v>
      </c>
      <c r="AH62" s="46">
        <v>56</v>
      </c>
      <c r="AI62" s="46">
        <v>71</v>
      </c>
      <c r="AJ62" s="46">
        <v>230</v>
      </c>
      <c r="AK62" s="46">
        <v>36</v>
      </c>
      <c r="AL62" s="46">
        <v>33</v>
      </c>
      <c r="AM62" s="46">
        <v>6</v>
      </c>
      <c r="AN62" s="46">
        <v>0</v>
      </c>
      <c r="AO62" s="46">
        <v>307</v>
      </c>
      <c r="AP62" s="37" t="s">
        <v>159</v>
      </c>
      <c r="AQ62" s="37" t="s">
        <v>159</v>
      </c>
      <c r="AR62" s="37" t="s">
        <v>159</v>
      </c>
      <c r="AS62" s="37" t="s">
        <v>159</v>
      </c>
      <c r="AT62" s="37" t="s">
        <v>159</v>
      </c>
      <c r="AU62" s="37" t="s">
        <v>159</v>
      </c>
      <c r="AV62" s="37" t="s">
        <v>159</v>
      </c>
      <c r="AW62" s="37" t="s">
        <v>159</v>
      </c>
      <c r="AX62" s="37" t="s">
        <v>159</v>
      </c>
      <c r="AY62" s="37" t="s">
        <v>159</v>
      </c>
      <c r="AZ62" s="37" t="s">
        <v>159</v>
      </c>
      <c r="BA62" s="37" t="s">
        <v>159</v>
      </c>
      <c r="BB62" s="37" t="s">
        <v>159</v>
      </c>
      <c r="BC62" s="37" t="s">
        <v>159</v>
      </c>
      <c r="BD62" s="37" t="s">
        <v>159</v>
      </c>
      <c r="BE62" s="37" t="s">
        <v>159</v>
      </c>
      <c r="BF62" s="37" t="s">
        <v>159</v>
      </c>
      <c r="BG62" s="37" t="s">
        <v>159</v>
      </c>
      <c r="BH62" s="37" t="s">
        <v>159</v>
      </c>
      <c r="BI62" s="37" t="s">
        <v>159</v>
      </c>
      <c r="BJ62" s="46">
        <v>307</v>
      </c>
      <c r="BK62" s="46">
        <v>1743.8177000000001</v>
      </c>
      <c r="BL62" s="46">
        <v>843.81769999999995</v>
      </c>
      <c r="BM62" s="46">
        <v>843.81769999999995</v>
      </c>
      <c r="BN62" s="46">
        <v>0</v>
      </c>
      <c r="BO62" s="46">
        <v>0</v>
      </c>
      <c r="BP62" s="46">
        <v>0</v>
      </c>
      <c r="BQ62" s="46">
        <v>0</v>
      </c>
      <c r="BR62" s="46">
        <v>0</v>
      </c>
      <c r="BS62" s="46">
        <v>0</v>
      </c>
      <c r="BT62" s="46">
        <v>5</v>
      </c>
      <c r="BU62" s="69" t="s">
        <v>930</v>
      </c>
      <c r="BV62" s="69" t="s">
        <v>925</v>
      </c>
      <c r="BW62" s="69" t="s">
        <v>925</v>
      </c>
      <c r="BX62" s="69">
        <v>16</v>
      </c>
      <c r="BY62" s="69">
        <v>77</v>
      </c>
      <c r="BZ62" s="69">
        <v>39</v>
      </c>
      <c r="CA62" s="69">
        <v>1</v>
      </c>
      <c r="CB62" s="46">
        <v>1</v>
      </c>
      <c r="CC62" s="46">
        <v>2</v>
      </c>
      <c r="CD62" s="50" t="s">
        <v>159</v>
      </c>
      <c r="CE62" s="37"/>
      <c r="CF62" s="38"/>
    </row>
    <row r="63" spans="1:84" x14ac:dyDescent="0.25">
      <c r="A63" s="36">
        <v>60</v>
      </c>
      <c r="B63" s="46" t="s">
        <v>851</v>
      </c>
      <c r="C63" s="46">
        <v>2</v>
      </c>
      <c r="D63" s="46">
        <v>1</v>
      </c>
      <c r="E63" s="46">
        <v>0</v>
      </c>
      <c r="F63" s="46">
        <v>1</v>
      </c>
      <c r="G63" s="46">
        <v>0</v>
      </c>
      <c r="H63" s="46">
        <v>0</v>
      </c>
      <c r="I63" s="46">
        <v>0</v>
      </c>
      <c r="J63" s="46">
        <v>1</v>
      </c>
      <c r="K63" s="46">
        <v>0</v>
      </c>
      <c r="L63" s="46">
        <v>1</v>
      </c>
      <c r="M63" s="46">
        <v>16942</v>
      </c>
      <c r="N63" s="46">
        <v>30425</v>
      </c>
      <c r="O63" s="46">
        <v>168.14689999999999</v>
      </c>
      <c r="P63" s="46">
        <v>214.30279999999999</v>
      </c>
      <c r="Q63" s="46">
        <v>0</v>
      </c>
      <c r="R63" s="46">
        <v>73</v>
      </c>
      <c r="S63" s="46">
        <v>25</v>
      </c>
      <c r="T63" s="46">
        <v>480</v>
      </c>
      <c r="U63" s="46">
        <v>-107.1</v>
      </c>
      <c r="V63" s="46">
        <v>42.18</v>
      </c>
      <c r="W63" s="56">
        <v>298</v>
      </c>
      <c r="X63" s="46">
        <v>-111.3202</v>
      </c>
      <c r="Y63" s="46">
        <v>352</v>
      </c>
      <c r="Z63" s="46">
        <v>11</v>
      </c>
      <c r="AA63" s="46">
        <v>166.0669</v>
      </c>
      <c r="AB63" s="46">
        <v>1041.3227999999999</v>
      </c>
      <c r="AC63" s="46">
        <v>674.92</v>
      </c>
      <c r="AD63" s="46">
        <v>96.364699999999999</v>
      </c>
      <c r="AE63" s="46">
        <v>87</v>
      </c>
      <c r="AF63" s="46">
        <v>9</v>
      </c>
      <c r="AG63" s="46">
        <v>14</v>
      </c>
      <c r="AH63" s="46">
        <v>84</v>
      </c>
      <c r="AI63" s="46">
        <v>199</v>
      </c>
      <c r="AJ63" s="46">
        <v>201</v>
      </c>
      <c r="AK63" s="46">
        <v>34</v>
      </c>
      <c r="AL63" s="46">
        <v>23</v>
      </c>
      <c r="AM63" s="46">
        <v>3</v>
      </c>
      <c r="AN63" s="46">
        <v>1</v>
      </c>
      <c r="AO63" s="46">
        <v>312.3</v>
      </c>
      <c r="AP63" s="37" t="s">
        <v>159</v>
      </c>
      <c r="AQ63" s="37" t="s">
        <v>159</v>
      </c>
      <c r="AR63" s="37" t="s">
        <v>159</v>
      </c>
      <c r="AS63" s="37" t="s">
        <v>159</v>
      </c>
      <c r="AT63" s="37" t="s">
        <v>159</v>
      </c>
      <c r="AU63" s="37" t="s">
        <v>159</v>
      </c>
      <c r="AV63" s="37" t="s">
        <v>159</v>
      </c>
      <c r="AW63" s="37" t="s">
        <v>159</v>
      </c>
      <c r="AX63" s="37" t="s">
        <v>159</v>
      </c>
      <c r="AY63" s="37" t="s">
        <v>159</v>
      </c>
      <c r="AZ63" s="37" t="s">
        <v>159</v>
      </c>
      <c r="BA63" s="37" t="s">
        <v>159</v>
      </c>
      <c r="BB63" s="37" t="s">
        <v>159</v>
      </c>
      <c r="BC63" s="37" t="s">
        <v>159</v>
      </c>
      <c r="BD63" s="37" t="s">
        <v>159</v>
      </c>
      <c r="BE63" s="37" t="s">
        <v>159</v>
      </c>
      <c r="BF63" s="37" t="s">
        <v>159</v>
      </c>
      <c r="BG63" s="37" t="s">
        <v>159</v>
      </c>
      <c r="BH63" s="37" t="s">
        <v>159</v>
      </c>
      <c r="BI63" s="37" t="s">
        <v>159</v>
      </c>
      <c r="BJ63" s="46">
        <v>312.3</v>
      </c>
      <c r="BK63" s="46">
        <v>950.14689999999996</v>
      </c>
      <c r="BL63" s="46">
        <v>50.146900000000002</v>
      </c>
      <c r="BM63" s="46">
        <v>50.146900000000002</v>
      </c>
      <c r="BN63" s="46">
        <v>1</v>
      </c>
      <c r="BO63" s="46">
        <v>0</v>
      </c>
      <c r="BP63" s="46">
        <v>0</v>
      </c>
      <c r="BQ63" s="46">
        <v>0</v>
      </c>
      <c r="BR63" s="46">
        <v>0</v>
      </c>
      <c r="BS63" s="46">
        <v>0</v>
      </c>
      <c r="BT63" s="46">
        <v>2</v>
      </c>
      <c r="BU63" s="69" t="s">
        <v>939</v>
      </c>
      <c r="BV63" s="69" t="s">
        <v>942</v>
      </c>
      <c r="BW63" s="69" t="s">
        <v>924</v>
      </c>
      <c r="BX63" s="69">
        <v>9</v>
      </c>
      <c r="BY63" s="69">
        <v>201</v>
      </c>
      <c r="BZ63" s="69">
        <v>70</v>
      </c>
      <c r="CA63" s="69">
        <v>1</v>
      </c>
      <c r="CB63" s="46">
        <v>1</v>
      </c>
      <c r="CC63" s="46">
        <v>3</v>
      </c>
      <c r="CD63" s="50" t="s">
        <v>159</v>
      </c>
      <c r="CE63" s="37"/>
      <c r="CF63" s="38"/>
    </row>
    <row r="64" spans="1:84" x14ac:dyDescent="0.25">
      <c r="A64" s="36">
        <v>61</v>
      </c>
      <c r="B64" s="46" t="s">
        <v>852</v>
      </c>
      <c r="C64" s="46">
        <v>0</v>
      </c>
      <c r="D64" s="46">
        <v>1</v>
      </c>
      <c r="E64" s="46">
        <v>0</v>
      </c>
      <c r="F64" s="46">
        <v>1</v>
      </c>
      <c r="G64" s="46">
        <v>0</v>
      </c>
      <c r="H64" s="46">
        <v>0</v>
      </c>
      <c r="I64" s="46">
        <v>1</v>
      </c>
      <c r="J64" s="46">
        <v>0</v>
      </c>
      <c r="K64" s="46">
        <v>0</v>
      </c>
      <c r="L64" s="46">
        <v>1</v>
      </c>
      <c r="M64" s="46">
        <v>1158</v>
      </c>
      <c r="N64" s="46">
        <v>8222</v>
      </c>
      <c r="O64" s="46">
        <v>161.8734</v>
      </c>
      <c r="P64" s="46">
        <v>119.4286</v>
      </c>
      <c r="Q64" s="46">
        <v>2</v>
      </c>
      <c r="R64" s="46">
        <v>77</v>
      </c>
      <c r="S64" s="46">
        <v>15</v>
      </c>
      <c r="T64" s="46">
        <v>510</v>
      </c>
      <c r="U64" s="46">
        <v>-43.3</v>
      </c>
      <c r="V64" s="46">
        <v>57.22</v>
      </c>
      <c r="W64" s="56">
        <v>0</v>
      </c>
      <c r="X64" s="46">
        <v>308.79500000000002</v>
      </c>
      <c r="Y64" s="46">
        <v>3899</v>
      </c>
      <c r="Z64" s="46">
        <v>0</v>
      </c>
      <c r="AA64" s="46">
        <v>1726.2014999999999</v>
      </c>
      <c r="AB64" s="46">
        <v>1696.17</v>
      </c>
      <c r="AC64" s="46">
        <v>701.64</v>
      </c>
      <c r="AD64" s="46">
        <v>39.971200000000003</v>
      </c>
      <c r="AE64" s="46">
        <v>80</v>
      </c>
      <c r="AF64" s="46">
        <v>40</v>
      </c>
      <c r="AG64" s="46">
        <v>34</v>
      </c>
      <c r="AH64" s="46">
        <v>39</v>
      </c>
      <c r="AI64" s="46">
        <v>32</v>
      </c>
      <c r="AJ64" s="46">
        <v>122</v>
      </c>
      <c r="AK64" s="46">
        <v>32</v>
      </c>
      <c r="AL64" s="46">
        <v>13</v>
      </c>
      <c r="AM64" s="46">
        <v>5</v>
      </c>
      <c r="AN64" s="46">
        <v>0</v>
      </c>
      <c r="AO64" s="46">
        <v>317.60000000000002</v>
      </c>
      <c r="AP64" s="37" t="s">
        <v>159</v>
      </c>
      <c r="AQ64" s="37" t="s">
        <v>159</v>
      </c>
      <c r="AR64" s="37" t="s">
        <v>159</v>
      </c>
      <c r="AS64" s="37" t="s">
        <v>159</v>
      </c>
      <c r="AT64" s="37" t="s">
        <v>159</v>
      </c>
      <c r="AU64" s="37" t="s">
        <v>159</v>
      </c>
      <c r="AV64" s="37" t="s">
        <v>159</v>
      </c>
      <c r="AW64" s="37" t="s">
        <v>159</v>
      </c>
      <c r="AX64" s="37" t="s">
        <v>159</v>
      </c>
      <c r="AY64" s="37" t="s">
        <v>159</v>
      </c>
      <c r="AZ64" s="37" t="s">
        <v>159</v>
      </c>
      <c r="BA64" s="37" t="s">
        <v>159</v>
      </c>
      <c r="BB64" s="37" t="s">
        <v>159</v>
      </c>
      <c r="BC64" s="37" t="s">
        <v>159</v>
      </c>
      <c r="BD64" s="37" t="s">
        <v>159</v>
      </c>
      <c r="BE64" s="37" t="s">
        <v>159</v>
      </c>
      <c r="BF64" s="37" t="s">
        <v>159</v>
      </c>
      <c r="BG64" s="37" t="s">
        <v>159</v>
      </c>
      <c r="BH64" s="37" t="s">
        <v>159</v>
      </c>
      <c r="BI64" s="37" t="s">
        <v>159</v>
      </c>
      <c r="BJ64" s="46">
        <v>895.74254545454505</v>
      </c>
      <c r="BK64" s="46">
        <v>881.87339999999995</v>
      </c>
      <c r="BL64" s="46">
        <v>-4.2574545454546104</v>
      </c>
      <c r="BM64" s="46">
        <v>-4.2574545454546104</v>
      </c>
      <c r="BN64" s="46">
        <v>0</v>
      </c>
      <c r="BO64" s="46">
        <v>0</v>
      </c>
      <c r="BP64" s="46">
        <v>0</v>
      </c>
      <c r="BQ64" s="46">
        <v>0</v>
      </c>
      <c r="BR64" s="46">
        <v>0</v>
      </c>
      <c r="BS64" s="46">
        <v>0</v>
      </c>
      <c r="BT64" s="46">
        <v>4</v>
      </c>
      <c r="BU64" s="69" t="s">
        <v>930</v>
      </c>
      <c r="BV64" s="69" t="s">
        <v>925</v>
      </c>
      <c r="BW64" s="69" t="s">
        <v>925</v>
      </c>
      <c r="BX64" s="69">
        <v>9</v>
      </c>
      <c r="BY64" s="69">
        <v>24</v>
      </c>
      <c r="BZ64" s="69">
        <v>5</v>
      </c>
      <c r="CA64" s="69">
        <v>1</v>
      </c>
      <c r="CB64" s="46">
        <v>1</v>
      </c>
      <c r="CC64" s="46">
        <v>2</v>
      </c>
      <c r="CD64" s="50" t="s">
        <v>159</v>
      </c>
      <c r="CE64" s="37"/>
      <c r="CF64" s="38"/>
    </row>
    <row r="65" spans="1:84" x14ac:dyDescent="0.25">
      <c r="A65" s="36">
        <v>62</v>
      </c>
      <c r="B65" s="46" t="s">
        <v>853</v>
      </c>
      <c r="C65" s="46">
        <v>1</v>
      </c>
      <c r="D65" s="46">
        <v>0</v>
      </c>
      <c r="E65" s="46">
        <v>1</v>
      </c>
      <c r="F65" s="46">
        <v>1</v>
      </c>
      <c r="G65" s="46">
        <v>0</v>
      </c>
      <c r="H65" s="46">
        <v>0</v>
      </c>
      <c r="I65" s="46">
        <v>1</v>
      </c>
      <c r="J65" s="46">
        <v>0</v>
      </c>
      <c r="K65" s="46">
        <v>0</v>
      </c>
      <c r="L65" s="46">
        <v>1</v>
      </c>
      <c r="M65" s="46">
        <v>21115</v>
      </c>
      <c r="N65" s="46">
        <v>13034</v>
      </c>
      <c r="O65" s="46">
        <v>224.73910000000001</v>
      </c>
      <c r="P65" s="46">
        <v>199.3801</v>
      </c>
      <c r="Q65" s="46">
        <v>2</v>
      </c>
      <c r="R65" s="46">
        <v>81</v>
      </c>
      <c r="S65" s="46">
        <v>2</v>
      </c>
      <c r="T65" s="46">
        <v>540</v>
      </c>
      <c r="U65" s="46">
        <v>20.5</v>
      </c>
      <c r="V65" s="46">
        <v>72.260000000000005</v>
      </c>
      <c r="W65" s="56">
        <v>-53</v>
      </c>
      <c r="X65" s="46">
        <v>-208.4153</v>
      </c>
      <c r="Y65" s="46">
        <v>1508</v>
      </c>
      <c r="Z65" s="46">
        <v>3</v>
      </c>
      <c r="AA65" s="46">
        <v>2570.1590000000001</v>
      </c>
      <c r="AB65" s="46">
        <v>1408.4382000000001</v>
      </c>
      <c r="AC65" s="46">
        <v>728.36</v>
      </c>
      <c r="AD65" s="46">
        <v>21.889700000000001</v>
      </c>
      <c r="AE65" s="46">
        <v>91</v>
      </c>
      <c r="AF65" s="46">
        <v>17</v>
      </c>
      <c r="AG65" s="46">
        <v>26</v>
      </c>
      <c r="AH65" s="46">
        <v>73</v>
      </c>
      <c r="AI65" s="46">
        <v>63</v>
      </c>
      <c r="AJ65" s="46">
        <v>163</v>
      </c>
      <c r="AK65" s="46">
        <v>30</v>
      </c>
      <c r="AL65" s="46">
        <v>3</v>
      </c>
      <c r="AM65" s="46">
        <v>2</v>
      </c>
      <c r="AN65" s="46">
        <v>0</v>
      </c>
      <c r="AO65" s="46">
        <v>322.89999999999998</v>
      </c>
      <c r="AP65" s="37" t="s">
        <v>159</v>
      </c>
      <c r="AQ65" s="37" t="s">
        <v>159</v>
      </c>
      <c r="AR65" s="37" t="s">
        <v>159</v>
      </c>
      <c r="AS65" s="37" t="s">
        <v>159</v>
      </c>
      <c r="AT65" s="37" t="s">
        <v>159</v>
      </c>
      <c r="AU65" s="37" t="s">
        <v>159</v>
      </c>
      <c r="AV65" s="37" t="s">
        <v>159</v>
      </c>
      <c r="AW65" s="37" t="s">
        <v>159</v>
      </c>
      <c r="AX65" s="37" t="s">
        <v>159</v>
      </c>
      <c r="AY65" s="37" t="s">
        <v>159</v>
      </c>
      <c r="AZ65" s="37" t="s">
        <v>159</v>
      </c>
      <c r="BA65" s="37" t="s">
        <v>159</v>
      </c>
      <c r="BB65" s="37" t="s">
        <v>159</v>
      </c>
      <c r="BC65" s="37" t="s">
        <v>159</v>
      </c>
      <c r="BD65" s="37" t="s">
        <v>159</v>
      </c>
      <c r="BE65" s="37" t="s">
        <v>159</v>
      </c>
      <c r="BF65" s="37" t="s">
        <v>159</v>
      </c>
      <c r="BG65" s="37" t="s">
        <v>159</v>
      </c>
      <c r="BH65" s="37" t="s">
        <v>159</v>
      </c>
      <c r="BI65" s="37" t="s">
        <v>159</v>
      </c>
      <c r="BJ65" s="46">
        <v>1003.54336363636</v>
      </c>
      <c r="BK65" s="46">
        <v>997.73910000000001</v>
      </c>
      <c r="BL65" s="46">
        <v>103.54336363636401</v>
      </c>
      <c r="BM65" s="46">
        <v>103.54336363636401</v>
      </c>
      <c r="BN65" s="46">
        <v>0</v>
      </c>
      <c r="BO65" s="46">
        <v>0</v>
      </c>
      <c r="BP65" s="46">
        <v>0</v>
      </c>
      <c r="BQ65" s="46">
        <v>0</v>
      </c>
      <c r="BR65" s="46">
        <v>0</v>
      </c>
      <c r="BS65" s="46">
        <v>0</v>
      </c>
      <c r="BT65" s="46">
        <v>1</v>
      </c>
      <c r="BU65" s="69" t="s">
        <v>930</v>
      </c>
      <c r="BV65" s="69" t="s">
        <v>925</v>
      </c>
      <c r="BW65" s="69" t="s">
        <v>925</v>
      </c>
      <c r="BX65" s="69">
        <v>10</v>
      </c>
      <c r="BY65" s="69">
        <v>107</v>
      </c>
      <c r="BZ65" s="69">
        <v>47</v>
      </c>
      <c r="CA65" s="69">
        <v>1</v>
      </c>
      <c r="CB65" s="46">
        <v>1</v>
      </c>
      <c r="CC65" s="46">
        <v>2</v>
      </c>
      <c r="CD65" s="50" t="s">
        <v>159</v>
      </c>
      <c r="CE65" s="37"/>
      <c r="CF65" s="38"/>
    </row>
    <row r="66" spans="1:84" x14ac:dyDescent="0.25">
      <c r="A66" s="36">
        <v>63</v>
      </c>
      <c r="B66" s="46" t="s">
        <v>854</v>
      </c>
      <c r="C66" s="46">
        <v>0</v>
      </c>
      <c r="D66" s="46">
        <v>0</v>
      </c>
      <c r="E66" s="46">
        <v>0</v>
      </c>
      <c r="F66" s="46">
        <v>1</v>
      </c>
      <c r="G66" s="46">
        <v>0</v>
      </c>
      <c r="H66" s="46">
        <v>0</v>
      </c>
      <c r="I66" s="46">
        <v>0</v>
      </c>
      <c r="J66" s="46">
        <v>0</v>
      </c>
      <c r="K66" s="46">
        <v>0</v>
      </c>
      <c r="L66" s="46">
        <v>1</v>
      </c>
      <c r="M66" s="46">
        <v>39335</v>
      </c>
      <c r="N66" s="46">
        <v>16051</v>
      </c>
      <c r="O66" s="46">
        <v>242.4436</v>
      </c>
      <c r="P66" s="46">
        <v>9.4758999999999993</v>
      </c>
      <c r="Q66" s="46">
        <v>2</v>
      </c>
      <c r="R66" s="46">
        <v>85</v>
      </c>
      <c r="S66" s="46">
        <v>7</v>
      </c>
      <c r="T66" s="46">
        <v>570</v>
      </c>
      <c r="U66" s="46">
        <v>84.3</v>
      </c>
      <c r="V66" s="46">
        <v>87.3</v>
      </c>
      <c r="W66" s="46">
        <v>-256.58569999999997</v>
      </c>
      <c r="X66" s="56">
        <v>-360</v>
      </c>
      <c r="Y66" s="46">
        <v>1608</v>
      </c>
      <c r="Z66" s="46">
        <v>2</v>
      </c>
      <c r="AA66" s="46">
        <v>1245.1401000000001</v>
      </c>
      <c r="AB66" s="46">
        <v>1387.3916999999999</v>
      </c>
      <c r="AC66" s="46">
        <v>755.08</v>
      </c>
      <c r="AD66" s="46">
        <v>81.670100000000005</v>
      </c>
      <c r="AE66" s="46">
        <v>88</v>
      </c>
      <c r="AF66" s="46">
        <v>0</v>
      </c>
      <c r="AG66" s="46">
        <v>43</v>
      </c>
      <c r="AH66" s="46">
        <v>18</v>
      </c>
      <c r="AI66" s="46">
        <v>83</v>
      </c>
      <c r="AJ66" s="46">
        <v>240</v>
      </c>
      <c r="AK66" s="46">
        <v>28</v>
      </c>
      <c r="AL66" s="46">
        <v>9</v>
      </c>
      <c r="AM66" s="46">
        <v>2</v>
      </c>
      <c r="AN66" s="46">
        <v>1</v>
      </c>
      <c r="AO66" s="46">
        <v>328.2</v>
      </c>
      <c r="AP66" s="37" t="s">
        <v>159</v>
      </c>
      <c r="AQ66" s="37" t="s">
        <v>159</v>
      </c>
      <c r="AR66" s="37" t="s">
        <v>159</v>
      </c>
      <c r="AS66" s="37" t="s">
        <v>159</v>
      </c>
      <c r="AT66" s="37" t="s">
        <v>159</v>
      </c>
      <c r="AU66" s="37" t="s">
        <v>159</v>
      </c>
      <c r="AV66" s="37" t="s">
        <v>159</v>
      </c>
      <c r="AW66" s="37" t="s">
        <v>159</v>
      </c>
      <c r="AX66" s="37" t="s">
        <v>159</v>
      </c>
      <c r="AY66" s="37" t="s">
        <v>159</v>
      </c>
      <c r="AZ66" s="37" t="s">
        <v>159</v>
      </c>
      <c r="BA66" s="37" t="s">
        <v>159</v>
      </c>
      <c r="BB66" s="37" t="s">
        <v>159</v>
      </c>
      <c r="BC66" s="37" t="s">
        <v>159</v>
      </c>
      <c r="BD66" s="37" t="s">
        <v>159</v>
      </c>
      <c r="BE66" s="37" t="s">
        <v>159</v>
      </c>
      <c r="BF66" s="37" t="s">
        <v>159</v>
      </c>
      <c r="BG66" s="37" t="s">
        <v>159</v>
      </c>
      <c r="BH66" s="37" t="s">
        <v>159</v>
      </c>
      <c r="BI66" s="37" t="s">
        <v>159</v>
      </c>
      <c r="BJ66" s="46">
        <v>495.216318181818</v>
      </c>
      <c r="BK66" s="46">
        <v>499.02929999999998</v>
      </c>
      <c r="BL66" s="46">
        <v>-404.783681818182</v>
      </c>
      <c r="BM66" s="46">
        <v>-404.783681818182</v>
      </c>
      <c r="BN66" s="46">
        <v>1</v>
      </c>
      <c r="BO66" s="46">
        <v>0</v>
      </c>
      <c r="BP66" s="46">
        <v>0</v>
      </c>
      <c r="BQ66" s="46">
        <v>0</v>
      </c>
      <c r="BR66" s="46">
        <v>0</v>
      </c>
      <c r="BS66" s="46">
        <v>0</v>
      </c>
      <c r="BT66" s="46">
        <v>1</v>
      </c>
      <c r="BU66" s="69" t="s">
        <v>939</v>
      </c>
      <c r="BV66" s="69" t="s">
        <v>941</v>
      </c>
      <c r="BW66" s="69" t="s">
        <v>924</v>
      </c>
      <c r="BX66" s="69">
        <v>6</v>
      </c>
      <c r="BY66" s="69">
        <v>74</v>
      </c>
      <c r="BZ66" s="69">
        <v>0</v>
      </c>
      <c r="CA66" s="69">
        <v>1</v>
      </c>
      <c r="CB66" s="46">
        <v>1</v>
      </c>
      <c r="CC66" s="46">
        <v>3</v>
      </c>
      <c r="CD66" s="50" t="s">
        <v>159</v>
      </c>
      <c r="CE66" s="37"/>
      <c r="CF66" s="38"/>
    </row>
    <row r="67" spans="1:84" x14ac:dyDescent="0.25">
      <c r="A67" s="36">
        <v>64</v>
      </c>
      <c r="B67" s="46" t="s">
        <v>855</v>
      </c>
      <c r="C67" s="46">
        <v>0</v>
      </c>
      <c r="D67" s="46">
        <v>0</v>
      </c>
      <c r="E67" s="46">
        <v>1</v>
      </c>
      <c r="F67" s="46">
        <v>1</v>
      </c>
      <c r="G67" s="46">
        <v>0</v>
      </c>
      <c r="H67" s="46">
        <v>0</v>
      </c>
      <c r="I67" s="46">
        <v>1</v>
      </c>
      <c r="J67" s="46">
        <v>1</v>
      </c>
      <c r="K67" s="46">
        <v>0</v>
      </c>
      <c r="L67" s="46">
        <v>0</v>
      </c>
      <c r="M67" s="46">
        <v>24831</v>
      </c>
      <c r="N67" s="46">
        <v>65236</v>
      </c>
      <c r="O67" s="46">
        <v>360</v>
      </c>
      <c r="P67" s="46">
        <v>316.52510000000001</v>
      </c>
      <c r="Q67" s="46">
        <v>1</v>
      </c>
      <c r="R67" s="46">
        <v>89</v>
      </c>
      <c r="S67" s="46">
        <v>0</v>
      </c>
      <c r="T67" s="46">
        <v>600</v>
      </c>
      <c r="U67" s="46">
        <v>148.1</v>
      </c>
      <c r="V67" s="46">
        <v>102.34</v>
      </c>
      <c r="W67" s="46">
        <v>-101.6065</v>
      </c>
      <c r="X67" s="56">
        <v>360</v>
      </c>
      <c r="Y67" s="46">
        <v>929</v>
      </c>
      <c r="Z67" s="46">
        <v>21</v>
      </c>
      <c r="AA67" s="46">
        <v>2274.8233</v>
      </c>
      <c r="AB67" s="46">
        <v>169.69409999999999</v>
      </c>
      <c r="AC67" s="46">
        <v>781.8</v>
      </c>
      <c r="AD67" s="46">
        <v>54.471200000000003</v>
      </c>
      <c r="AE67" s="46">
        <v>26</v>
      </c>
      <c r="AF67" s="46">
        <v>42</v>
      </c>
      <c r="AG67" s="46">
        <v>26</v>
      </c>
      <c r="AH67" s="46">
        <v>8</v>
      </c>
      <c r="AI67" s="46">
        <v>238</v>
      </c>
      <c r="AJ67" s="46">
        <v>73</v>
      </c>
      <c r="AK67" s="46">
        <v>26</v>
      </c>
      <c r="AL67" s="46">
        <v>15</v>
      </c>
      <c r="AM67" s="46">
        <v>0</v>
      </c>
      <c r="AN67" s="46">
        <v>1</v>
      </c>
      <c r="AO67" s="46">
        <v>333.5</v>
      </c>
      <c r="AP67" s="37" t="s">
        <v>159</v>
      </c>
      <c r="AQ67" s="37" t="s">
        <v>159</v>
      </c>
      <c r="AR67" s="37" t="s">
        <v>159</v>
      </c>
      <c r="AS67" s="37" t="s">
        <v>159</v>
      </c>
      <c r="AT67" s="37" t="s">
        <v>159</v>
      </c>
      <c r="AU67" s="37" t="s">
        <v>159</v>
      </c>
      <c r="AV67" s="37" t="s">
        <v>159</v>
      </c>
      <c r="AW67" s="37" t="s">
        <v>159</v>
      </c>
      <c r="AX67" s="37" t="s">
        <v>159</v>
      </c>
      <c r="AY67" s="37" t="s">
        <v>159</v>
      </c>
      <c r="AZ67" s="37" t="s">
        <v>159</v>
      </c>
      <c r="BA67" s="37" t="s">
        <v>159</v>
      </c>
      <c r="BB67" s="37" t="s">
        <v>159</v>
      </c>
      <c r="BC67" s="37" t="s">
        <v>159</v>
      </c>
      <c r="BD67" s="37" t="s">
        <v>159</v>
      </c>
      <c r="BE67" s="37" t="s">
        <v>159</v>
      </c>
      <c r="BF67" s="37" t="s">
        <v>159</v>
      </c>
      <c r="BG67" s="37" t="s">
        <v>159</v>
      </c>
      <c r="BH67" s="37" t="s">
        <v>159</v>
      </c>
      <c r="BI67" s="37" t="s">
        <v>159</v>
      </c>
      <c r="BJ67" s="46">
        <v>333.5</v>
      </c>
      <c r="BK67" s="46">
        <v>461.60649999999998</v>
      </c>
      <c r="BL67" s="46">
        <v>-438.39350000000002</v>
      </c>
      <c r="BM67" s="46">
        <v>-438.39350000000002</v>
      </c>
      <c r="BN67" s="46">
        <v>1</v>
      </c>
      <c r="BO67" s="46">
        <v>0</v>
      </c>
      <c r="BP67" s="46">
        <v>0</v>
      </c>
      <c r="BQ67" s="46">
        <v>0</v>
      </c>
      <c r="BR67" s="46">
        <v>0</v>
      </c>
      <c r="BS67" s="46">
        <v>0</v>
      </c>
      <c r="BT67" s="46">
        <v>0</v>
      </c>
      <c r="BU67" s="69" t="s">
        <v>939</v>
      </c>
      <c r="BV67" s="69" t="s">
        <v>943</v>
      </c>
      <c r="BW67" s="69" t="s">
        <v>924</v>
      </c>
      <c r="BX67" s="69">
        <v>5</v>
      </c>
      <c r="BY67" s="69">
        <v>73</v>
      </c>
      <c r="BZ67" s="69">
        <v>0</v>
      </c>
      <c r="CA67" s="69">
        <v>1</v>
      </c>
      <c r="CB67" s="46">
        <v>1</v>
      </c>
      <c r="CC67" s="46">
        <v>3</v>
      </c>
      <c r="CD67" s="50" t="s">
        <v>159</v>
      </c>
      <c r="CE67" s="37"/>
      <c r="CF67" s="38"/>
    </row>
    <row r="68" spans="1:84" x14ac:dyDescent="0.25">
      <c r="A68" s="36">
        <v>65</v>
      </c>
      <c r="B68" s="46" t="s">
        <v>856</v>
      </c>
      <c r="C68" s="46">
        <v>1</v>
      </c>
      <c r="D68" s="46">
        <v>0</v>
      </c>
      <c r="E68" s="46">
        <v>1</v>
      </c>
      <c r="F68" s="46">
        <v>1</v>
      </c>
      <c r="G68" s="46">
        <v>0</v>
      </c>
      <c r="H68" s="46">
        <v>0</v>
      </c>
      <c r="I68" s="46">
        <v>1</v>
      </c>
      <c r="J68" s="46">
        <v>1</v>
      </c>
      <c r="K68" s="46">
        <v>0</v>
      </c>
      <c r="L68" s="46">
        <v>0</v>
      </c>
      <c r="M68" s="46">
        <v>42083</v>
      </c>
      <c r="N68" s="46">
        <v>1022</v>
      </c>
      <c r="O68" s="46">
        <v>13.6928</v>
      </c>
      <c r="P68" s="46">
        <v>160.80590000000001</v>
      </c>
      <c r="Q68" s="46">
        <v>3</v>
      </c>
      <c r="R68" s="46">
        <v>93</v>
      </c>
      <c r="S68" s="46">
        <v>8</v>
      </c>
      <c r="T68" s="46">
        <v>630</v>
      </c>
      <c r="U68" s="46">
        <v>211.9</v>
      </c>
      <c r="V68" s="46">
        <v>117.38</v>
      </c>
      <c r="W68" s="46">
        <v>91.570999999999998</v>
      </c>
      <c r="X68" s="56">
        <v>27</v>
      </c>
      <c r="Y68" s="46">
        <v>1579</v>
      </c>
      <c r="Z68" s="46">
        <v>5</v>
      </c>
      <c r="AA68" s="46">
        <v>2395.3319999999999</v>
      </c>
      <c r="AB68" s="46">
        <v>754.98620000000005</v>
      </c>
      <c r="AC68" s="46">
        <v>808.52</v>
      </c>
      <c r="AD68" s="46">
        <v>73.390799999999999</v>
      </c>
      <c r="AE68" s="46">
        <v>65</v>
      </c>
      <c r="AF68" s="46">
        <v>49</v>
      </c>
      <c r="AG68" s="46">
        <v>1</v>
      </c>
      <c r="AH68" s="46">
        <v>50</v>
      </c>
      <c r="AI68" s="46">
        <v>7</v>
      </c>
      <c r="AJ68" s="46">
        <v>127</v>
      </c>
      <c r="AK68" s="46">
        <v>24</v>
      </c>
      <c r="AL68" s="46">
        <v>21</v>
      </c>
      <c r="AM68" s="46">
        <v>6</v>
      </c>
      <c r="AN68" s="46">
        <v>1</v>
      </c>
      <c r="AO68" s="46">
        <v>338.8</v>
      </c>
      <c r="AP68" s="37" t="s">
        <v>159</v>
      </c>
      <c r="AQ68" s="37" t="s">
        <v>159</v>
      </c>
      <c r="AR68" s="37" t="s">
        <v>159</v>
      </c>
      <c r="AS68" s="37" t="s">
        <v>159</v>
      </c>
      <c r="AT68" s="37" t="s">
        <v>159</v>
      </c>
      <c r="AU68" s="37" t="s">
        <v>159</v>
      </c>
      <c r="AV68" s="37" t="s">
        <v>159</v>
      </c>
      <c r="AW68" s="37" t="s">
        <v>159</v>
      </c>
      <c r="AX68" s="37" t="s">
        <v>159</v>
      </c>
      <c r="AY68" s="37" t="s">
        <v>159</v>
      </c>
      <c r="AZ68" s="37" t="s">
        <v>159</v>
      </c>
      <c r="BA68" s="37" t="s">
        <v>159</v>
      </c>
      <c r="BB68" s="37" t="s">
        <v>159</v>
      </c>
      <c r="BC68" s="37" t="s">
        <v>159</v>
      </c>
      <c r="BD68" s="37" t="s">
        <v>159</v>
      </c>
      <c r="BE68" s="37" t="s">
        <v>159</v>
      </c>
      <c r="BF68" s="37" t="s">
        <v>159</v>
      </c>
      <c r="BG68" s="37" t="s">
        <v>159</v>
      </c>
      <c r="BH68" s="37" t="s">
        <v>159</v>
      </c>
      <c r="BI68" s="37" t="s">
        <v>159</v>
      </c>
      <c r="BJ68" s="46">
        <v>338.8</v>
      </c>
      <c r="BK68" s="46">
        <v>1362.1217999999999</v>
      </c>
      <c r="BL68" s="46">
        <v>462.12180000000001</v>
      </c>
      <c r="BM68" s="46">
        <v>462.12180000000001</v>
      </c>
      <c r="BN68" s="46">
        <v>1</v>
      </c>
      <c r="BO68" s="46">
        <v>0</v>
      </c>
      <c r="BP68" s="46">
        <v>0</v>
      </c>
      <c r="BQ68" s="46">
        <v>0</v>
      </c>
      <c r="BR68" s="46">
        <v>0</v>
      </c>
      <c r="BS68" s="46">
        <v>0</v>
      </c>
      <c r="BT68" s="46">
        <v>5</v>
      </c>
      <c r="BU68" s="69" t="s">
        <v>939</v>
      </c>
      <c r="BV68" s="69" t="s">
        <v>941</v>
      </c>
      <c r="BW68" s="69" t="s">
        <v>924</v>
      </c>
      <c r="BX68" s="69">
        <v>13</v>
      </c>
      <c r="BY68" s="69">
        <v>49</v>
      </c>
      <c r="BZ68" s="69">
        <v>49</v>
      </c>
      <c r="CA68" s="69">
        <v>1</v>
      </c>
      <c r="CB68" s="46">
        <v>1</v>
      </c>
      <c r="CC68" s="46">
        <v>3</v>
      </c>
      <c r="CD68" s="50" t="s">
        <v>159</v>
      </c>
      <c r="CE68" s="37"/>
      <c r="CF68" s="38"/>
    </row>
    <row r="69" spans="1:84" x14ac:dyDescent="0.25">
      <c r="A69" s="36">
        <v>66</v>
      </c>
      <c r="B69" s="46" t="s">
        <v>857</v>
      </c>
      <c r="C69" s="46">
        <v>0</v>
      </c>
      <c r="D69" s="46">
        <v>1</v>
      </c>
      <c r="E69" s="46">
        <v>1</v>
      </c>
      <c r="F69" s="46">
        <v>1</v>
      </c>
      <c r="G69" s="46">
        <v>0</v>
      </c>
      <c r="H69" s="46">
        <v>0</v>
      </c>
      <c r="I69" s="46">
        <v>1</v>
      </c>
      <c r="J69" s="46">
        <v>0</v>
      </c>
      <c r="K69" s="46">
        <v>0</v>
      </c>
      <c r="L69" s="46">
        <v>1</v>
      </c>
      <c r="M69" s="46">
        <v>48627</v>
      </c>
      <c r="N69" s="46">
        <v>21466</v>
      </c>
      <c r="O69" s="46">
        <v>198.37690000000001</v>
      </c>
      <c r="P69" s="46">
        <v>204.3657</v>
      </c>
      <c r="Q69" s="46">
        <v>1</v>
      </c>
      <c r="R69" s="46">
        <v>97</v>
      </c>
      <c r="S69" s="46">
        <v>11</v>
      </c>
      <c r="T69" s="46">
        <v>660</v>
      </c>
      <c r="U69" s="46">
        <v>275.7</v>
      </c>
      <c r="V69" s="46">
        <v>132.41999999999999</v>
      </c>
      <c r="W69" s="46">
        <v>196.3811</v>
      </c>
      <c r="X69" s="56">
        <v>0</v>
      </c>
      <c r="Y69" s="46">
        <v>2385</v>
      </c>
      <c r="Z69" s="46">
        <v>2</v>
      </c>
      <c r="AA69" s="46">
        <v>2082.8186999999998</v>
      </c>
      <c r="AB69" s="46">
        <v>1717.4499000000001</v>
      </c>
      <c r="AC69" s="46">
        <v>835.24</v>
      </c>
      <c r="AD69" s="46">
        <v>23.413</v>
      </c>
      <c r="AE69" s="46">
        <v>52</v>
      </c>
      <c r="AF69" s="46">
        <v>48</v>
      </c>
      <c r="AG69" s="46">
        <v>32</v>
      </c>
      <c r="AH69" s="46">
        <v>8</v>
      </c>
      <c r="AI69" s="46">
        <v>177</v>
      </c>
      <c r="AJ69" s="46">
        <v>121</v>
      </c>
      <c r="AK69" s="46">
        <v>22</v>
      </c>
      <c r="AL69" s="46">
        <v>27</v>
      </c>
      <c r="AM69" s="46">
        <v>0</v>
      </c>
      <c r="AN69" s="46">
        <v>0</v>
      </c>
      <c r="AO69" s="46">
        <v>344.1</v>
      </c>
      <c r="AP69" s="37" t="s">
        <v>159</v>
      </c>
      <c r="AQ69" s="37" t="s">
        <v>159</v>
      </c>
      <c r="AR69" s="37" t="s">
        <v>159</v>
      </c>
      <c r="AS69" s="37" t="s">
        <v>159</v>
      </c>
      <c r="AT69" s="37" t="s">
        <v>159</v>
      </c>
      <c r="AU69" s="37" t="s">
        <v>159</v>
      </c>
      <c r="AV69" s="37" t="s">
        <v>159</v>
      </c>
      <c r="AW69" s="37" t="s">
        <v>159</v>
      </c>
      <c r="AX69" s="37" t="s">
        <v>159</v>
      </c>
      <c r="AY69" s="37" t="s">
        <v>159</v>
      </c>
      <c r="AZ69" s="37" t="s">
        <v>159</v>
      </c>
      <c r="BA69" s="37" t="s">
        <v>159</v>
      </c>
      <c r="BB69" s="37" t="s">
        <v>159</v>
      </c>
      <c r="BC69" s="37" t="s">
        <v>159</v>
      </c>
      <c r="BD69" s="37" t="s">
        <v>159</v>
      </c>
      <c r="BE69" s="37" t="s">
        <v>159</v>
      </c>
      <c r="BF69" s="37" t="s">
        <v>159</v>
      </c>
      <c r="BG69" s="37" t="s">
        <v>159</v>
      </c>
      <c r="BH69" s="37" t="s">
        <v>159</v>
      </c>
      <c r="BI69" s="37" t="s">
        <v>159</v>
      </c>
      <c r="BJ69" s="46">
        <v>1074.7116818181801</v>
      </c>
      <c r="BK69" s="46">
        <v>1081.9957999999999</v>
      </c>
      <c r="BL69" s="46">
        <v>174.711681818182</v>
      </c>
      <c r="BM69" s="46">
        <v>174.711681818182</v>
      </c>
      <c r="BN69" s="46">
        <v>0</v>
      </c>
      <c r="BO69" s="46">
        <v>0</v>
      </c>
      <c r="BP69" s="46">
        <v>0</v>
      </c>
      <c r="BQ69" s="46">
        <v>0</v>
      </c>
      <c r="BR69" s="46">
        <v>0</v>
      </c>
      <c r="BS69" s="46">
        <v>0</v>
      </c>
      <c r="BT69" s="46">
        <v>0</v>
      </c>
      <c r="BU69" s="69" t="s">
        <v>939</v>
      </c>
      <c r="BV69" s="69" t="s">
        <v>944</v>
      </c>
      <c r="BW69" s="69" t="s">
        <v>924</v>
      </c>
      <c r="BX69" s="69">
        <v>11</v>
      </c>
      <c r="BY69" s="69">
        <v>121</v>
      </c>
      <c r="BZ69" s="69">
        <v>0</v>
      </c>
      <c r="CA69" s="69">
        <v>1</v>
      </c>
      <c r="CB69" s="46">
        <v>1</v>
      </c>
      <c r="CC69" s="46">
        <v>3</v>
      </c>
      <c r="CD69" s="50" t="s">
        <v>159</v>
      </c>
      <c r="CE69" s="37"/>
      <c r="CF69" s="38"/>
    </row>
    <row r="70" spans="1:84" x14ac:dyDescent="0.25">
      <c r="A70" s="36">
        <v>67</v>
      </c>
      <c r="B70" s="46" t="s">
        <v>858</v>
      </c>
      <c r="C70" s="46">
        <v>1</v>
      </c>
      <c r="D70" s="46">
        <v>0</v>
      </c>
      <c r="E70" s="46">
        <v>0</v>
      </c>
      <c r="F70" s="46">
        <v>1</v>
      </c>
      <c r="G70" s="46">
        <v>0</v>
      </c>
      <c r="H70" s="46">
        <v>0</v>
      </c>
      <c r="I70" s="46">
        <v>1</v>
      </c>
      <c r="J70" s="46">
        <v>0</v>
      </c>
      <c r="K70" s="46">
        <v>0</v>
      </c>
      <c r="L70" s="46">
        <v>1</v>
      </c>
      <c r="M70" s="46">
        <v>46609</v>
      </c>
      <c r="N70" s="46">
        <v>46642</v>
      </c>
      <c r="O70" s="46">
        <v>19.4924</v>
      </c>
      <c r="P70" s="46">
        <v>58.416899999999998</v>
      </c>
      <c r="Q70" s="46">
        <v>3</v>
      </c>
      <c r="R70" s="46">
        <v>101</v>
      </c>
      <c r="S70" s="46">
        <v>17</v>
      </c>
      <c r="T70" s="46">
        <v>690</v>
      </c>
      <c r="U70" s="46">
        <v>339.5</v>
      </c>
      <c r="V70" s="46">
        <v>147.46</v>
      </c>
      <c r="W70" s="46">
        <v>-53.14</v>
      </c>
      <c r="X70" s="56">
        <v>-177</v>
      </c>
      <c r="Y70" s="46">
        <v>392</v>
      </c>
      <c r="Z70" s="46">
        <v>14</v>
      </c>
      <c r="AA70" s="46">
        <v>2648.2581</v>
      </c>
      <c r="AB70" s="46">
        <v>1625.2261000000001</v>
      </c>
      <c r="AC70" s="46">
        <v>861.96</v>
      </c>
      <c r="AD70" s="46">
        <v>96.753399999999999</v>
      </c>
      <c r="AE70" s="46">
        <v>80</v>
      </c>
      <c r="AF70" s="46">
        <v>12</v>
      </c>
      <c r="AG70" s="46">
        <v>21</v>
      </c>
      <c r="AH70" s="46">
        <v>26</v>
      </c>
      <c r="AI70" s="46">
        <v>197</v>
      </c>
      <c r="AJ70" s="46">
        <v>24</v>
      </c>
      <c r="AK70" s="46">
        <v>20</v>
      </c>
      <c r="AL70" s="46">
        <v>33</v>
      </c>
      <c r="AM70" s="46">
        <v>1</v>
      </c>
      <c r="AN70" s="46">
        <v>1</v>
      </c>
      <c r="AO70" s="46">
        <v>349.4</v>
      </c>
      <c r="AP70" s="37" t="s">
        <v>159</v>
      </c>
      <c r="AQ70" s="37" t="s">
        <v>159</v>
      </c>
      <c r="AR70" s="37" t="s">
        <v>159</v>
      </c>
      <c r="AS70" s="37" t="s">
        <v>159</v>
      </c>
      <c r="AT70" s="37" t="s">
        <v>159</v>
      </c>
      <c r="AU70" s="37" t="s">
        <v>159</v>
      </c>
      <c r="AV70" s="37" t="s">
        <v>159</v>
      </c>
      <c r="AW70" s="37" t="s">
        <v>159</v>
      </c>
      <c r="AX70" s="37" t="s">
        <v>159</v>
      </c>
      <c r="AY70" s="37" t="s">
        <v>159</v>
      </c>
      <c r="AZ70" s="37" t="s">
        <v>159</v>
      </c>
      <c r="BA70" s="37" t="s">
        <v>159</v>
      </c>
      <c r="BB70" s="37" t="s">
        <v>159</v>
      </c>
      <c r="BC70" s="37" t="s">
        <v>159</v>
      </c>
      <c r="BD70" s="37" t="s">
        <v>159</v>
      </c>
      <c r="BE70" s="37" t="s">
        <v>159</v>
      </c>
      <c r="BF70" s="37" t="s">
        <v>159</v>
      </c>
      <c r="BG70" s="37" t="s">
        <v>159</v>
      </c>
      <c r="BH70" s="37" t="s">
        <v>159</v>
      </c>
      <c r="BI70" s="37" t="s">
        <v>159</v>
      </c>
      <c r="BJ70" s="46">
        <v>434.28040909090902</v>
      </c>
      <c r="BK70" s="46">
        <v>432.63240000000002</v>
      </c>
      <c r="BL70" s="46">
        <v>-465.71959090909098</v>
      </c>
      <c r="BM70" s="46">
        <v>-465.71959090909098</v>
      </c>
      <c r="BN70" s="46">
        <v>1</v>
      </c>
      <c r="BO70" s="46">
        <v>0</v>
      </c>
      <c r="BP70" s="46">
        <v>0</v>
      </c>
      <c r="BQ70" s="46">
        <v>0</v>
      </c>
      <c r="BR70" s="46">
        <v>0</v>
      </c>
      <c r="BS70" s="46">
        <v>0</v>
      </c>
      <c r="BT70" s="46">
        <v>0</v>
      </c>
      <c r="BU70" s="69" t="s">
        <v>939</v>
      </c>
      <c r="BV70" s="69" t="s">
        <v>942</v>
      </c>
      <c r="BW70" s="69" t="s">
        <v>924</v>
      </c>
      <c r="BX70" s="69">
        <v>5</v>
      </c>
      <c r="BY70" s="69">
        <v>24</v>
      </c>
      <c r="BZ70" s="69">
        <v>5</v>
      </c>
      <c r="CA70" s="69">
        <v>1</v>
      </c>
      <c r="CB70" s="46">
        <v>1</v>
      </c>
      <c r="CC70" s="46">
        <v>3</v>
      </c>
      <c r="CD70" s="50" t="s">
        <v>159</v>
      </c>
      <c r="CE70" s="37"/>
      <c r="CF70" s="38"/>
    </row>
    <row r="71" spans="1:84" x14ac:dyDescent="0.25">
      <c r="A71" s="36">
        <v>68</v>
      </c>
      <c r="B71" s="46" t="s">
        <v>859</v>
      </c>
      <c r="C71" s="46">
        <v>2</v>
      </c>
      <c r="D71" s="46">
        <v>0</v>
      </c>
      <c r="E71" s="46">
        <v>1</v>
      </c>
      <c r="F71" s="46">
        <v>1</v>
      </c>
      <c r="G71" s="46">
        <v>0</v>
      </c>
      <c r="H71" s="46">
        <v>0</v>
      </c>
      <c r="I71" s="46">
        <v>1</v>
      </c>
      <c r="J71" s="46">
        <v>1</v>
      </c>
      <c r="K71" s="46">
        <v>0</v>
      </c>
      <c r="L71" s="46">
        <v>1</v>
      </c>
      <c r="M71" s="46">
        <v>12114</v>
      </c>
      <c r="N71" s="46">
        <v>18790</v>
      </c>
      <c r="O71" s="46">
        <v>220.3304</v>
      </c>
      <c r="P71" s="46">
        <v>68.258799999999994</v>
      </c>
      <c r="Q71" s="46">
        <v>4</v>
      </c>
      <c r="R71" s="46">
        <v>105</v>
      </c>
      <c r="S71" s="46">
        <v>26</v>
      </c>
      <c r="T71" s="46">
        <v>720</v>
      </c>
      <c r="U71" s="46">
        <v>4.4000000000000004</v>
      </c>
      <c r="V71" s="46">
        <v>162.5</v>
      </c>
      <c r="W71" s="46">
        <v>-85.117099999999994</v>
      </c>
      <c r="X71" s="46">
        <v>-42.261499999999998</v>
      </c>
      <c r="Y71" s="56">
        <v>0</v>
      </c>
      <c r="Z71" s="46">
        <v>2</v>
      </c>
      <c r="AA71" s="46">
        <v>2743.4285</v>
      </c>
      <c r="AB71" s="46">
        <v>1489.8326999999999</v>
      </c>
      <c r="AC71" s="46">
        <v>888.68</v>
      </c>
      <c r="AD71" s="46">
        <v>75.261300000000006</v>
      </c>
      <c r="AE71" s="46">
        <v>47</v>
      </c>
      <c r="AF71" s="46">
        <v>15</v>
      </c>
      <c r="AG71" s="46">
        <v>25</v>
      </c>
      <c r="AH71" s="46">
        <v>62</v>
      </c>
      <c r="AI71" s="46">
        <v>130</v>
      </c>
      <c r="AJ71" s="46">
        <v>89</v>
      </c>
      <c r="AK71" s="46">
        <v>18</v>
      </c>
      <c r="AL71" s="46">
        <v>39</v>
      </c>
      <c r="AM71" s="46">
        <v>6</v>
      </c>
      <c r="AN71" s="46">
        <v>1</v>
      </c>
      <c r="AO71" s="46">
        <v>354.7</v>
      </c>
      <c r="AP71" s="37" t="s">
        <v>159</v>
      </c>
      <c r="AQ71" s="37" t="s">
        <v>159</v>
      </c>
      <c r="AR71" s="37" t="s">
        <v>159</v>
      </c>
      <c r="AS71" s="37" t="s">
        <v>159</v>
      </c>
      <c r="AT71" s="37" t="s">
        <v>159</v>
      </c>
      <c r="AU71" s="37" t="s">
        <v>159</v>
      </c>
      <c r="AV71" s="37" t="s">
        <v>159</v>
      </c>
      <c r="AW71" s="37" t="s">
        <v>159</v>
      </c>
      <c r="AX71" s="37" t="s">
        <v>159</v>
      </c>
      <c r="AY71" s="37" t="s">
        <v>159</v>
      </c>
      <c r="AZ71" s="37" t="s">
        <v>159</v>
      </c>
      <c r="BA71" s="37" t="s">
        <v>159</v>
      </c>
      <c r="BB71" s="37" t="s">
        <v>159</v>
      </c>
      <c r="BC71" s="37" t="s">
        <v>159</v>
      </c>
      <c r="BD71" s="37" t="s">
        <v>159</v>
      </c>
      <c r="BE71" s="37" t="s">
        <v>159</v>
      </c>
      <c r="BF71" s="37" t="s">
        <v>159</v>
      </c>
      <c r="BG71" s="37" t="s">
        <v>159</v>
      </c>
      <c r="BH71" s="37" t="s">
        <v>159</v>
      </c>
      <c r="BI71" s="37" t="s">
        <v>159</v>
      </c>
      <c r="BJ71" s="46">
        <v>354.7</v>
      </c>
      <c r="BK71" s="46">
        <v>1025.4475</v>
      </c>
      <c r="BL71" s="46">
        <v>125.44750000000001</v>
      </c>
      <c r="BM71" s="46">
        <v>125.44750000000001</v>
      </c>
      <c r="BN71" s="46">
        <v>1</v>
      </c>
      <c r="BO71" s="46">
        <v>0</v>
      </c>
      <c r="BP71" s="46">
        <v>0</v>
      </c>
      <c r="BQ71" s="46">
        <v>0</v>
      </c>
      <c r="BR71" s="46">
        <v>0</v>
      </c>
      <c r="BS71" s="46">
        <v>0</v>
      </c>
      <c r="BT71" s="46">
        <v>5</v>
      </c>
      <c r="BU71" s="69" t="s">
        <v>939</v>
      </c>
      <c r="BV71" s="69" t="s">
        <v>942</v>
      </c>
      <c r="BW71" s="69" t="s">
        <v>924</v>
      </c>
      <c r="BX71" s="69">
        <v>10</v>
      </c>
      <c r="BY71" s="69">
        <v>89</v>
      </c>
      <c r="BZ71" s="69">
        <v>37</v>
      </c>
      <c r="CA71" s="69">
        <v>1</v>
      </c>
      <c r="CB71" s="46">
        <v>1</v>
      </c>
      <c r="CC71" s="46">
        <v>3</v>
      </c>
      <c r="CD71" s="50" t="s">
        <v>159</v>
      </c>
      <c r="CE71" s="37"/>
      <c r="CF71" s="38"/>
    </row>
    <row r="72" spans="1:84" x14ac:dyDescent="0.25">
      <c r="A72" s="36">
        <v>69</v>
      </c>
      <c r="B72" s="46" t="s">
        <v>860</v>
      </c>
      <c r="C72" s="46">
        <v>0</v>
      </c>
      <c r="D72" s="46">
        <v>0</v>
      </c>
      <c r="E72" s="46">
        <v>1</v>
      </c>
      <c r="F72" s="46">
        <v>1</v>
      </c>
      <c r="G72" s="46">
        <v>0</v>
      </c>
      <c r="H72" s="46">
        <v>0</v>
      </c>
      <c r="I72" s="46">
        <v>0</v>
      </c>
      <c r="J72" s="46">
        <v>0</v>
      </c>
      <c r="K72" s="46">
        <v>0</v>
      </c>
      <c r="L72" s="46">
        <v>0</v>
      </c>
      <c r="M72" s="46">
        <v>3770</v>
      </c>
      <c r="N72" s="46">
        <v>20757</v>
      </c>
      <c r="O72" s="46">
        <v>61.200299999999999</v>
      </c>
      <c r="P72" s="46">
        <v>217.184</v>
      </c>
      <c r="Q72" s="46">
        <v>1</v>
      </c>
      <c r="R72" s="46">
        <v>109</v>
      </c>
      <c r="S72" s="46">
        <v>2</v>
      </c>
      <c r="T72" s="46">
        <v>750</v>
      </c>
      <c r="U72" s="46">
        <v>41.1</v>
      </c>
      <c r="V72" s="46">
        <v>177.54</v>
      </c>
      <c r="W72" s="46">
        <v>-216.1267</v>
      </c>
      <c r="X72" s="46">
        <v>30.1526</v>
      </c>
      <c r="Y72" s="56">
        <v>4488</v>
      </c>
      <c r="Z72" s="46">
        <v>13</v>
      </c>
      <c r="AA72" s="46">
        <v>2259.8887</v>
      </c>
      <c r="AB72" s="46">
        <v>1324.8946000000001</v>
      </c>
      <c r="AC72" s="46">
        <v>-42.2</v>
      </c>
      <c r="AD72" s="46">
        <v>37.900599999999997</v>
      </c>
      <c r="AE72" s="46">
        <v>35</v>
      </c>
      <c r="AF72" s="46">
        <v>11</v>
      </c>
      <c r="AG72" s="46">
        <v>19</v>
      </c>
      <c r="AH72" s="46">
        <v>81</v>
      </c>
      <c r="AI72" s="46">
        <v>209</v>
      </c>
      <c r="AJ72" s="46">
        <v>69</v>
      </c>
      <c r="AK72" s="46">
        <v>16</v>
      </c>
      <c r="AL72" s="46">
        <v>45</v>
      </c>
      <c r="AM72" s="46">
        <v>3</v>
      </c>
      <c r="AN72" s="46">
        <v>1</v>
      </c>
      <c r="AO72" s="46">
        <v>360</v>
      </c>
      <c r="AP72" s="37" t="s">
        <v>159</v>
      </c>
      <c r="AQ72" s="37" t="s">
        <v>159</v>
      </c>
      <c r="AR72" s="37" t="s">
        <v>159</v>
      </c>
      <c r="AS72" s="37" t="s">
        <v>159</v>
      </c>
      <c r="AT72" s="37" t="s">
        <v>159</v>
      </c>
      <c r="AU72" s="37" t="s">
        <v>159</v>
      </c>
      <c r="AV72" s="37" t="s">
        <v>159</v>
      </c>
      <c r="AW72" s="37" t="s">
        <v>159</v>
      </c>
      <c r="AX72" s="37" t="s">
        <v>159</v>
      </c>
      <c r="AY72" s="37" t="s">
        <v>159</v>
      </c>
      <c r="AZ72" s="37" t="s">
        <v>159</v>
      </c>
      <c r="BA72" s="37" t="s">
        <v>159</v>
      </c>
      <c r="BB72" s="37" t="s">
        <v>159</v>
      </c>
      <c r="BC72" s="37" t="s">
        <v>159</v>
      </c>
      <c r="BD72" s="37" t="s">
        <v>159</v>
      </c>
      <c r="BE72" s="37" t="s">
        <v>159</v>
      </c>
      <c r="BF72" s="37" t="s">
        <v>159</v>
      </c>
      <c r="BG72" s="37" t="s">
        <v>159</v>
      </c>
      <c r="BH72" s="37" t="s">
        <v>159</v>
      </c>
      <c r="BI72" s="37" t="s">
        <v>159</v>
      </c>
      <c r="BJ72" s="46">
        <v>1721.37790909091</v>
      </c>
      <c r="BK72" s="46">
        <v>1717.327</v>
      </c>
      <c r="BL72" s="46">
        <v>821.37790909090904</v>
      </c>
      <c r="BM72" s="46">
        <v>821.37790909090904</v>
      </c>
      <c r="BN72" s="46">
        <v>1</v>
      </c>
      <c r="BO72" s="46">
        <v>0</v>
      </c>
      <c r="BP72" s="46">
        <v>0</v>
      </c>
      <c r="BQ72" s="46">
        <v>0</v>
      </c>
      <c r="BR72" s="46">
        <v>0</v>
      </c>
      <c r="BS72" s="46">
        <v>0</v>
      </c>
      <c r="BT72" s="46">
        <v>2</v>
      </c>
      <c r="BU72" s="69" t="s">
        <v>939</v>
      </c>
      <c r="BV72" s="69" t="s">
        <v>942</v>
      </c>
      <c r="BW72" s="69" t="s">
        <v>924</v>
      </c>
      <c r="BX72" s="69">
        <v>16</v>
      </c>
      <c r="BY72" s="69">
        <v>69</v>
      </c>
      <c r="BZ72" s="69">
        <v>62</v>
      </c>
      <c r="CA72" s="69">
        <v>1</v>
      </c>
      <c r="CB72" s="46">
        <v>1</v>
      </c>
      <c r="CC72" s="46">
        <v>3</v>
      </c>
      <c r="CD72" s="50" t="s">
        <v>159</v>
      </c>
      <c r="CE72" s="37"/>
      <c r="CF72" s="38"/>
    </row>
    <row r="73" spans="1:84" x14ac:dyDescent="0.25">
      <c r="A73" s="36">
        <v>70</v>
      </c>
      <c r="B73" s="46" t="s">
        <v>861</v>
      </c>
      <c r="C73" s="46">
        <v>2</v>
      </c>
      <c r="D73" s="46">
        <v>1</v>
      </c>
      <c r="E73" s="46">
        <v>1</v>
      </c>
      <c r="F73" s="46">
        <v>1</v>
      </c>
      <c r="G73" s="46">
        <v>0</v>
      </c>
      <c r="H73" s="46">
        <v>0</v>
      </c>
      <c r="I73" s="46">
        <v>0</v>
      </c>
      <c r="J73" s="46">
        <v>0</v>
      </c>
      <c r="K73" s="46">
        <v>0</v>
      </c>
      <c r="L73" s="46">
        <v>0</v>
      </c>
      <c r="M73" s="46">
        <v>16126</v>
      </c>
      <c r="N73" s="46">
        <v>9765</v>
      </c>
      <c r="O73" s="46">
        <v>178.62620000000001</v>
      </c>
      <c r="P73" s="46">
        <v>24.743300000000001</v>
      </c>
      <c r="Q73" s="46">
        <v>1</v>
      </c>
      <c r="R73" s="46">
        <v>113</v>
      </c>
      <c r="S73" s="46">
        <v>22</v>
      </c>
      <c r="T73" s="46">
        <v>780</v>
      </c>
      <c r="U73" s="46">
        <v>77.8</v>
      </c>
      <c r="V73" s="46">
        <v>192.58</v>
      </c>
      <c r="W73" s="46">
        <v>-88.587999999999994</v>
      </c>
      <c r="X73" s="46">
        <v>-239.58930000000001</v>
      </c>
      <c r="Y73" s="56">
        <v>2849</v>
      </c>
      <c r="Z73" s="46">
        <v>15</v>
      </c>
      <c r="AA73" s="46">
        <v>3179.2815000000001</v>
      </c>
      <c r="AB73" s="46">
        <v>450.00110000000001</v>
      </c>
      <c r="AC73" s="46">
        <v>-25.5</v>
      </c>
      <c r="AD73" s="46">
        <v>74.244</v>
      </c>
      <c r="AE73" s="46">
        <v>72</v>
      </c>
      <c r="AF73" s="46">
        <v>17</v>
      </c>
      <c r="AG73" s="46">
        <v>2</v>
      </c>
      <c r="AH73" s="46">
        <v>67</v>
      </c>
      <c r="AI73" s="46">
        <v>1</v>
      </c>
      <c r="AJ73" s="46">
        <v>139</v>
      </c>
      <c r="AK73" s="46">
        <v>14</v>
      </c>
      <c r="AL73" s="46">
        <v>41</v>
      </c>
      <c r="AM73" s="46">
        <v>0</v>
      </c>
      <c r="AN73" s="46">
        <v>0</v>
      </c>
      <c r="AO73" s="46">
        <v>365.3</v>
      </c>
      <c r="AP73" s="37" t="s">
        <v>159</v>
      </c>
      <c r="AQ73" s="37" t="s">
        <v>159</v>
      </c>
      <c r="AR73" s="37" t="s">
        <v>159</v>
      </c>
      <c r="AS73" s="37" t="s">
        <v>159</v>
      </c>
      <c r="AT73" s="37" t="s">
        <v>159</v>
      </c>
      <c r="AU73" s="37" t="s">
        <v>159</v>
      </c>
      <c r="AV73" s="37" t="s">
        <v>159</v>
      </c>
      <c r="AW73" s="37" t="s">
        <v>159</v>
      </c>
      <c r="AX73" s="37" t="s">
        <v>159</v>
      </c>
      <c r="AY73" s="37" t="s">
        <v>159</v>
      </c>
      <c r="AZ73" s="37" t="s">
        <v>159</v>
      </c>
      <c r="BA73" s="37" t="s">
        <v>159</v>
      </c>
      <c r="BB73" s="37" t="s">
        <v>159</v>
      </c>
      <c r="BC73" s="37" t="s">
        <v>159</v>
      </c>
      <c r="BD73" s="37" t="s">
        <v>159</v>
      </c>
      <c r="BE73" s="37" t="s">
        <v>159</v>
      </c>
      <c r="BF73" s="37" t="s">
        <v>159</v>
      </c>
      <c r="BG73" s="37" t="s">
        <v>159</v>
      </c>
      <c r="BH73" s="37" t="s">
        <v>159</v>
      </c>
      <c r="BI73" s="37" t="s">
        <v>159</v>
      </c>
      <c r="BJ73" s="46">
        <v>283.78754545454501</v>
      </c>
      <c r="BK73" s="46">
        <v>267.21420000000001</v>
      </c>
      <c r="BL73" s="46">
        <v>-616.21245454545499</v>
      </c>
      <c r="BM73" s="46">
        <v>-616.21245454545499</v>
      </c>
      <c r="BN73" s="46">
        <v>0</v>
      </c>
      <c r="BO73" s="46">
        <v>0</v>
      </c>
      <c r="BP73" s="46">
        <v>0</v>
      </c>
      <c r="BQ73" s="46">
        <v>0</v>
      </c>
      <c r="BR73" s="46">
        <v>0</v>
      </c>
      <c r="BS73" s="46">
        <v>0</v>
      </c>
      <c r="BT73" s="46">
        <v>0</v>
      </c>
      <c r="BU73" s="69" t="s">
        <v>930</v>
      </c>
      <c r="BV73" s="69" t="s">
        <v>925</v>
      </c>
      <c r="BW73" s="69" t="s">
        <v>925</v>
      </c>
      <c r="BX73" s="69">
        <v>3</v>
      </c>
      <c r="BY73" s="69">
        <v>65</v>
      </c>
      <c r="BZ73" s="69">
        <v>65</v>
      </c>
      <c r="CA73" s="69">
        <v>0</v>
      </c>
      <c r="CB73" s="46">
        <v>1</v>
      </c>
      <c r="CC73" s="46">
        <v>2</v>
      </c>
      <c r="CD73" s="50" t="s">
        <v>159</v>
      </c>
      <c r="CE73" s="37"/>
      <c r="CF73" s="38"/>
    </row>
    <row r="74" spans="1:84" x14ac:dyDescent="0.25">
      <c r="A74" s="36">
        <v>71</v>
      </c>
      <c r="B74" s="46" t="s">
        <v>862</v>
      </c>
      <c r="C74" s="46">
        <v>1</v>
      </c>
      <c r="D74" s="46">
        <v>1</v>
      </c>
      <c r="E74" s="46">
        <v>1</v>
      </c>
      <c r="F74" s="46">
        <v>1</v>
      </c>
      <c r="G74" s="46">
        <v>0</v>
      </c>
      <c r="H74" s="46">
        <v>0</v>
      </c>
      <c r="I74" s="46">
        <v>1</v>
      </c>
      <c r="J74" s="46">
        <v>0</v>
      </c>
      <c r="K74" s="46">
        <v>0</v>
      </c>
      <c r="L74" s="46">
        <v>0</v>
      </c>
      <c r="M74" s="46">
        <v>12990</v>
      </c>
      <c r="N74" s="46">
        <v>21154</v>
      </c>
      <c r="O74" s="46">
        <v>161.67930000000001</v>
      </c>
      <c r="P74" s="46">
        <v>357.99810000000002</v>
      </c>
      <c r="Q74" s="46">
        <v>0</v>
      </c>
      <c r="R74" s="46">
        <v>117</v>
      </c>
      <c r="S74" s="46">
        <v>21</v>
      </c>
      <c r="T74" s="46">
        <v>810</v>
      </c>
      <c r="U74" s="46">
        <v>114.5</v>
      </c>
      <c r="V74" s="46">
        <v>207.62</v>
      </c>
      <c r="W74" s="46">
        <v>280.20409999999998</v>
      </c>
      <c r="X74" s="46">
        <v>321.5727</v>
      </c>
      <c r="Y74" s="46">
        <v>4174</v>
      </c>
      <c r="Z74" s="56">
        <v>0</v>
      </c>
      <c r="AA74" s="46">
        <v>1789.7204999999999</v>
      </c>
      <c r="AB74" s="46">
        <v>1123.9927</v>
      </c>
      <c r="AC74" s="46">
        <v>-8.8000000000000007</v>
      </c>
      <c r="AD74" s="46">
        <v>36.179499999999997</v>
      </c>
      <c r="AE74" s="46">
        <v>52</v>
      </c>
      <c r="AF74" s="46">
        <v>38</v>
      </c>
      <c r="AG74" s="46">
        <v>2</v>
      </c>
      <c r="AH74" s="46">
        <v>29</v>
      </c>
      <c r="AI74" s="46">
        <v>15</v>
      </c>
      <c r="AJ74" s="46">
        <v>252</v>
      </c>
      <c r="AK74" s="46">
        <v>12</v>
      </c>
      <c r="AL74" s="46">
        <v>37</v>
      </c>
      <c r="AM74" s="46">
        <v>5</v>
      </c>
      <c r="AN74" s="46">
        <v>0</v>
      </c>
      <c r="AO74" s="46">
        <v>370.6</v>
      </c>
      <c r="AP74" s="37" t="s">
        <v>159</v>
      </c>
      <c r="AQ74" s="37" t="s">
        <v>159</v>
      </c>
      <c r="AR74" s="37" t="s">
        <v>159</v>
      </c>
      <c r="AS74" s="37" t="s">
        <v>159</v>
      </c>
      <c r="AT74" s="37" t="s">
        <v>159</v>
      </c>
      <c r="AU74" s="37" t="s">
        <v>159</v>
      </c>
      <c r="AV74" s="37" t="s">
        <v>159</v>
      </c>
      <c r="AW74" s="37" t="s">
        <v>159</v>
      </c>
      <c r="AX74" s="37" t="s">
        <v>159</v>
      </c>
      <c r="AY74" s="37" t="s">
        <v>159</v>
      </c>
      <c r="AZ74" s="37" t="s">
        <v>159</v>
      </c>
      <c r="BA74" s="37" t="s">
        <v>159</v>
      </c>
      <c r="BB74" s="37" t="s">
        <v>159</v>
      </c>
      <c r="BC74" s="37" t="s">
        <v>159</v>
      </c>
      <c r="BD74" s="37" t="s">
        <v>159</v>
      </c>
      <c r="BE74" s="37" t="s">
        <v>159</v>
      </c>
      <c r="BF74" s="37" t="s">
        <v>159</v>
      </c>
      <c r="BG74" s="37" t="s">
        <v>159</v>
      </c>
      <c r="BH74" s="37" t="s">
        <v>159</v>
      </c>
      <c r="BI74" s="37" t="s">
        <v>159</v>
      </c>
      <c r="BJ74" s="46">
        <v>1325.6479090909099</v>
      </c>
      <c r="BK74" s="46">
        <v>1321.4752000000001</v>
      </c>
      <c r="BL74" s="46">
        <v>425.64790909090902</v>
      </c>
      <c r="BM74" s="46">
        <v>425.64790909090902</v>
      </c>
      <c r="BN74" s="46">
        <v>0</v>
      </c>
      <c r="BO74" s="46">
        <v>0</v>
      </c>
      <c r="BP74" s="46">
        <v>0</v>
      </c>
      <c r="BQ74" s="46">
        <v>0</v>
      </c>
      <c r="BR74" s="46">
        <v>0</v>
      </c>
      <c r="BS74" s="46">
        <v>0</v>
      </c>
      <c r="BT74" s="46">
        <v>4</v>
      </c>
      <c r="BU74" s="69" t="s">
        <v>930</v>
      </c>
      <c r="BV74" s="69" t="s">
        <v>925</v>
      </c>
      <c r="BW74" s="69" t="s">
        <v>925</v>
      </c>
      <c r="BX74" s="69">
        <v>13</v>
      </c>
      <c r="BY74" s="69">
        <v>27</v>
      </c>
      <c r="BZ74" s="69">
        <v>27</v>
      </c>
      <c r="CA74" s="69">
        <v>1</v>
      </c>
      <c r="CB74" s="46">
        <v>1</v>
      </c>
      <c r="CC74" s="46">
        <v>2</v>
      </c>
      <c r="CD74" s="50" t="s">
        <v>159</v>
      </c>
      <c r="CE74" s="37"/>
      <c r="CF74" s="38"/>
    </row>
    <row r="75" spans="1:84" x14ac:dyDescent="0.25">
      <c r="A75" s="36">
        <v>72</v>
      </c>
      <c r="B75" s="46" t="s">
        <v>863</v>
      </c>
      <c r="C75" s="46">
        <v>0</v>
      </c>
      <c r="D75" s="46">
        <v>1</v>
      </c>
      <c r="E75" s="46">
        <v>1</v>
      </c>
      <c r="F75" s="46">
        <v>1</v>
      </c>
      <c r="G75" s="46">
        <v>0</v>
      </c>
      <c r="H75" s="46">
        <v>0</v>
      </c>
      <c r="I75" s="46">
        <v>1</v>
      </c>
      <c r="J75" s="46">
        <v>0</v>
      </c>
      <c r="K75" s="46">
        <v>0</v>
      </c>
      <c r="L75" s="46">
        <v>0</v>
      </c>
      <c r="M75" s="46">
        <v>63964</v>
      </c>
      <c r="N75" s="46">
        <v>31270</v>
      </c>
      <c r="O75" s="46">
        <v>357.21510000000001</v>
      </c>
      <c r="P75" s="46">
        <v>338.62299999999999</v>
      </c>
      <c r="Q75" s="46">
        <v>4</v>
      </c>
      <c r="R75" s="46">
        <v>121</v>
      </c>
      <c r="S75" s="46">
        <v>7</v>
      </c>
      <c r="T75" s="46">
        <v>840</v>
      </c>
      <c r="U75" s="46">
        <v>151.19999999999999</v>
      </c>
      <c r="V75" s="46">
        <v>222.66</v>
      </c>
      <c r="W75" s="46">
        <v>-61.209699999999998</v>
      </c>
      <c r="X75" s="46">
        <v>-122.03449999999999</v>
      </c>
      <c r="Y75" s="46">
        <v>1506</v>
      </c>
      <c r="Z75" s="56">
        <v>22</v>
      </c>
      <c r="AA75" s="46">
        <v>2527.7386999999999</v>
      </c>
      <c r="AB75" s="46">
        <v>1020.5226</v>
      </c>
      <c r="AC75" s="46">
        <v>7.9</v>
      </c>
      <c r="AD75" s="46">
        <v>6.2262000000000004</v>
      </c>
      <c r="AE75" s="46">
        <v>57</v>
      </c>
      <c r="AF75" s="46">
        <v>50</v>
      </c>
      <c r="AG75" s="46">
        <v>12</v>
      </c>
      <c r="AH75" s="46">
        <v>54</v>
      </c>
      <c r="AI75" s="46">
        <v>58</v>
      </c>
      <c r="AJ75" s="46">
        <v>99</v>
      </c>
      <c r="AK75" s="46">
        <v>10</v>
      </c>
      <c r="AL75" s="46">
        <v>33</v>
      </c>
      <c r="AM75" s="46">
        <v>1</v>
      </c>
      <c r="AN75" s="46">
        <v>0</v>
      </c>
      <c r="AO75" s="46">
        <v>375.9</v>
      </c>
      <c r="AP75" s="37" t="s">
        <v>159</v>
      </c>
      <c r="AQ75" s="37" t="s">
        <v>159</v>
      </c>
      <c r="AR75" s="37" t="s">
        <v>159</v>
      </c>
      <c r="AS75" s="37" t="s">
        <v>159</v>
      </c>
      <c r="AT75" s="37" t="s">
        <v>159</v>
      </c>
      <c r="AU75" s="37" t="s">
        <v>159</v>
      </c>
      <c r="AV75" s="37" t="s">
        <v>159</v>
      </c>
      <c r="AW75" s="37" t="s">
        <v>159</v>
      </c>
      <c r="AX75" s="37" t="s">
        <v>159</v>
      </c>
      <c r="AY75" s="37" t="s">
        <v>159</v>
      </c>
      <c r="AZ75" s="37" t="s">
        <v>159</v>
      </c>
      <c r="BA75" s="37" t="s">
        <v>159</v>
      </c>
      <c r="BB75" s="37" t="s">
        <v>159</v>
      </c>
      <c r="BC75" s="37" t="s">
        <v>159</v>
      </c>
      <c r="BD75" s="37" t="s">
        <v>159</v>
      </c>
      <c r="BE75" s="37" t="s">
        <v>159</v>
      </c>
      <c r="BF75" s="37" t="s">
        <v>159</v>
      </c>
      <c r="BG75" s="37" t="s">
        <v>159</v>
      </c>
      <c r="BH75" s="37" t="s">
        <v>159</v>
      </c>
      <c r="BI75" s="37" t="s">
        <v>159</v>
      </c>
      <c r="BJ75" s="46">
        <v>45.753409090909102</v>
      </c>
      <c r="BK75" s="46">
        <v>58.424799999999998</v>
      </c>
      <c r="BL75" s="46">
        <v>-854.24659090909097</v>
      </c>
      <c r="BM75" s="46">
        <v>-854.24659090909097</v>
      </c>
      <c r="BN75" s="46">
        <v>0</v>
      </c>
      <c r="BO75" s="46">
        <v>0</v>
      </c>
      <c r="BP75" s="46">
        <v>0</v>
      </c>
      <c r="BQ75" s="46">
        <v>0</v>
      </c>
      <c r="BR75" s="46">
        <v>0</v>
      </c>
      <c r="BS75" s="46">
        <v>0</v>
      </c>
      <c r="BT75" s="46">
        <v>0</v>
      </c>
      <c r="BU75" s="69" t="s">
        <v>930</v>
      </c>
      <c r="BV75" s="69" t="s">
        <v>925</v>
      </c>
      <c r="BW75" s="69" t="s">
        <v>925</v>
      </c>
      <c r="BX75" s="69">
        <v>2</v>
      </c>
      <c r="BY75" s="69">
        <v>67</v>
      </c>
      <c r="BZ75" s="69">
        <v>42</v>
      </c>
      <c r="CA75" s="69">
        <v>1</v>
      </c>
      <c r="CB75" s="46">
        <v>1</v>
      </c>
      <c r="CC75" s="46">
        <v>2</v>
      </c>
      <c r="CD75" s="50" t="s">
        <v>159</v>
      </c>
      <c r="CE75" s="37"/>
      <c r="CF75" s="38"/>
    </row>
    <row r="76" spans="1:84" x14ac:dyDescent="0.25">
      <c r="A76" s="36">
        <v>73</v>
      </c>
      <c r="B76" s="46" t="s">
        <v>864</v>
      </c>
      <c r="C76" s="46">
        <v>2</v>
      </c>
      <c r="D76" s="46">
        <v>0</v>
      </c>
      <c r="E76" s="46">
        <v>0</v>
      </c>
      <c r="F76" s="46">
        <v>1</v>
      </c>
      <c r="G76" s="46">
        <v>0</v>
      </c>
      <c r="H76" s="46">
        <v>0</v>
      </c>
      <c r="I76" s="46">
        <v>1</v>
      </c>
      <c r="J76" s="46">
        <v>1</v>
      </c>
      <c r="K76" s="46">
        <v>0</v>
      </c>
      <c r="L76" s="46">
        <v>0</v>
      </c>
      <c r="M76" s="46">
        <v>11630</v>
      </c>
      <c r="N76" s="46">
        <v>60584</v>
      </c>
      <c r="O76" s="46">
        <v>216.45939999999999</v>
      </c>
      <c r="P76" s="46">
        <v>321.01850000000002</v>
      </c>
      <c r="Q76" s="46">
        <v>1</v>
      </c>
      <c r="R76" s="46">
        <v>125</v>
      </c>
      <c r="S76" s="46">
        <v>14</v>
      </c>
      <c r="T76" s="46">
        <v>870</v>
      </c>
      <c r="U76" s="46">
        <v>187.9</v>
      </c>
      <c r="V76" s="46">
        <v>237.7</v>
      </c>
      <c r="W76" s="46">
        <v>-295.4178</v>
      </c>
      <c r="X76" s="46">
        <v>328.08819999999997</v>
      </c>
      <c r="Y76" s="46">
        <v>4187</v>
      </c>
      <c r="Z76" s="56">
        <v>19</v>
      </c>
      <c r="AA76" s="46">
        <v>1378.1155000000001</v>
      </c>
      <c r="AB76" s="46">
        <v>572.10659999999996</v>
      </c>
      <c r="AC76" s="46">
        <v>24.6</v>
      </c>
      <c r="AD76" s="46">
        <v>22.276199999999999</v>
      </c>
      <c r="AE76" s="46">
        <v>46</v>
      </c>
      <c r="AF76" s="46">
        <v>41</v>
      </c>
      <c r="AG76" s="46">
        <v>20</v>
      </c>
      <c r="AH76" s="46">
        <v>35</v>
      </c>
      <c r="AI76" s="46">
        <v>40</v>
      </c>
      <c r="AJ76" s="46">
        <v>231</v>
      </c>
      <c r="AK76" s="46">
        <v>8</v>
      </c>
      <c r="AL76" s="46">
        <v>29</v>
      </c>
      <c r="AM76" s="46">
        <v>3</v>
      </c>
      <c r="AN76" s="46">
        <v>1</v>
      </c>
      <c r="AO76" s="46">
        <v>381.2</v>
      </c>
      <c r="AP76" s="37" t="s">
        <v>159</v>
      </c>
      <c r="AQ76" s="37" t="s">
        <v>159</v>
      </c>
      <c r="AR76" s="37" t="s">
        <v>159</v>
      </c>
      <c r="AS76" s="37" t="s">
        <v>159</v>
      </c>
      <c r="AT76" s="37" t="s">
        <v>159</v>
      </c>
      <c r="AU76" s="37" t="s">
        <v>159</v>
      </c>
      <c r="AV76" s="37" t="s">
        <v>159</v>
      </c>
      <c r="AW76" s="37" t="s">
        <v>159</v>
      </c>
      <c r="AX76" s="37" t="s">
        <v>159</v>
      </c>
      <c r="AY76" s="37" t="s">
        <v>159</v>
      </c>
      <c r="AZ76" s="37" t="s">
        <v>159</v>
      </c>
      <c r="BA76" s="37" t="s">
        <v>159</v>
      </c>
      <c r="BB76" s="37" t="s">
        <v>159</v>
      </c>
      <c r="BC76" s="37" t="s">
        <v>159</v>
      </c>
      <c r="BD76" s="37" t="s">
        <v>159</v>
      </c>
      <c r="BE76" s="37" t="s">
        <v>159</v>
      </c>
      <c r="BF76" s="37" t="s">
        <v>159</v>
      </c>
      <c r="BG76" s="37" t="s">
        <v>159</v>
      </c>
      <c r="BH76" s="37" t="s">
        <v>159</v>
      </c>
      <c r="BI76" s="37" t="s">
        <v>159</v>
      </c>
      <c r="BJ76" s="46">
        <v>381.2</v>
      </c>
      <c r="BK76" s="46">
        <v>151.87719999999999</v>
      </c>
      <c r="BL76" s="46">
        <v>-748.12279999999998</v>
      </c>
      <c r="BM76" s="46">
        <v>-748.12279999999998</v>
      </c>
      <c r="BN76" s="46">
        <v>1</v>
      </c>
      <c r="BO76" s="46">
        <v>0</v>
      </c>
      <c r="BP76" s="46">
        <v>0</v>
      </c>
      <c r="BQ76" s="46">
        <v>0</v>
      </c>
      <c r="BR76" s="46">
        <v>0</v>
      </c>
      <c r="BS76" s="46">
        <v>0</v>
      </c>
      <c r="BT76" s="46">
        <v>2</v>
      </c>
      <c r="BU76" s="69" t="s">
        <v>939</v>
      </c>
      <c r="BV76" s="69" t="s">
        <v>941</v>
      </c>
      <c r="BW76" s="69" t="s">
        <v>924</v>
      </c>
      <c r="BX76" s="69">
        <v>2</v>
      </c>
      <c r="BY76" s="69">
        <v>26</v>
      </c>
      <c r="BZ76" s="69">
        <v>15</v>
      </c>
      <c r="CA76" s="69">
        <v>1</v>
      </c>
      <c r="CB76" s="46">
        <v>1</v>
      </c>
      <c r="CC76" s="46">
        <v>3</v>
      </c>
      <c r="CD76" s="50" t="s">
        <v>159</v>
      </c>
      <c r="CE76" s="37"/>
      <c r="CF76" s="38"/>
    </row>
    <row r="77" spans="1:84" x14ac:dyDescent="0.25">
      <c r="A77" s="36">
        <v>74</v>
      </c>
      <c r="B77" s="46" t="s">
        <v>865</v>
      </c>
      <c r="C77" s="46">
        <v>1</v>
      </c>
      <c r="D77" s="46">
        <v>1</v>
      </c>
      <c r="E77" s="46">
        <v>0</v>
      </c>
      <c r="F77" s="46">
        <v>1</v>
      </c>
      <c r="G77" s="46">
        <v>0</v>
      </c>
      <c r="H77" s="46">
        <v>0</v>
      </c>
      <c r="I77" s="46">
        <v>0</v>
      </c>
      <c r="J77" s="46">
        <v>1</v>
      </c>
      <c r="K77" s="46">
        <v>0</v>
      </c>
      <c r="L77" s="46">
        <v>1</v>
      </c>
      <c r="M77" s="46">
        <v>42994</v>
      </c>
      <c r="N77" s="46">
        <v>2558</v>
      </c>
      <c r="O77" s="46">
        <v>271.35879999999997</v>
      </c>
      <c r="P77" s="46">
        <v>307.70870000000002</v>
      </c>
      <c r="Q77" s="46">
        <v>2</v>
      </c>
      <c r="R77" s="46">
        <v>129</v>
      </c>
      <c r="S77" s="46">
        <v>24</v>
      </c>
      <c r="T77" s="46">
        <v>900</v>
      </c>
      <c r="U77" s="46">
        <v>224.6</v>
      </c>
      <c r="V77" s="46">
        <v>252.74</v>
      </c>
      <c r="W77" s="46">
        <v>352.24239999999998</v>
      </c>
      <c r="X77" s="46">
        <v>313.00479999999999</v>
      </c>
      <c r="Y77" s="46">
        <v>1734</v>
      </c>
      <c r="Z77" s="46">
        <v>9</v>
      </c>
      <c r="AA77" s="56">
        <v>0</v>
      </c>
      <c r="AB77" s="46">
        <v>1110.7706000000001</v>
      </c>
      <c r="AC77" s="46">
        <v>41.3</v>
      </c>
      <c r="AD77" s="46">
        <v>14.3057</v>
      </c>
      <c r="AE77" s="46">
        <v>38</v>
      </c>
      <c r="AF77" s="46">
        <v>49</v>
      </c>
      <c r="AG77" s="46">
        <v>16</v>
      </c>
      <c r="AH77" s="46">
        <v>40</v>
      </c>
      <c r="AI77" s="46">
        <v>189</v>
      </c>
      <c r="AJ77" s="46">
        <v>126</v>
      </c>
      <c r="AK77" s="46">
        <v>6</v>
      </c>
      <c r="AL77" s="46">
        <v>25</v>
      </c>
      <c r="AM77" s="46">
        <v>4</v>
      </c>
      <c r="AN77" s="46">
        <v>0</v>
      </c>
      <c r="AO77" s="46">
        <v>386.5</v>
      </c>
      <c r="AP77" s="37" t="s">
        <v>159</v>
      </c>
      <c r="AQ77" s="37" t="s">
        <v>159</v>
      </c>
      <c r="AR77" s="37" t="s">
        <v>159</v>
      </c>
      <c r="AS77" s="37" t="s">
        <v>159</v>
      </c>
      <c r="AT77" s="37" t="s">
        <v>159</v>
      </c>
      <c r="AU77" s="37" t="s">
        <v>159</v>
      </c>
      <c r="AV77" s="37" t="s">
        <v>159</v>
      </c>
      <c r="AW77" s="37" t="s">
        <v>159</v>
      </c>
      <c r="AX77" s="37" t="s">
        <v>159</v>
      </c>
      <c r="AY77" s="37" t="s">
        <v>159</v>
      </c>
      <c r="AZ77" s="37" t="s">
        <v>159</v>
      </c>
      <c r="BA77" s="37" t="s">
        <v>159</v>
      </c>
      <c r="BB77" s="37" t="s">
        <v>159</v>
      </c>
      <c r="BC77" s="37" t="s">
        <v>159</v>
      </c>
      <c r="BD77" s="37" t="s">
        <v>159</v>
      </c>
      <c r="BE77" s="37" t="s">
        <v>159</v>
      </c>
      <c r="BF77" s="37" t="s">
        <v>159</v>
      </c>
      <c r="BG77" s="37" t="s">
        <v>159</v>
      </c>
      <c r="BH77" s="37" t="s">
        <v>159</v>
      </c>
      <c r="BI77" s="37" t="s">
        <v>159</v>
      </c>
      <c r="BJ77" s="46">
        <v>386.5</v>
      </c>
      <c r="BK77" s="46">
        <v>639.1164</v>
      </c>
      <c r="BL77" s="46">
        <v>-260.8836</v>
      </c>
      <c r="BM77" s="46">
        <v>-260.8836</v>
      </c>
      <c r="BN77" s="46">
        <v>0</v>
      </c>
      <c r="BO77" s="46">
        <v>0</v>
      </c>
      <c r="BP77" s="46">
        <v>0</v>
      </c>
      <c r="BQ77" s="46">
        <v>0</v>
      </c>
      <c r="BR77" s="46">
        <v>0</v>
      </c>
      <c r="BS77" s="46">
        <v>0</v>
      </c>
      <c r="BT77" s="46">
        <v>3</v>
      </c>
      <c r="BU77" s="69" t="s">
        <v>939</v>
      </c>
      <c r="BV77" s="69" t="s">
        <v>940</v>
      </c>
      <c r="BW77" s="69" t="s">
        <v>924</v>
      </c>
      <c r="BX77" s="69">
        <v>6</v>
      </c>
      <c r="BY77" s="69">
        <v>126</v>
      </c>
      <c r="BZ77" s="69">
        <v>24</v>
      </c>
      <c r="CA77" s="69">
        <v>1</v>
      </c>
      <c r="CB77" s="46">
        <v>1</v>
      </c>
      <c r="CC77" s="46">
        <v>3</v>
      </c>
      <c r="CD77" s="50" t="s">
        <v>159</v>
      </c>
      <c r="CE77" s="37"/>
      <c r="CF77" s="38"/>
    </row>
    <row r="78" spans="1:84" x14ac:dyDescent="0.25">
      <c r="A78" s="36">
        <v>75</v>
      </c>
      <c r="B78" s="46" t="s">
        <v>866</v>
      </c>
      <c r="C78" s="46">
        <v>1</v>
      </c>
      <c r="D78" s="46">
        <v>1</v>
      </c>
      <c r="E78" s="46">
        <v>1</v>
      </c>
      <c r="F78" s="46">
        <v>1</v>
      </c>
      <c r="G78" s="46">
        <v>0</v>
      </c>
      <c r="H78" s="46">
        <v>0</v>
      </c>
      <c r="I78" s="46">
        <v>0</v>
      </c>
      <c r="J78" s="46">
        <v>1</v>
      </c>
      <c r="K78" s="46">
        <v>0</v>
      </c>
      <c r="L78" s="46">
        <v>0</v>
      </c>
      <c r="M78" s="46">
        <v>59570</v>
      </c>
      <c r="N78" s="46">
        <v>50024</v>
      </c>
      <c r="O78" s="46">
        <v>103.2013</v>
      </c>
      <c r="P78" s="46">
        <v>342.94499999999999</v>
      </c>
      <c r="Q78" s="46">
        <v>1</v>
      </c>
      <c r="R78" s="46">
        <v>133</v>
      </c>
      <c r="S78" s="46">
        <v>26</v>
      </c>
      <c r="T78" s="46">
        <v>930</v>
      </c>
      <c r="U78" s="46">
        <v>261.3</v>
      </c>
      <c r="V78" s="46">
        <v>267.77999999999997</v>
      </c>
      <c r="W78" s="46">
        <v>-28.9087</v>
      </c>
      <c r="X78" s="46">
        <v>272.83859999999999</v>
      </c>
      <c r="Y78" s="46">
        <v>1023</v>
      </c>
      <c r="Z78" s="46">
        <v>1</v>
      </c>
      <c r="AA78" s="56">
        <v>3600</v>
      </c>
      <c r="AB78" s="46">
        <v>957.71759999999995</v>
      </c>
      <c r="AC78" s="46">
        <v>58</v>
      </c>
      <c r="AD78" s="46">
        <v>61.429000000000002</v>
      </c>
      <c r="AE78" s="46">
        <v>73</v>
      </c>
      <c r="AF78" s="46">
        <v>0</v>
      </c>
      <c r="AG78" s="46">
        <v>20</v>
      </c>
      <c r="AH78" s="46">
        <v>25</v>
      </c>
      <c r="AI78" s="46">
        <v>213</v>
      </c>
      <c r="AJ78" s="46">
        <v>164</v>
      </c>
      <c r="AK78" s="46">
        <v>4</v>
      </c>
      <c r="AL78" s="46">
        <v>21</v>
      </c>
      <c r="AM78" s="46">
        <v>6</v>
      </c>
      <c r="AN78" s="46">
        <v>0</v>
      </c>
      <c r="AO78" s="46">
        <v>391.8</v>
      </c>
      <c r="AP78" s="37" t="s">
        <v>159</v>
      </c>
      <c r="AQ78" s="37" t="s">
        <v>159</v>
      </c>
      <c r="AR78" s="37" t="s">
        <v>159</v>
      </c>
      <c r="AS78" s="37" t="s">
        <v>159</v>
      </c>
      <c r="AT78" s="37" t="s">
        <v>159</v>
      </c>
      <c r="AU78" s="37" t="s">
        <v>159</v>
      </c>
      <c r="AV78" s="37" t="s">
        <v>159</v>
      </c>
      <c r="AW78" s="37" t="s">
        <v>159</v>
      </c>
      <c r="AX78" s="37" t="s">
        <v>159</v>
      </c>
      <c r="AY78" s="37" t="s">
        <v>159</v>
      </c>
      <c r="AZ78" s="37" t="s">
        <v>159</v>
      </c>
      <c r="BA78" s="37" t="s">
        <v>159</v>
      </c>
      <c r="BB78" s="37" t="s">
        <v>159</v>
      </c>
      <c r="BC78" s="37" t="s">
        <v>159</v>
      </c>
      <c r="BD78" s="37" t="s">
        <v>159</v>
      </c>
      <c r="BE78" s="37" t="s">
        <v>159</v>
      </c>
      <c r="BF78" s="37" t="s">
        <v>159</v>
      </c>
      <c r="BG78" s="37" t="s">
        <v>159</v>
      </c>
      <c r="BH78" s="37" t="s">
        <v>159</v>
      </c>
      <c r="BI78" s="37" t="s">
        <v>159</v>
      </c>
      <c r="BJ78" s="46">
        <v>391.8</v>
      </c>
      <c r="BK78" s="46">
        <v>852.11</v>
      </c>
      <c r="BL78" s="46">
        <v>-47.89</v>
      </c>
      <c r="BM78" s="46">
        <v>-47.89</v>
      </c>
      <c r="BN78" s="46">
        <v>0</v>
      </c>
      <c r="BO78" s="46">
        <v>0</v>
      </c>
      <c r="BP78" s="46">
        <v>0</v>
      </c>
      <c r="BQ78" s="46">
        <v>0</v>
      </c>
      <c r="BR78" s="46">
        <v>0</v>
      </c>
      <c r="BS78" s="46">
        <v>0</v>
      </c>
      <c r="BT78" s="46">
        <v>5</v>
      </c>
      <c r="BU78" s="69" t="s">
        <v>939</v>
      </c>
      <c r="BV78" s="69" t="s">
        <v>940</v>
      </c>
      <c r="BW78" s="69" t="s">
        <v>924</v>
      </c>
      <c r="BX78" s="69">
        <v>9</v>
      </c>
      <c r="BY78" s="69">
        <v>164</v>
      </c>
      <c r="BZ78" s="69">
        <v>5</v>
      </c>
      <c r="CA78" s="69">
        <v>1</v>
      </c>
      <c r="CB78" s="46">
        <v>1</v>
      </c>
      <c r="CC78" s="46">
        <v>3</v>
      </c>
      <c r="CD78" s="50" t="s">
        <v>159</v>
      </c>
      <c r="CE78" s="37"/>
      <c r="CF78" s="38"/>
    </row>
    <row r="79" spans="1:84" x14ac:dyDescent="0.25">
      <c r="A79" s="36">
        <v>76</v>
      </c>
      <c r="B79" s="46" t="s">
        <v>867</v>
      </c>
      <c r="C79" s="46">
        <v>1</v>
      </c>
      <c r="D79" s="46">
        <v>1</v>
      </c>
      <c r="E79" s="46">
        <v>1</v>
      </c>
      <c r="F79" s="46">
        <v>1</v>
      </c>
      <c r="G79" s="46">
        <v>0</v>
      </c>
      <c r="H79" s="46">
        <v>0</v>
      </c>
      <c r="I79" s="46">
        <v>1</v>
      </c>
      <c r="J79" s="46">
        <v>0</v>
      </c>
      <c r="K79" s="46">
        <v>0</v>
      </c>
      <c r="L79" s="46">
        <v>1</v>
      </c>
      <c r="M79" s="46">
        <v>17807</v>
      </c>
      <c r="N79" s="46">
        <v>4837</v>
      </c>
      <c r="O79" s="46">
        <v>324.73930000000001</v>
      </c>
      <c r="P79" s="46">
        <v>138.50309999999999</v>
      </c>
      <c r="Q79" s="46">
        <v>1</v>
      </c>
      <c r="R79" s="46">
        <v>137</v>
      </c>
      <c r="S79" s="46">
        <v>28</v>
      </c>
      <c r="T79" s="46">
        <v>960</v>
      </c>
      <c r="U79" s="46">
        <v>298</v>
      </c>
      <c r="V79" s="46">
        <v>282.82</v>
      </c>
      <c r="W79" s="46">
        <v>169.2441</v>
      </c>
      <c r="X79" s="46">
        <v>-296.72649999999999</v>
      </c>
      <c r="Y79" s="46">
        <v>1274</v>
      </c>
      <c r="Z79" s="46">
        <v>7</v>
      </c>
      <c r="AA79" s="56">
        <v>1438.2862</v>
      </c>
      <c r="AB79" s="46">
        <v>1599.4974999999999</v>
      </c>
      <c r="AC79" s="46">
        <v>74.7</v>
      </c>
      <c r="AD79" s="46">
        <v>19.173999999999999</v>
      </c>
      <c r="AE79" s="46">
        <v>60</v>
      </c>
      <c r="AF79" s="46">
        <v>49</v>
      </c>
      <c r="AG79" s="46">
        <v>46</v>
      </c>
      <c r="AH79" s="46">
        <v>39</v>
      </c>
      <c r="AI79" s="46">
        <v>57</v>
      </c>
      <c r="AJ79" s="46">
        <v>62</v>
      </c>
      <c r="AK79" s="46">
        <v>2</v>
      </c>
      <c r="AL79" s="46">
        <v>17</v>
      </c>
      <c r="AM79" s="46">
        <v>6</v>
      </c>
      <c r="AN79" s="46">
        <v>0</v>
      </c>
      <c r="AO79" s="46">
        <v>397.1</v>
      </c>
      <c r="AP79" s="37" t="s">
        <v>159</v>
      </c>
      <c r="AQ79" s="37" t="s">
        <v>159</v>
      </c>
      <c r="AR79" s="37" t="s">
        <v>159</v>
      </c>
      <c r="AS79" s="37" t="s">
        <v>159</v>
      </c>
      <c r="AT79" s="37" t="s">
        <v>159</v>
      </c>
      <c r="AU79" s="37" t="s">
        <v>159</v>
      </c>
      <c r="AV79" s="37" t="s">
        <v>159</v>
      </c>
      <c r="AW79" s="37" t="s">
        <v>159</v>
      </c>
      <c r="AX79" s="37" t="s">
        <v>159</v>
      </c>
      <c r="AY79" s="37" t="s">
        <v>159</v>
      </c>
      <c r="AZ79" s="37" t="s">
        <v>159</v>
      </c>
      <c r="BA79" s="37" t="s">
        <v>159</v>
      </c>
      <c r="BB79" s="37" t="s">
        <v>159</v>
      </c>
      <c r="BC79" s="37" t="s">
        <v>159</v>
      </c>
      <c r="BD79" s="37" t="s">
        <v>159</v>
      </c>
      <c r="BE79" s="37" t="s">
        <v>159</v>
      </c>
      <c r="BF79" s="37" t="s">
        <v>159</v>
      </c>
      <c r="BG79" s="37" t="s">
        <v>159</v>
      </c>
      <c r="BH79" s="37" t="s">
        <v>159</v>
      </c>
      <c r="BI79" s="37" t="s">
        <v>159</v>
      </c>
      <c r="BJ79" s="46">
        <v>525.10436363636404</v>
      </c>
      <c r="BK79" s="46">
        <v>515.49519999999995</v>
      </c>
      <c r="BL79" s="46">
        <v>-374.89563636363602</v>
      </c>
      <c r="BM79" s="46">
        <v>-374.89563636363602</v>
      </c>
      <c r="BN79" s="46">
        <v>0</v>
      </c>
      <c r="BO79" s="46">
        <v>0</v>
      </c>
      <c r="BP79" s="46">
        <v>0</v>
      </c>
      <c r="BQ79" s="46">
        <v>0</v>
      </c>
      <c r="BR79" s="46">
        <v>0</v>
      </c>
      <c r="BS79" s="46">
        <v>0</v>
      </c>
      <c r="BT79" s="46">
        <v>5</v>
      </c>
      <c r="BU79" s="69" t="s">
        <v>930</v>
      </c>
      <c r="BV79" s="69" t="s">
        <v>925</v>
      </c>
      <c r="BW79" s="69" t="s">
        <v>925</v>
      </c>
      <c r="BX79" s="69">
        <v>6</v>
      </c>
      <c r="BY79" s="69">
        <v>40</v>
      </c>
      <c r="BZ79" s="69">
        <v>0</v>
      </c>
      <c r="CA79" s="69">
        <v>1</v>
      </c>
      <c r="CB79" s="46">
        <v>1</v>
      </c>
      <c r="CC79" s="46">
        <v>2</v>
      </c>
      <c r="CD79" s="50" t="s">
        <v>159</v>
      </c>
      <c r="CE79" s="37"/>
      <c r="CF79" s="38"/>
    </row>
    <row r="80" spans="1:84" x14ac:dyDescent="0.25">
      <c r="A80" s="36">
        <v>77</v>
      </c>
      <c r="B80" s="46" t="s">
        <v>868</v>
      </c>
      <c r="C80" s="46">
        <v>0</v>
      </c>
      <c r="D80" s="46">
        <v>1</v>
      </c>
      <c r="E80" s="46">
        <v>1</v>
      </c>
      <c r="F80" s="46">
        <v>1</v>
      </c>
      <c r="G80" s="46">
        <v>0</v>
      </c>
      <c r="H80" s="46">
        <v>0</v>
      </c>
      <c r="I80" s="46">
        <v>0</v>
      </c>
      <c r="J80" s="46">
        <v>1</v>
      </c>
      <c r="K80" s="46">
        <v>0</v>
      </c>
      <c r="L80" s="46">
        <v>1</v>
      </c>
      <c r="M80" s="46">
        <v>16803</v>
      </c>
      <c r="N80" s="46">
        <v>41273</v>
      </c>
      <c r="O80" s="46">
        <v>305.86669999999998</v>
      </c>
      <c r="P80" s="46">
        <v>303.46530000000001</v>
      </c>
      <c r="Q80" s="46">
        <v>4</v>
      </c>
      <c r="R80" s="46">
        <v>141</v>
      </c>
      <c r="S80" s="46">
        <v>14</v>
      </c>
      <c r="T80" s="46">
        <v>990</v>
      </c>
      <c r="U80" s="46">
        <v>334.7</v>
      </c>
      <c r="V80" s="46">
        <v>297.86</v>
      </c>
      <c r="W80" s="46">
        <v>-157.8758</v>
      </c>
      <c r="X80" s="46">
        <v>-167.90309999999999</v>
      </c>
      <c r="Y80" s="46">
        <v>3645</v>
      </c>
      <c r="Z80" s="46">
        <v>21</v>
      </c>
      <c r="AA80" s="46">
        <v>1767.0029999999999</v>
      </c>
      <c r="AB80" s="56">
        <v>100</v>
      </c>
      <c r="AC80" s="46">
        <v>91.4</v>
      </c>
      <c r="AD80" s="46">
        <v>42.344000000000001</v>
      </c>
      <c r="AE80" s="46">
        <v>70</v>
      </c>
      <c r="AF80" s="46">
        <v>36</v>
      </c>
      <c r="AG80" s="46">
        <v>29</v>
      </c>
      <c r="AH80" s="46">
        <v>79</v>
      </c>
      <c r="AI80" s="46">
        <v>116</v>
      </c>
      <c r="AJ80" s="46">
        <v>71</v>
      </c>
      <c r="AK80" s="46">
        <v>1</v>
      </c>
      <c r="AL80" s="46">
        <v>13</v>
      </c>
      <c r="AM80" s="46">
        <v>5</v>
      </c>
      <c r="AN80" s="46">
        <v>0</v>
      </c>
      <c r="AO80" s="46">
        <v>402.4</v>
      </c>
      <c r="AP80" s="37" t="s">
        <v>159</v>
      </c>
      <c r="AQ80" s="37" t="s">
        <v>159</v>
      </c>
      <c r="AR80" s="37" t="s">
        <v>159</v>
      </c>
      <c r="AS80" s="37" t="s">
        <v>159</v>
      </c>
      <c r="AT80" s="37" t="s">
        <v>159</v>
      </c>
      <c r="AU80" s="37" t="s">
        <v>159</v>
      </c>
      <c r="AV80" s="37" t="s">
        <v>159</v>
      </c>
      <c r="AW80" s="37" t="s">
        <v>159</v>
      </c>
      <c r="AX80" s="37" t="s">
        <v>159</v>
      </c>
      <c r="AY80" s="37" t="s">
        <v>159</v>
      </c>
      <c r="AZ80" s="37" t="s">
        <v>159</v>
      </c>
      <c r="BA80" s="37" t="s">
        <v>159</v>
      </c>
      <c r="BB80" s="37" t="s">
        <v>159</v>
      </c>
      <c r="BC80" s="37" t="s">
        <v>159</v>
      </c>
      <c r="BD80" s="37" t="s">
        <v>159</v>
      </c>
      <c r="BE80" s="37" t="s">
        <v>159</v>
      </c>
      <c r="BF80" s="37" t="s">
        <v>159</v>
      </c>
      <c r="BG80" s="37" t="s">
        <v>159</v>
      </c>
      <c r="BH80" s="37" t="s">
        <v>159</v>
      </c>
      <c r="BI80" s="37" t="s">
        <v>159</v>
      </c>
      <c r="BJ80" s="46">
        <v>402.4</v>
      </c>
      <c r="BK80" s="46">
        <v>1183.7425000000001</v>
      </c>
      <c r="BL80" s="46">
        <v>283.74250000000001</v>
      </c>
      <c r="BM80" s="46">
        <v>283.74250000000001</v>
      </c>
      <c r="BN80" s="46">
        <v>0</v>
      </c>
      <c r="BO80" s="46">
        <v>0</v>
      </c>
      <c r="BP80" s="46">
        <v>0</v>
      </c>
      <c r="BQ80" s="46">
        <v>0</v>
      </c>
      <c r="BR80" s="46">
        <v>0</v>
      </c>
      <c r="BS80" s="46">
        <v>0</v>
      </c>
      <c r="BT80" s="46">
        <v>4</v>
      </c>
      <c r="BU80" s="69" t="s">
        <v>939</v>
      </c>
      <c r="BV80" s="69" t="s">
        <v>940</v>
      </c>
      <c r="BW80" s="69" t="s">
        <v>924</v>
      </c>
      <c r="BX80" s="69">
        <v>12</v>
      </c>
      <c r="BY80" s="69">
        <v>71</v>
      </c>
      <c r="BZ80" s="69">
        <v>50</v>
      </c>
      <c r="CA80" s="69">
        <v>1</v>
      </c>
      <c r="CB80" s="46">
        <v>1</v>
      </c>
      <c r="CC80" s="46">
        <v>3</v>
      </c>
      <c r="CD80" s="50" t="s">
        <v>159</v>
      </c>
      <c r="CE80" s="37"/>
      <c r="CF80" s="38"/>
    </row>
    <row r="81" spans="1:84" x14ac:dyDescent="0.25">
      <c r="A81" s="36">
        <v>78</v>
      </c>
      <c r="B81" s="46" t="s">
        <v>869</v>
      </c>
      <c r="C81" s="46">
        <v>1</v>
      </c>
      <c r="D81" s="46">
        <v>1</v>
      </c>
      <c r="E81" s="46">
        <v>0</v>
      </c>
      <c r="F81" s="46">
        <v>1</v>
      </c>
      <c r="G81" s="46">
        <v>0</v>
      </c>
      <c r="H81" s="46">
        <v>0</v>
      </c>
      <c r="I81" s="46">
        <v>0</v>
      </c>
      <c r="J81" s="46">
        <v>0</v>
      </c>
      <c r="K81" s="46">
        <v>0</v>
      </c>
      <c r="L81" s="46">
        <v>0</v>
      </c>
      <c r="M81" s="46">
        <v>50530</v>
      </c>
      <c r="N81" s="46">
        <v>45017</v>
      </c>
      <c r="O81" s="46">
        <v>117.4477</v>
      </c>
      <c r="P81" s="46">
        <v>138.35679999999999</v>
      </c>
      <c r="Q81" s="46">
        <v>1</v>
      </c>
      <c r="R81" s="46">
        <v>145</v>
      </c>
      <c r="S81" s="46">
        <v>8</v>
      </c>
      <c r="T81" s="46">
        <v>1020</v>
      </c>
      <c r="U81" s="46">
        <v>-40.4</v>
      </c>
      <c r="V81" s="46">
        <v>312.89999999999998</v>
      </c>
      <c r="W81" s="46">
        <v>-203.84440000000001</v>
      </c>
      <c r="X81" s="46">
        <v>-5.5701000000000001</v>
      </c>
      <c r="Y81" s="46">
        <v>3711</v>
      </c>
      <c r="Z81" s="46">
        <v>6</v>
      </c>
      <c r="AA81" s="46">
        <v>847.70079999999996</v>
      </c>
      <c r="AB81" s="56">
        <v>1800</v>
      </c>
      <c r="AC81" s="46">
        <v>108.1</v>
      </c>
      <c r="AD81" s="46">
        <v>2.3687999999999998</v>
      </c>
      <c r="AE81" s="46">
        <v>98</v>
      </c>
      <c r="AF81" s="46">
        <v>41</v>
      </c>
      <c r="AG81" s="46">
        <v>29</v>
      </c>
      <c r="AH81" s="46">
        <v>38</v>
      </c>
      <c r="AI81" s="46">
        <v>65</v>
      </c>
      <c r="AJ81" s="46">
        <v>244</v>
      </c>
      <c r="AK81" s="46">
        <v>7</v>
      </c>
      <c r="AL81" s="46">
        <v>9</v>
      </c>
      <c r="AM81" s="46">
        <v>3</v>
      </c>
      <c r="AN81" s="46">
        <v>0</v>
      </c>
      <c r="AO81" s="46">
        <v>407.7</v>
      </c>
      <c r="AP81" s="37" t="s">
        <v>159</v>
      </c>
      <c r="AQ81" s="37" t="s">
        <v>159</v>
      </c>
      <c r="AR81" s="37" t="s">
        <v>159</v>
      </c>
      <c r="AS81" s="37" t="s">
        <v>159</v>
      </c>
      <c r="AT81" s="37" t="s">
        <v>159</v>
      </c>
      <c r="AU81" s="37" t="s">
        <v>159</v>
      </c>
      <c r="AV81" s="37" t="s">
        <v>159</v>
      </c>
      <c r="AW81" s="37" t="s">
        <v>159</v>
      </c>
      <c r="AX81" s="37" t="s">
        <v>159</v>
      </c>
      <c r="AY81" s="37" t="s">
        <v>159</v>
      </c>
      <c r="AZ81" s="37" t="s">
        <v>159</v>
      </c>
      <c r="BA81" s="37" t="s">
        <v>159</v>
      </c>
      <c r="BB81" s="37" t="s">
        <v>159</v>
      </c>
      <c r="BC81" s="37" t="s">
        <v>159</v>
      </c>
      <c r="BD81" s="37" t="s">
        <v>159</v>
      </c>
      <c r="BE81" s="37" t="s">
        <v>159</v>
      </c>
      <c r="BF81" s="37" t="s">
        <v>159</v>
      </c>
      <c r="BG81" s="37" t="s">
        <v>159</v>
      </c>
      <c r="BH81" s="37" t="s">
        <v>159</v>
      </c>
      <c r="BI81" s="37" t="s">
        <v>159</v>
      </c>
      <c r="BJ81" s="46">
        <v>1047.2394999999999</v>
      </c>
      <c r="BK81" s="46">
        <v>1041.2920999999999</v>
      </c>
      <c r="BL81" s="46">
        <v>147.23949999999999</v>
      </c>
      <c r="BM81" s="46">
        <v>147.23949999999999</v>
      </c>
      <c r="BN81" s="46">
        <v>0</v>
      </c>
      <c r="BO81" s="46">
        <v>0</v>
      </c>
      <c r="BP81" s="46">
        <v>0</v>
      </c>
      <c r="BQ81" s="46">
        <v>0</v>
      </c>
      <c r="BR81" s="46">
        <v>0</v>
      </c>
      <c r="BS81" s="46">
        <v>0</v>
      </c>
      <c r="BT81" s="46">
        <v>2</v>
      </c>
      <c r="BU81" s="69" t="s">
        <v>930</v>
      </c>
      <c r="BV81" s="69" t="s">
        <v>925</v>
      </c>
      <c r="BW81" s="69" t="s">
        <v>925</v>
      </c>
      <c r="BX81" s="69">
        <v>10</v>
      </c>
      <c r="BY81" s="69">
        <v>65</v>
      </c>
      <c r="BZ81" s="69">
        <v>9</v>
      </c>
      <c r="CA81" s="69">
        <v>0</v>
      </c>
      <c r="CB81" s="46">
        <v>1</v>
      </c>
      <c r="CC81" s="46">
        <v>2</v>
      </c>
      <c r="CD81" s="50" t="s">
        <v>159</v>
      </c>
      <c r="CE81" s="37"/>
      <c r="CF81" s="38"/>
    </row>
    <row r="82" spans="1:84" x14ac:dyDescent="0.25">
      <c r="A82" s="36">
        <v>79</v>
      </c>
      <c r="B82" s="46" t="s">
        <v>881</v>
      </c>
      <c r="C82" s="46">
        <v>2</v>
      </c>
      <c r="D82" s="46">
        <v>0</v>
      </c>
      <c r="E82" s="46">
        <v>0</v>
      </c>
      <c r="F82" s="46">
        <v>1</v>
      </c>
      <c r="G82" s="46">
        <v>0</v>
      </c>
      <c r="H82" s="46">
        <v>0</v>
      </c>
      <c r="I82" s="46">
        <v>0</v>
      </c>
      <c r="J82" s="46">
        <v>1</v>
      </c>
      <c r="K82" s="46">
        <v>0</v>
      </c>
      <c r="L82" s="46">
        <v>1</v>
      </c>
      <c r="M82" s="46">
        <v>49713</v>
      </c>
      <c r="N82" s="46">
        <v>50983</v>
      </c>
      <c r="O82" s="46">
        <v>312.25220000000002</v>
      </c>
      <c r="P82" s="46">
        <v>163.2851</v>
      </c>
      <c r="Q82" s="46">
        <v>1</v>
      </c>
      <c r="R82" s="46">
        <v>149</v>
      </c>
      <c r="S82" s="46">
        <v>10</v>
      </c>
      <c r="T82" s="46">
        <v>1050</v>
      </c>
      <c r="U82" s="46">
        <v>-56.7</v>
      </c>
      <c r="V82" s="46">
        <v>327.94</v>
      </c>
      <c r="W82" s="46">
        <v>86.983599999999996</v>
      </c>
      <c r="X82" s="46">
        <v>339.45890000000003</v>
      </c>
      <c r="Y82" s="46">
        <v>4137</v>
      </c>
      <c r="Z82" s="46">
        <v>20</v>
      </c>
      <c r="AA82" s="46">
        <v>409.67590000000001</v>
      </c>
      <c r="AB82" s="56">
        <v>100.5</v>
      </c>
      <c r="AC82" s="46">
        <v>124.8</v>
      </c>
      <c r="AD82" s="46">
        <v>77.439700000000002</v>
      </c>
      <c r="AE82" s="46">
        <v>32</v>
      </c>
      <c r="AF82" s="46">
        <v>45</v>
      </c>
      <c r="AG82" s="46">
        <v>20</v>
      </c>
      <c r="AH82" s="46">
        <v>70</v>
      </c>
      <c r="AI82" s="46">
        <v>82</v>
      </c>
      <c r="AJ82" s="46">
        <v>218</v>
      </c>
      <c r="AK82" s="46">
        <v>13</v>
      </c>
      <c r="AL82" s="46">
        <v>5</v>
      </c>
      <c r="AM82" s="46">
        <v>1</v>
      </c>
      <c r="AN82" s="46">
        <v>0</v>
      </c>
      <c r="AO82" s="46">
        <v>413</v>
      </c>
      <c r="AP82" s="37" t="s">
        <v>159</v>
      </c>
      <c r="AQ82" s="37" t="s">
        <v>159</v>
      </c>
      <c r="AR82" s="37" t="s">
        <v>159</v>
      </c>
      <c r="AS82" s="37" t="s">
        <v>159</v>
      </c>
      <c r="AT82" s="37" t="s">
        <v>159</v>
      </c>
      <c r="AU82" s="37" t="s">
        <v>159</v>
      </c>
      <c r="AV82" s="37" t="s">
        <v>159</v>
      </c>
      <c r="AW82" s="37" t="s">
        <v>159</v>
      </c>
      <c r="AX82" s="37" t="s">
        <v>159</v>
      </c>
      <c r="AY82" s="37" t="s">
        <v>159</v>
      </c>
      <c r="AZ82" s="37" t="s">
        <v>159</v>
      </c>
      <c r="BA82" s="37" t="s">
        <v>159</v>
      </c>
      <c r="BB82" s="37" t="s">
        <v>159</v>
      </c>
      <c r="BC82" s="37" t="s">
        <v>159</v>
      </c>
      <c r="BD82" s="37" t="s">
        <v>159</v>
      </c>
      <c r="BE82" s="37" t="s">
        <v>159</v>
      </c>
      <c r="BF82" s="37" t="s">
        <v>159</v>
      </c>
      <c r="BG82" s="37" t="s">
        <v>159</v>
      </c>
      <c r="BH82" s="37" t="s">
        <v>159</v>
      </c>
      <c r="BI82" s="37" t="s">
        <v>159</v>
      </c>
      <c r="BJ82" s="46">
        <v>413</v>
      </c>
      <c r="BK82" s="46">
        <v>585.26859999999999</v>
      </c>
      <c r="BL82" s="46">
        <v>-314.73140000000001</v>
      </c>
      <c r="BM82" s="46">
        <v>-314.73140000000001</v>
      </c>
      <c r="BN82" s="46">
        <v>0</v>
      </c>
      <c r="BO82" s="46">
        <v>0</v>
      </c>
      <c r="BP82" s="46">
        <v>0</v>
      </c>
      <c r="BQ82" s="46">
        <v>0</v>
      </c>
      <c r="BR82" s="46">
        <v>0</v>
      </c>
      <c r="BS82" s="46">
        <v>0</v>
      </c>
      <c r="BT82" s="46">
        <v>0</v>
      </c>
      <c r="BU82" s="69" t="s">
        <v>930</v>
      </c>
      <c r="BV82" s="69" t="s">
        <v>925</v>
      </c>
      <c r="BW82" s="69" t="s">
        <v>925</v>
      </c>
      <c r="BX82" s="69">
        <v>6</v>
      </c>
      <c r="BY82" s="69">
        <v>127</v>
      </c>
      <c r="BZ82" s="69">
        <v>50</v>
      </c>
      <c r="CA82" s="69">
        <v>0</v>
      </c>
      <c r="CB82" s="46">
        <v>1</v>
      </c>
      <c r="CC82" s="46">
        <v>2</v>
      </c>
      <c r="CD82" s="50" t="s">
        <v>159</v>
      </c>
      <c r="CE82" s="37"/>
      <c r="CF82" s="38"/>
    </row>
    <row r="83" spans="1:84" x14ac:dyDescent="0.25">
      <c r="A83" s="36">
        <v>80</v>
      </c>
      <c r="B83" s="46" t="s">
        <v>880</v>
      </c>
      <c r="C83" s="46">
        <v>2</v>
      </c>
      <c r="D83" s="46">
        <v>0</v>
      </c>
      <c r="E83" s="46">
        <v>0</v>
      </c>
      <c r="F83" s="46">
        <v>1</v>
      </c>
      <c r="G83" s="46">
        <v>0</v>
      </c>
      <c r="H83" s="46">
        <v>0</v>
      </c>
      <c r="I83" s="46">
        <v>0</v>
      </c>
      <c r="J83" s="46">
        <v>1</v>
      </c>
      <c r="K83" s="46">
        <v>0</v>
      </c>
      <c r="L83" s="46">
        <v>1</v>
      </c>
      <c r="M83" s="46">
        <v>49713</v>
      </c>
      <c r="N83" s="46">
        <v>50983</v>
      </c>
      <c r="O83" s="46">
        <v>312.25220000000002</v>
      </c>
      <c r="P83" s="46">
        <v>163.2851</v>
      </c>
      <c r="Q83" s="46">
        <v>1</v>
      </c>
      <c r="R83" s="46">
        <v>153</v>
      </c>
      <c r="S83" s="46">
        <v>10</v>
      </c>
      <c r="T83" s="46">
        <v>1080</v>
      </c>
      <c r="U83" s="46">
        <v>-73</v>
      </c>
      <c r="V83" s="46">
        <v>342.98</v>
      </c>
      <c r="W83" s="46">
        <v>86.983599999999996</v>
      </c>
      <c r="X83" s="46">
        <v>339.45890000000003</v>
      </c>
      <c r="Y83" s="46">
        <v>4137</v>
      </c>
      <c r="Z83" s="46">
        <v>20</v>
      </c>
      <c r="AA83" s="46">
        <v>409.67590000000001</v>
      </c>
      <c r="AB83" s="56">
        <v>1200</v>
      </c>
      <c r="AC83" s="46">
        <v>0</v>
      </c>
      <c r="AD83" s="46">
        <v>77.439700000000002</v>
      </c>
      <c r="AE83" s="46">
        <v>32</v>
      </c>
      <c r="AF83" s="46">
        <v>45</v>
      </c>
      <c r="AG83" s="46">
        <v>20</v>
      </c>
      <c r="AH83" s="46">
        <v>70</v>
      </c>
      <c r="AI83" s="46">
        <v>82</v>
      </c>
      <c r="AJ83" s="46">
        <v>218</v>
      </c>
      <c r="AK83" s="46">
        <v>19</v>
      </c>
      <c r="AL83" s="46">
        <v>1</v>
      </c>
      <c r="AM83" s="46">
        <v>1</v>
      </c>
      <c r="AN83" s="46">
        <v>0</v>
      </c>
      <c r="AO83" s="46">
        <v>418.3</v>
      </c>
      <c r="AP83" s="37" t="s">
        <v>159</v>
      </c>
      <c r="AQ83" s="37" t="s">
        <v>159</v>
      </c>
      <c r="AR83" s="37" t="s">
        <v>159</v>
      </c>
      <c r="AS83" s="37" t="s">
        <v>159</v>
      </c>
      <c r="AT83" s="37" t="s">
        <v>159</v>
      </c>
      <c r="AU83" s="37" t="s">
        <v>159</v>
      </c>
      <c r="AV83" s="37" t="s">
        <v>159</v>
      </c>
      <c r="AW83" s="37" t="s">
        <v>159</v>
      </c>
      <c r="AX83" s="37" t="s">
        <v>159</v>
      </c>
      <c r="AY83" s="37" t="s">
        <v>159</v>
      </c>
      <c r="AZ83" s="37" t="s">
        <v>159</v>
      </c>
      <c r="BA83" s="37" t="s">
        <v>159</v>
      </c>
      <c r="BB83" s="37" t="s">
        <v>159</v>
      </c>
      <c r="BC83" s="37" t="s">
        <v>159</v>
      </c>
      <c r="BD83" s="37" t="s">
        <v>159</v>
      </c>
      <c r="BE83" s="37" t="s">
        <v>159</v>
      </c>
      <c r="BF83" s="37" t="s">
        <v>159</v>
      </c>
      <c r="BG83" s="37" t="s">
        <v>159</v>
      </c>
      <c r="BH83" s="37" t="s">
        <v>159</v>
      </c>
      <c r="BI83" s="37" t="s">
        <v>159</v>
      </c>
      <c r="BJ83" s="46">
        <v>418.3</v>
      </c>
      <c r="BK83" s="46">
        <v>585.26859999999999</v>
      </c>
      <c r="BL83" s="46">
        <v>-314.73140000000001</v>
      </c>
      <c r="BM83" s="46">
        <v>-314.73140000000001</v>
      </c>
      <c r="BN83" s="46">
        <v>0</v>
      </c>
      <c r="BO83" s="46">
        <v>0</v>
      </c>
      <c r="BP83" s="46">
        <v>0</v>
      </c>
      <c r="BQ83" s="46">
        <v>0</v>
      </c>
      <c r="BR83" s="46">
        <v>0</v>
      </c>
      <c r="BS83" s="46">
        <v>0</v>
      </c>
      <c r="BT83" s="46">
        <v>0</v>
      </c>
      <c r="BU83" s="69" t="s">
        <v>930</v>
      </c>
      <c r="BV83" s="69" t="s">
        <v>925</v>
      </c>
      <c r="BW83" s="69" t="s">
        <v>925</v>
      </c>
      <c r="BX83" s="69">
        <v>6</v>
      </c>
      <c r="BY83" s="69">
        <v>131</v>
      </c>
      <c r="BZ83" s="69">
        <v>50</v>
      </c>
      <c r="CA83" s="69">
        <v>0</v>
      </c>
      <c r="CB83" s="46">
        <v>1</v>
      </c>
      <c r="CC83" s="46">
        <v>2</v>
      </c>
      <c r="CD83" s="50" t="s">
        <v>159</v>
      </c>
      <c r="CE83" s="37"/>
      <c r="CF83" s="38"/>
    </row>
    <row r="84" spans="1:84" x14ac:dyDescent="0.25">
      <c r="A84" s="36">
        <v>81</v>
      </c>
      <c r="B84" s="46" t="s">
        <v>870</v>
      </c>
      <c r="C84" s="46">
        <v>2</v>
      </c>
      <c r="D84" s="46">
        <v>0</v>
      </c>
      <c r="E84" s="46">
        <v>0</v>
      </c>
      <c r="F84" s="46">
        <v>1</v>
      </c>
      <c r="G84" s="46">
        <v>1</v>
      </c>
      <c r="H84" s="46">
        <v>0</v>
      </c>
      <c r="I84" s="46">
        <v>0</v>
      </c>
      <c r="J84" s="46">
        <v>1</v>
      </c>
      <c r="K84" s="46">
        <v>0</v>
      </c>
      <c r="L84" s="46">
        <v>1</v>
      </c>
      <c r="M84" s="46">
        <v>25505</v>
      </c>
      <c r="N84" s="46">
        <v>26553</v>
      </c>
      <c r="O84" s="46">
        <v>184.8836</v>
      </c>
      <c r="P84" s="46">
        <v>303.87939999999998</v>
      </c>
      <c r="Q84" s="46">
        <v>0</v>
      </c>
      <c r="R84" s="46">
        <v>157</v>
      </c>
      <c r="S84" s="46">
        <v>24</v>
      </c>
      <c r="T84" s="46">
        <v>1110</v>
      </c>
      <c r="U84" s="46">
        <v>-89.3</v>
      </c>
      <c r="V84" s="46">
        <v>358.02</v>
      </c>
      <c r="W84" s="46">
        <v>332.92110000000002</v>
      </c>
      <c r="X84" s="46">
        <v>187.97540000000001</v>
      </c>
      <c r="Y84" s="46">
        <v>1831</v>
      </c>
      <c r="Z84" s="46">
        <v>16</v>
      </c>
      <c r="AA84" s="46">
        <v>1183.7324000000001</v>
      </c>
      <c r="AB84" s="46">
        <v>471.45729999999998</v>
      </c>
      <c r="AC84" s="56">
        <v>-900</v>
      </c>
      <c r="AD84" s="46">
        <v>55.5413</v>
      </c>
      <c r="AE84" s="46">
        <v>88</v>
      </c>
      <c r="AF84" s="46">
        <v>14</v>
      </c>
      <c r="AG84" s="46">
        <v>36</v>
      </c>
      <c r="AH84" s="46">
        <v>14</v>
      </c>
      <c r="AI84" s="46">
        <v>227</v>
      </c>
      <c r="AJ84" s="46">
        <v>221</v>
      </c>
      <c r="AK84" s="46">
        <v>25</v>
      </c>
      <c r="AL84" s="46">
        <v>3</v>
      </c>
      <c r="AM84" s="46">
        <v>2</v>
      </c>
      <c r="AN84" s="46">
        <v>1</v>
      </c>
      <c r="AO84" s="46">
        <v>423.6</v>
      </c>
      <c r="AP84" s="37" t="s">
        <v>159</v>
      </c>
      <c r="AQ84" s="37" t="s">
        <v>159</v>
      </c>
      <c r="AR84" s="37" t="s">
        <v>159</v>
      </c>
      <c r="AS84" s="37" t="s">
        <v>159</v>
      </c>
      <c r="AT84" s="37" t="s">
        <v>159</v>
      </c>
      <c r="AU84" s="37" t="s">
        <v>159</v>
      </c>
      <c r="AV84" s="37" t="s">
        <v>159</v>
      </c>
      <c r="AW84" s="37" t="s">
        <v>159</v>
      </c>
      <c r="AX84" s="37" t="s">
        <v>159</v>
      </c>
      <c r="AY84" s="37" t="s">
        <v>159</v>
      </c>
      <c r="AZ84" s="37" t="s">
        <v>159</v>
      </c>
      <c r="BA84" s="37" t="s">
        <v>159</v>
      </c>
      <c r="BB84" s="37" t="s">
        <v>159</v>
      </c>
      <c r="BC84" s="37" t="s">
        <v>159</v>
      </c>
      <c r="BD84" s="37" t="s">
        <v>159</v>
      </c>
      <c r="BE84" s="37" t="s">
        <v>159</v>
      </c>
      <c r="BF84" s="37" t="s">
        <v>159</v>
      </c>
      <c r="BG84" s="37" t="s">
        <v>159</v>
      </c>
      <c r="BH84" s="37" t="s">
        <v>159</v>
      </c>
      <c r="BI84" s="37" t="s">
        <v>159</v>
      </c>
      <c r="BJ84" s="46">
        <v>423.6</v>
      </c>
      <c r="BK84" s="46">
        <v>1183.7324000000001</v>
      </c>
      <c r="BL84" s="46">
        <v>-900</v>
      </c>
      <c r="BM84" s="46">
        <v>-900</v>
      </c>
      <c r="BN84" s="46">
        <v>1</v>
      </c>
      <c r="BO84" s="46">
        <v>0</v>
      </c>
      <c r="BP84" s="46">
        <v>1</v>
      </c>
      <c r="BQ84" s="46">
        <v>0</v>
      </c>
      <c r="BR84" s="46">
        <v>1</v>
      </c>
      <c r="BS84" s="46">
        <v>0</v>
      </c>
      <c r="BT84" s="46">
        <v>2</v>
      </c>
      <c r="BU84" s="69" t="s">
        <v>925</v>
      </c>
      <c r="BV84" s="69" t="s">
        <v>925</v>
      </c>
      <c r="BW84" s="69" t="s">
        <v>925</v>
      </c>
      <c r="BX84" s="69">
        <v>16</v>
      </c>
      <c r="BY84" s="69">
        <v>227</v>
      </c>
      <c r="BZ84" s="69">
        <v>14</v>
      </c>
      <c r="CA84" s="69">
        <v>0</v>
      </c>
      <c r="CB84" s="46">
        <v>1</v>
      </c>
      <c r="CC84" s="46">
        <v>0</v>
      </c>
      <c r="CD84" s="50" t="s">
        <v>159</v>
      </c>
      <c r="CE84" s="37"/>
      <c r="CF84" s="38"/>
    </row>
    <row r="85" spans="1:84" x14ac:dyDescent="0.25">
      <c r="A85" s="36">
        <v>82</v>
      </c>
      <c r="B85" s="46" t="s">
        <v>871</v>
      </c>
      <c r="C85" s="46">
        <v>2</v>
      </c>
      <c r="D85" s="46">
        <v>0</v>
      </c>
      <c r="E85" s="46">
        <v>0</v>
      </c>
      <c r="F85" s="46">
        <v>1</v>
      </c>
      <c r="G85" s="46">
        <v>1</v>
      </c>
      <c r="H85" s="46">
        <v>0</v>
      </c>
      <c r="I85" s="46">
        <v>1</v>
      </c>
      <c r="J85" s="46">
        <v>0</v>
      </c>
      <c r="K85" s="46">
        <v>0</v>
      </c>
      <c r="L85" s="46">
        <v>0</v>
      </c>
      <c r="M85" s="46">
        <v>10174</v>
      </c>
      <c r="N85" s="46">
        <v>49806</v>
      </c>
      <c r="O85" s="46">
        <v>75.792400000000001</v>
      </c>
      <c r="P85" s="46">
        <v>296.39609999999999</v>
      </c>
      <c r="Q85" s="46">
        <v>1</v>
      </c>
      <c r="R85" s="46">
        <v>161</v>
      </c>
      <c r="S85" s="46">
        <v>27</v>
      </c>
      <c r="T85" s="46">
        <v>1140</v>
      </c>
      <c r="U85" s="46">
        <v>-105.6</v>
      </c>
      <c r="V85" s="46">
        <v>-8.8000000000000007</v>
      </c>
      <c r="W85" s="46">
        <v>160.28210000000001</v>
      </c>
      <c r="X85" s="46">
        <v>109.553</v>
      </c>
      <c r="Y85" s="46">
        <v>332</v>
      </c>
      <c r="Z85" s="46">
        <v>9</v>
      </c>
      <c r="AA85" s="46">
        <v>2057.0547999999999</v>
      </c>
      <c r="AB85" s="46">
        <v>362.9864</v>
      </c>
      <c r="AC85" s="56">
        <v>900</v>
      </c>
      <c r="AD85" s="46">
        <v>5.0438000000000001</v>
      </c>
      <c r="AE85" s="46">
        <v>89</v>
      </c>
      <c r="AF85" s="46">
        <v>10</v>
      </c>
      <c r="AG85" s="46">
        <v>49</v>
      </c>
      <c r="AH85" s="46">
        <v>53</v>
      </c>
      <c r="AI85" s="46">
        <v>89</v>
      </c>
      <c r="AJ85" s="46">
        <v>170</v>
      </c>
      <c r="AK85" s="46">
        <v>31</v>
      </c>
      <c r="AL85" s="46">
        <v>4</v>
      </c>
      <c r="AM85" s="46">
        <v>2</v>
      </c>
      <c r="AN85" s="46">
        <v>1</v>
      </c>
      <c r="AO85" s="46">
        <v>428.9</v>
      </c>
      <c r="AP85" s="37" t="s">
        <v>159</v>
      </c>
      <c r="AQ85" s="37" t="s">
        <v>159</v>
      </c>
      <c r="AR85" s="37" t="s">
        <v>159</v>
      </c>
      <c r="AS85" s="37" t="s">
        <v>159</v>
      </c>
      <c r="AT85" s="37" t="s">
        <v>159</v>
      </c>
      <c r="AU85" s="37" t="s">
        <v>159</v>
      </c>
      <c r="AV85" s="37" t="s">
        <v>159</v>
      </c>
      <c r="AW85" s="37" t="s">
        <v>159</v>
      </c>
      <c r="AX85" s="37" t="s">
        <v>159</v>
      </c>
      <c r="AY85" s="37" t="s">
        <v>159</v>
      </c>
      <c r="AZ85" s="37" t="s">
        <v>159</v>
      </c>
      <c r="BA85" s="37" t="s">
        <v>159</v>
      </c>
      <c r="BB85" s="37" t="s">
        <v>159</v>
      </c>
      <c r="BC85" s="37" t="s">
        <v>159</v>
      </c>
      <c r="BD85" s="37" t="s">
        <v>159</v>
      </c>
      <c r="BE85" s="37" t="s">
        <v>159</v>
      </c>
      <c r="BF85" s="37" t="s">
        <v>159</v>
      </c>
      <c r="BG85" s="37" t="s">
        <v>159</v>
      </c>
      <c r="BH85" s="37" t="s">
        <v>159</v>
      </c>
      <c r="BI85" s="37" t="s">
        <v>159</v>
      </c>
      <c r="BJ85" s="46">
        <v>428.9</v>
      </c>
      <c r="BK85" s="46">
        <v>2057.0547999999999</v>
      </c>
      <c r="BL85" s="46">
        <v>900</v>
      </c>
      <c r="BM85" s="46">
        <v>900</v>
      </c>
      <c r="BN85" s="46">
        <v>1</v>
      </c>
      <c r="BO85" s="46">
        <v>0</v>
      </c>
      <c r="BP85" s="46">
        <v>0</v>
      </c>
      <c r="BQ85" s="46">
        <v>0</v>
      </c>
      <c r="BR85" s="46">
        <v>0</v>
      </c>
      <c r="BS85" s="46">
        <v>0</v>
      </c>
      <c r="BT85" s="46">
        <v>2</v>
      </c>
      <c r="BU85" s="69" t="s">
        <v>925</v>
      </c>
      <c r="BV85" s="69" t="s">
        <v>925</v>
      </c>
      <c r="BW85" s="69" t="s">
        <v>925</v>
      </c>
      <c r="BX85" s="69">
        <v>9</v>
      </c>
      <c r="BY85" s="69">
        <v>89</v>
      </c>
      <c r="BZ85" s="69">
        <v>53</v>
      </c>
      <c r="CA85" s="69">
        <v>1</v>
      </c>
      <c r="CB85" s="46">
        <v>1</v>
      </c>
      <c r="CC85" s="46">
        <v>0</v>
      </c>
      <c r="CD85" s="50" t="s">
        <v>159</v>
      </c>
      <c r="CE85" s="37"/>
      <c r="CF85" s="38"/>
    </row>
    <row r="86" spans="1:84" x14ac:dyDescent="0.25">
      <c r="A86" s="36">
        <v>83</v>
      </c>
      <c r="B86" s="46" t="s">
        <v>872</v>
      </c>
      <c r="C86" s="46">
        <v>0</v>
      </c>
      <c r="D86" s="46">
        <v>1</v>
      </c>
      <c r="E86" s="46">
        <v>1</v>
      </c>
      <c r="F86" s="46">
        <v>1</v>
      </c>
      <c r="G86" s="46">
        <v>1</v>
      </c>
      <c r="H86" s="46">
        <v>0</v>
      </c>
      <c r="I86" s="46">
        <v>0</v>
      </c>
      <c r="J86" s="46">
        <v>1</v>
      </c>
      <c r="K86" s="46">
        <v>0</v>
      </c>
      <c r="L86" s="46">
        <v>0</v>
      </c>
      <c r="M86" s="46">
        <v>37411</v>
      </c>
      <c r="N86" s="46">
        <v>11370</v>
      </c>
      <c r="O86" s="46">
        <v>319.84480000000002</v>
      </c>
      <c r="P86" s="46">
        <v>226.6352</v>
      </c>
      <c r="Q86" s="46">
        <v>4</v>
      </c>
      <c r="R86" s="46">
        <v>165</v>
      </c>
      <c r="S86" s="46">
        <v>5</v>
      </c>
      <c r="T86" s="46">
        <v>1170</v>
      </c>
      <c r="U86" s="46">
        <v>-121.9</v>
      </c>
      <c r="V86" s="46">
        <v>-4.0999999999999996</v>
      </c>
      <c r="W86" s="46">
        <v>199.36600000000001</v>
      </c>
      <c r="X86" s="46">
        <v>-84.373599999999996</v>
      </c>
      <c r="Y86" s="46">
        <v>1746</v>
      </c>
      <c r="Z86" s="46">
        <v>22</v>
      </c>
      <c r="AA86" s="46">
        <v>3129.2995000000001</v>
      </c>
      <c r="AB86" s="46">
        <v>1353.5790999999999</v>
      </c>
      <c r="AC86" s="56">
        <v>402.2</v>
      </c>
      <c r="AD86" s="46">
        <v>23.8644</v>
      </c>
      <c r="AE86" s="46">
        <v>52</v>
      </c>
      <c r="AF86" s="46">
        <v>13</v>
      </c>
      <c r="AG86" s="46">
        <v>12</v>
      </c>
      <c r="AH86" s="46">
        <v>44</v>
      </c>
      <c r="AI86" s="46">
        <v>46</v>
      </c>
      <c r="AJ86" s="46">
        <v>244</v>
      </c>
      <c r="AK86" s="46">
        <v>37</v>
      </c>
      <c r="AL86" s="46">
        <v>5</v>
      </c>
      <c r="AM86" s="46">
        <v>1</v>
      </c>
      <c r="AN86" s="46">
        <v>0</v>
      </c>
      <c r="AO86" s="46">
        <v>434.2</v>
      </c>
      <c r="AP86" s="37" t="s">
        <v>159</v>
      </c>
      <c r="AQ86" s="37" t="s">
        <v>159</v>
      </c>
      <c r="AR86" s="37" t="s">
        <v>159</v>
      </c>
      <c r="AS86" s="37" t="s">
        <v>159</v>
      </c>
      <c r="AT86" s="37" t="s">
        <v>159</v>
      </c>
      <c r="AU86" s="37" t="s">
        <v>159</v>
      </c>
      <c r="AV86" s="37" t="s">
        <v>159</v>
      </c>
      <c r="AW86" s="37" t="s">
        <v>159</v>
      </c>
      <c r="AX86" s="37" t="s">
        <v>159</v>
      </c>
      <c r="AY86" s="37" t="s">
        <v>159</v>
      </c>
      <c r="AZ86" s="37" t="s">
        <v>159</v>
      </c>
      <c r="BA86" s="37" t="s">
        <v>159</v>
      </c>
      <c r="BB86" s="37" t="s">
        <v>159</v>
      </c>
      <c r="BC86" s="37" t="s">
        <v>159</v>
      </c>
      <c r="BD86" s="37" t="s">
        <v>159</v>
      </c>
      <c r="BE86" s="37" t="s">
        <v>159</v>
      </c>
      <c r="BF86" s="37" t="s">
        <v>159</v>
      </c>
      <c r="BG86" s="37" t="s">
        <v>159</v>
      </c>
      <c r="BH86" s="37" t="s">
        <v>159</v>
      </c>
      <c r="BI86" s="37" t="s">
        <v>159</v>
      </c>
      <c r="BJ86" s="46">
        <v>434.2</v>
      </c>
      <c r="BK86" s="46">
        <v>3129.2995000000001</v>
      </c>
      <c r="BL86" s="46">
        <v>402.2</v>
      </c>
      <c r="BM86" s="46">
        <v>402.2</v>
      </c>
      <c r="BN86" s="46">
        <v>0</v>
      </c>
      <c r="BO86" s="46">
        <v>0</v>
      </c>
      <c r="BP86" s="46">
        <v>0</v>
      </c>
      <c r="BQ86" s="46">
        <v>0</v>
      </c>
      <c r="BR86" s="46">
        <v>0</v>
      </c>
      <c r="BS86" s="46">
        <v>0</v>
      </c>
      <c r="BT86" s="46">
        <v>1</v>
      </c>
      <c r="BU86" s="69" t="s">
        <v>925</v>
      </c>
      <c r="BV86" s="69" t="s">
        <v>925</v>
      </c>
      <c r="BW86" s="69" t="s">
        <v>925</v>
      </c>
      <c r="BX86" s="69">
        <v>22</v>
      </c>
      <c r="BY86" s="69">
        <v>46</v>
      </c>
      <c r="BZ86" s="69">
        <v>44</v>
      </c>
      <c r="CA86" s="69">
        <v>0</v>
      </c>
      <c r="CB86" s="46">
        <v>1</v>
      </c>
      <c r="CC86" s="46">
        <v>0</v>
      </c>
      <c r="CD86" s="50" t="s">
        <v>159</v>
      </c>
      <c r="CE86" s="37"/>
      <c r="CF86" s="38"/>
    </row>
    <row r="87" spans="1:84" x14ac:dyDescent="0.25">
      <c r="A87" s="36">
        <v>84</v>
      </c>
      <c r="B87" s="46" t="s">
        <v>882</v>
      </c>
      <c r="C87" s="46">
        <v>2</v>
      </c>
      <c r="D87" s="46">
        <v>1</v>
      </c>
      <c r="E87" s="46">
        <v>0</v>
      </c>
      <c r="F87" s="46">
        <v>1</v>
      </c>
      <c r="G87" s="46">
        <v>1</v>
      </c>
      <c r="H87" s="46">
        <v>0</v>
      </c>
      <c r="I87" s="46">
        <v>1</v>
      </c>
      <c r="J87" s="46">
        <v>1</v>
      </c>
      <c r="K87" s="46">
        <v>0</v>
      </c>
      <c r="L87" s="46">
        <v>0</v>
      </c>
      <c r="M87" s="46">
        <v>40285</v>
      </c>
      <c r="N87" s="46">
        <v>18104</v>
      </c>
      <c r="O87" s="46">
        <v>191.7945</v>
      </c>
      <c r="P87" s="46">
        <v>225.92670000000001</v>
      </c>
      <c r="Q87" s="46">
        <v>2</v>
      </c>
      <c r="R87" s="46">
        <v>169</v>
      </c>
      <c r="S87" s="46">
        <v>20</v>
      </c>
      <c r="T87" s="46">
        <v>1200</v>
      </c>
      <c r="U87" s="46">
        <v>-138.19999999999999</v>
      </c>
      <c r="V87" s="46">
        <v>0.6</v>
      </c>
      <c r="W87" s="46">
        <v>-246.77070000000001</v>
      </c>
      <c r="X87" s="46">
        <v>327.8297</v>
      </c>
      <c r="Y87" s="46">
        <v>898</v>
      </c>
      <c r="Z87" s="46">
        <v>14</v>
      </c>
      <c r="AA87" s="46">
        <v>767.3021</v>
      </c>
      <c r="AB87" s="46">
        <v>649.35599999999999</v>
      </c>
      <c r="AC87" s="56">
        <v>0</v>
      </c>
      <c r="AD87" s="46">
        <v>79.428200000000004</v>
      </c>
      <c r="AE87" s="46">
        <v>26</v>
      </c>
      <c r="AF87" s="46">
        <v>23</v>
      </c>
      <c r="AG87" s="46">
        <v>27</v>
      </c>
      <c r="AH87" s="46">
        <v>63</v>
      </c>
      <c r="AI87" s="46">
        <v>154</v>
      </c>
      <c r="AJ87" s="46">
        <v>217</v>
      </c>
      <c r="AK87" s="46">
        <v>43</v>
      </c>
      <c r="AL87" s="46">
        <v>6</v>
      </c>
      <c r="AM87" s="46">
        <v>5</v>
      </c>
      <c r="AN87" s="46">
        <v>0</v>
      </c>
      <c r="AO87" s="46">
        <v>439.5</v>
      </c>
      <c r="AP87" s="37" t="s">
        <v>159</v>
      </c>
      <c r="AQ87" s="37" t="s">
        <v>159</v>
      </c>
      <c r="AR87" s="37" t="s">
        <v>159</v>
      </c>
      <c r="AS87" s="37" t="s">
        <v>159</v>
      </c>
      <c r="AT87" s="37" t="s">
        <v>159</v>
      </c>
      <c r="AU87" s="37" t="s">
        <v>159</v>
      </c>
      <c r="AV87" s="37" t="s">
        <v>159</v>
      </c>
      <c r="AW87" s="37" t="s">
        <v>159</v>
      </c>
      <c r="AX87" s="37" t="s">
        <v>159</v>
      </c>
      <c r="AY87" s="37" t="s">
        <v>159</v>
      </c>
      <c r="AZ87" s="37" t="s">
        <v>159</v>
      </c>
      <c r="BA87" s="37" t="s">
        <v>159</v>
      </c>
      <c r="BB87" s="37" t="s">
        <v>159</v>
      </c>
      <c r="BC87" s="37" t="s">
        <v>159</v>
      </c>
      <c r="BD87" s="37" t="s">
        <v>159</v>
      </c>
      <c r="BE87" s="37" t="s">
        <v>159</v>
      </c>
      <c r="BF87" s="37" t="s">
        <v>159</v>
      </c>
      <c r="BG87" s="37" t="s">
        <v>159</v>
      </c>
      <c r="BH87" s="37" t="s">
        <v>159</v>
      </c>
      <c r="BI87" s="37" t="s">
        <v>159</v>
      </c>
      <c r="BJ87" s="46">
        <v>439.5</v>
      </c>
      <c r="BK87" s="46">
        <v>767.3021</v>
      </c>
      <c r="BL87" s="46">
        <v>0</v>
      </c>
      <c r="BM87" s="46">
        <v>0</v>
      </c>
      <c r="BN87" s="46">
        <v>0</v>
      </c>
      <c r="BO87" s="46">
        <v>0</v>
      </c>
      <c r="BP87" s="46">
        <v>0</v>
      </c>
      <c r="BQ87" s="46">
        <v>0</v>
      </c>
      <c r="BR87" s="46">
        <v>0</v>
      </c>
      <c r="BS87" s="46">
        <v>0</v>
      </c>
      <c r="BT87" s="46">
        <v>5</v>
      </c>
      <c r="BU87" s="69" t="s">
        <v>925</v>
      </c>
      <c r="BV87" s="69" t="s">
        <v>925</v>
      </c>
      <c r="BW87" s="69" t="s">
        <v>925</v>
      </c>
      <c r="BX87" s="69">
        <v>14</v>
      </c>
      <c r="BY87" s="69">
        <v>154</v>
      </c>
      <c r="BZ87" s="69">
        <v>63</v>
      </c>
      <c r="CA87" s="69">
        <v>1</v>
      </c>
      <c r="CB87" s="46">
        <v>1</v>
      </c>
      <c r="CC87" s="46">
        <v>0</v>
      </c>
      <c r="CD87" s="50" t="s">
        <v>159</v>
      </c>
      <c r="CE87" s="37"/>
      <c r="CF87" s="38"/>
    </row>
    <row r="88" spans="1:84" ht="15.75" thickBot="1" x14ac:dyDescent="0.3">
      <c r="A88" s="39">
        <v>85</v>
      </c>
      <c r="B88" s="47" t="s">
        <v>883</v>
      </c>
      <c r="C88" s="47">
        <v>2</v>
      </c>
      <c r="D88" s="47">
        <v>1</v>
      </c>
      <c r="E88" s="47">
        <v>1</v>
      </c>
      <c r="F88" s="47">
        <v>1</v>
      </c>
      <c r="G88" s="47">
        <v>1</v>
      </c>
      <c r="H88" s="47">
        <v>0</v>
      </c>
      <c r="I88" s="47">
        <v>1</v>
      </c>
      <c r="J88" s="47">
        <v>0</v>
      </c>
      <c r="K88" s="47">
        <v>0</v>
      </c>
      <c r="L88" s="47">
        <v>1</v>
      </c>
      <c r="M88" s="47">
        <v>24321</v>
      </c>
      <c r="N88" s="47">
        <v>25866</v>
      </c>
      <c r="O88" s="47">
        <v>113.708</v>
      </c>
      <c r="P88" s="47">
        <v>258.43680000000001</v>
      </c>
      <c r="Q88" s="47">
        <v>3</v>
      </c>
      <c r="R88" s="47">
        <v>333</v>
      </c>
      <c r="S88" s="47">
        <v>29</v>
      </c>
      <c r="T88" s="47">
        <v>3000</v>
      </c>
      <c r="U88" s="47">
        <v>240</v>
      </c>
      <c r="V88" s="47">
        <v>40.200000000000003</v>
      </c>
      <c r="W88" s="47">
        <v>-299.0401</v>
      </c>
      <c r="X88" s="47">
        <v>-102.8973</v>
      </c>
      <c r="Y88" s="47">
        <v>1667</v>
      </c>
      <c r="Z88" s="47">
        <v>5</v>
      </c>
      <c r="AA88" s="47">
        <v>2946.2379000000001</v>
      </c>
      <c r="AB88" s="47">
        <v>1795.1229000000001</v>
      </c>
      <c r="AC88" s="57">
        <v>-305.10000000000002</v>
      </c>
      <c r="AD88" s="47">
        <v>40.852800000000002</v>
      </c>
      <c r="AE88" s="47">
        <v>23</v>
      </c>
      <c r="AF88" s="47">
        <v>5</v>
      </c>
      <c r="AG88" s="47">
        <v>48</v>
      </c>
      <c r="AH88" s="47">
        <v>12</v>
      </c>
      <c r="AI88" s="47">
        <v>22</v>
      </c>
      <c r="AJ88" s="47">
        <v>84</v>
      </c>
      <c r="AK88" s="47">
        <v>45</v>
      </c>
      <c r="AL88" s="47">
        <v>7</v>
      </c>
      <c r="AM88" s="47">
        <v>1</v>
      </c>
      <c r="AN88" s="47">
        <v>1</v>
      </c>
      <c r="AO88" s="47">
        <v>1100.4000000000001</v>
      </c>
      <c r="AP88" s="40" t="s">
        <v>159</v>
      </c>
      <c r="AQ88" s="40" t="s">
        <v>159</v>
      </c>
      <c r="AR88" s="40" t="s">
        <v>159</v>
      </c>
      <c r="AS88" s="40" t="s">
        <v>159</v>
      </c>
      <c r="AT88" s="40" t="s">
        <v>159</v>
      </c>
      <c r="AU88" s="40" t="s">
        <v>159</v>
      </c>
      <c r="AV88" s="40" t="s">
        <v>159</v>
      </c>
      <c r="AW88" s="40" t="s">
        <v>159</v>
      </c>
      <c r="AX88" s="40" t="s">
        <v>159</v>
      </c>
      <c r="AY88" s="40" t="s">
        <v>159</v>
      </c>
      <c r="AZ88" s="40" t="s">
        <v>159</v>
      </c>
      <c r="BA88" s="40" t="s">
        <v>159</v>
      </c>
      <c r="BB88" s="40" t="s">
        <v>159</v>
      </c>
      <c r="BC88" s="40" t="s">
        <v>159</v>
      </c>
      <c r="BD88" s="40" t="s">
        <v>159</v>
      </c>
      <c r="BE88" s="40" t="s">
        <v>159</v>
      </c>
      <c r="BF88" s="40" t="s">
        <v>159</v>
      </c>
      <c r="BG88" s="40" t="s">
        <v>159</v>
      </c>
      <c r="BH88" s="40" t="s">
        <v>159</v>
      </c>
      <c r="BI88" s="40" t="s">
        <v>159</v>
      </c>
      <c r="BJ88" s="47">
        <v>1100.4000000000001</v>
      </c>
      <c r="BK88" s="47">
        <v>2946.2379000000001</v>
      </c>
      <c r="BL88" s="47">
        <v>-305.10000000000002</v>
      </c>
      <c r="BM88" s="47">
        <v>-305.10000000000002</v>
      </c>
      <c r="BN88" s="47">
        <v>1</v>
      </c>
      <c r="BO88" s="47">
        <v>0</v>
      </c>
      <c r="BP88" s="47">
        <v>1</v>
      </c>
      <c r="BQ88" s="47">
        <v>0</v>
      </c>
      <c r="BR88" s="47">
        <v>1</v>
      </c>
      <c r="BS88" s="47">
        <v>0</v>
      </c>
      <c r="BT88" s="47">
        <v>1</v>
      </c>
      <c r="BU88" s="68" t="s">
        <v>925</v>
      </c>
      <c r="BV88" s="68" t="s">
        <v>925</v>
      </c>
      <c r="BW88" s="68" t="s">
        <v>925</v>
      </c>
      <c r="BX88" s="68">
        <v>5</v>
      </c>
      <c r="BY88" s="68">
        <v>22</v>
      </c>
      <c r="BZ88" s="68">
        <v>12</v>
      </c>
      <c r="CA88" s="68">
        <v>1</v>
      </c>
      <c r="CB88" s="47">
        <v>1</v>
      </c>
      <c r="CC88" s="47">
        <v>0</v>
      </c>
      <c r="CD88" s="51" t="s">
        <v>159</v>
      </c>
      <c r="CE88" s="40"/>
      <c r="CF88" s="41"/>
    </row>
    <row r="89" spans="1:84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</row>
    <row r="90" spans="1:84" x14ac:dyDescent="0.25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</row>
    <row r="91" spans="1:84" x14ac:dyDescent="0.25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</row>
    <row r="92" spans="1:84" x14ac:dyDescent="0.25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</row>
    <row r="93" spans="1:84" x14ac:dyDescent="0.25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</row>
    <row r="94" spans="1:84" x14ac:dyDescent="0.25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</row>
    <row r="95" spans="1:84" x14ac:dyDescent="0.25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</row>
    <row r="96" spans="1:84" x14ac:dyDescent="0.25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</row>
    <row r="97" spans="1:84" x14ac:dyDescent="0.25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</row>
    <row r="98" spans="1:84" x14ac:dyDescent="0.25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</row>
  </sheetData>
  <mergeCells count="2">
    <mergeCell ref="A1:B1"/>
    <mergeCell ref="A2:B2"/>
  </mergeCells>
  <hyperlinks>
    <hyperlink ref="A1" location="'DigColPs_Per2'!A1" display="'DigColPs_Per2'!A1"/>
  </hyperlink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J3"/>
  <sheetViews>
    <sheetView workbookViewId="0"/>
  </sheetViews>
  <sheetFormatPr defaultRowHeight="15" x14ac:dyDescent="0.25"/>
  <cols>
    <col min="1" max="1" width="12.7109375" bestFit="1" customWidth="1"/>
    <col min="2" max="2" width="24.28515625" bestFit="1" customWidth="1"/>
    <col min="3" max="3" width="66.7109375" customWidth="1"/>
    <col min="4" max="4" width="43.85546875" customWidth="1"/>
    <col min="5" max="5" width="83.7109375" customWidth="1"/>
    <col min="6" max="6" width="49" customWidth="1"/>
    <col min="7" max="7" width="69.140625" customWidth="1"/>
    <col min="8" max="8" width="34" customWidth="1"/>
    <col min="9" max="9" width="76" customWidth="1"/>
    <col min="10" max="10" width="36.85546875" customWidth="1"/>
  </cols>
  <sheetData>
    <row r="1" spans="1:10" x14ac:dyDescent="0.25">
      <c r="A1" s="106" t="s">
        <v>562</v>
      </c>
      <c r="B1" s="107" t="s">
        <v>464</v>
      </c>
      <c r="C1" s="106" t="s">
        <v>465</v>
      </c>
      <c r="D1" s="106" t="s">
        <v>466</v>
      </c>
      <c r="E1" s="106" t="s">
        <v>467</v>
      </c>
      <c r="F1" s="106" t="s">
        <v>468</v>
      </c>
      <c r="G1" s="106" t="s">
        <v>469</v>
      </c>
      <c r="H1" s="106" t="s">
        <v>470</v>
      </c>
      <c r="I1" s="106" t="s">
        <v>471</v>
      </c>
      <c r="J1" s="106" t="s">
        <v>472</v>
      </c>
    </row>
    <row r="2" spans="1:10" s="108" customFormat="1" ht="70.5" customHeight="1" x14ac:dyDescent="0.25">
      <c r="A2" s="234">
        <v>13520</v>
      </c>
      <c r="B2" s="235" t="s">
        <v>513</v>
      </c>
      <c r="C2" s="236" t="s">
        <v>549</v>
      </c>
      <c r="D2" s="236" t="s">
        <v>552</v>
      </c>
      <c r="E2" s="236" t="s">
        <v>550</v>
      </c>
      <c r="F2" s="236" t="s">
        <v>553</v>
      </c>
      <c r="G2" s="236" t="s">
        <v>512</v>
      </c>
      <c r="H2" s="236" t="s">
        <v>554</v>
      </c>
      <c r="I2" s="236" t="s">
        <v>551</v>
      </c>
      <c r="J2" s="236" t="s">
        <v>555</v>
      </c>
    </row>
    <row r="3" spans="1:10" ht="85.5" customHeight="1" x14ac:dyDescent="0.25">
      <c r="A3" s="234">
        <v>4102</v>
      </c>
      <c r="B3" s="235" t="s">
        <v>560</v>
      </c>
      <c r="C3" s="236" t="s">
        <v>887</v>
      </c>
      <c r="D3" s="236" t="s">
        <v>888</v>
      </c>
      <c r="E3" s="236" t="s">
        <v>889</v>
      </c>
      <c r="F3" s="236" t="s">
        <v>890</v>
      </c>
      <c r="G3" s="236" t="s">
        <v>891</v>
      </c>
      <c r="H3" s="236" t="s">
        <v>892</v>
      </c>
      <c r="I3" s="236" t="s">
        <v>893</v>
      </c>
      <c r="J3" s="236" t="s">
        <v>945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10"/>
  <sheetViews>
    <sheetView workbookViewId="0"/>
  </sheetViews>
  <sheetFormatPr defaultRowHeight="15" x14ac:dyDescent="0.25"/>
  <cols>
    <col min="1" max="1" width="28" style="168" bestFit="1" customWidth="1"/>
    <col min="2" max="2" width="9.7109375" style="168" bestFit="1" customWidth="1"/>
    <col min="3" max="3" width="20.42578125" style="168" customWidth="1"/>
    <col min="4" max="4" width="5" style="168" bestFit="1" customWidth="1"/>
    <col min="5" max="5" width="7.140625" style="168" bestFit="1" customWidth="1"/>
    <col min="6" max="6" width="3.7109375" style="168" bestFit="1" customWidth="1"/>
    <col min="7" max="7" width="13.7109375" style="168" bestFit="1" customWidth="1"/>
    <col min="8" max="8" width="9.5703125" style="168" bestFit="1" customWidth="1"/>
    <col min="9" max="9" width="28.140625" style="168" customWidth="1"/>
    <col min="10" max="16384" width="9.140625" style="168"/>
  </cols>
  <sheetData>
    <row r="1" spans="1:9" customFormat="1" x14ac:dyDescent="0.25">
      <c r="A1" s="131" t="s">
        <v>514</v>
      </c>
      <c r="B1" s="132">
        <f>DATE(2015,7,15)</f>
        <v>42200</v>
      </c>
      <c r="C1" s="129"/>
      <c r="D1" s="129"/>
      <c r="E1" s="129"/>
      <c r="F1" s="129"/>
      <c r="G1" s="129"/>
      <c r="H1" s="129"/>
      <c r="I1" s="129"/>
    </row>
    <row r="2" spans="1:9" customFormat="1" x14ac:dyDescent="0.25">
      <c r="A2" s="130" t="s">
        <v>515</v>
      </c>
      <c r="B2" s="133" t="s">
        <v>516</v>
      </c>
      <c r="C2" s="130" t="s">
        <v>517</v>
      </c>
      <c r="D2" s="284" t="s">
        <v>1005</v>
      </c>
      <c r="E2" s="284"/>
      <c r="F2" s="284"/>
      <c r="G2" s="284"/>
      <c r="H2" s="284"/>
      <c r="I2" s="284"/>
    </row>
    <row r="3" spans="1:9" customFormat="1" x14ac:dyDescent="0.25">
      <c r="A3" s="130" t="s">
        <v>518</v>
      </c>
      <c r="B3" s="133" t="s">
        <v>560</v>
      </c>
      <c r="C3" s="130" t="s">
        <v>519</v>
      </c>
      <c r="D3" s="284" t="s">
        <v>884</v>
      </c>
      <c r="E3" s="284"/>
      <c r="F3" s="284"/>
      <c r="G3" s="284"/>
      <c r="H3" s="284"/>
      <c r="I3" s="284"/>
    </row>
    <row r="4" spans="1:9" customFormat="1" x14ac:dyDescent="0.25">
      <c r="A4" s="285" t="s">
        <v>527</v>
      </c>
      <c r="B4" s="134" t="s">
        <v>520</v>
      </c>
      <c r="C4" s="134" t="s">
        <v>521</v>
      </c>
      <c r="D4" s="134" t="s">
        <v>522</v>
      </c>
      <c r="E4" s="134" t="s">
        <v>523</v>
      </c>
      <c r="F4" s="135" t="s">
        <v>561</v>
      </c>
      <c r="G4" s="135" t="s">
        <v>524</v>
      </c>
      <c r="H4" s="135" t="s">
        <v>525</v>
      </c>
      <c r="I4" s="135" t="s">
        <v>526</v>
      </c>
    </row>
    <row r="5" spans="1:9" customFormat="1" x14ac:dyDescent="0.25">
      <c r="A5" s="285"/>
      <c r="B5" s="136">
        <v>100</v>
      </c>
      <c r="C5" s="135">
        <v>100</v>
      </c>
      <c r="D5" s="136">
        <v>99.45</v>
      </c>
      <c r="E5" s="136">
        <v>99.45</v>
      </c>
      <c r="F5" s="137" t="s">
        <v>529</v>
      </c>
      <c r="G5" s="135">
        <v>535</v>
      </c>
      <c r="H5" s="135">
        <v>535</v>
      </c>
      <c r="I5" s="135">
        <v>0</v>
      </c>
    </row>
    <row r="6" spans="1:9" customFormat="1" ht="27.75" customHeight="1" x14ac:dyDescent="0.25">
      <c r="A6" s="138" t="s">
        <v>528</v>
      </c>
      <c r="B6" s="283" t="s">
        <v>938</v>
      </c>
      <c r="C6" s="283"/>
      <c r="D6" s="283"/>
      <c r="E6" s="283"/>
      <c r="F6" s="283"/>
      <c r="G6" s="283"/>
      <c r="H6" s="283"/>
      <c r="I6" s="283"/>
    </row>
    <row r="7" spans="1:9" customFormat="1" x14ac:dyDescent="0.25">
      <c r="A7" s="138" t="s">
        <v>530</v>
      </c>
      <c r="B7" s="283" t="s">
        <v>937</v>
      </c>
      <c r="C7" s="283"/>
      <c r="D7" s="283"/>
      <c r="E7" s="283"/>
      <c r="F7" s="283"/>
      <c r="G7" s="283"/>
      <c r="H7" s="283"/>
      <c r="I7" s="283"/>
    </row>
    <row r="8" spans="1:9" customFormat="1" x14ac:dyDescent="0.25">
      <c r="A8" s="138" t="s">
        <v>531</v>
      </c>
      <c r="B8" s="283" t="s">
        <v>529</v>
      </c>
      <c r="C8" s="283"/>
      <c r="D8" s="283"/>
      <c r="E8" s="283"/>
      <c r="F8" s="283"/>
      <c r="G8" s="283"/>
      <c r="H8" s="283"/>
      <c r="I8" s="283"/>
    </row>
    <row r="9" spans="1:9" customFormat="1" x14ac:dyDescent="0.25">
      <c r="A9" s="138" t="s">
        <v>532</v>
      </c>
      <c r="B9" s="283" t="s">
        <v>529</v>
      </c>
      <c r="C9" s="283"/>
      <c r="D9" s="283"/>
      <c r="E9" s="283"/>
      <c r="F9" s="283"/>
      <c r="G9" s="283"/>
      <c r="H9" s="283"/>
      <c r="I9" s="283"/>
    </row>
    <row r="10" spans="1:9" customFormat="1" ht="57.75" customHeight="1" x14ac:dyDescent="0.25">
      <c r="A10" s="138" t="s">
        <v>533</v>
      </c>
      <c r="B10" s="283" t="s">
        <v>1004</v>
      </c>
      <c r="C10" s="283"/>
      <c r="D10" s="283"/>
      <c r="E10" s="283"/>
      <c r="F10" s="283" t="s">
        <v>529</v>
      </c>
      <c r="G10" s="283"/>
      <c r="H10" s="283"/>
      <c r="I10" s="283"/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B2:G20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18.7109375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175" t="s">
        <v>534</v>
      </c>
      <c r="C3" s="176" t="s">
        <v>516</v>
      </c>
      <c r="F3" s="139" t="s">
        <v>535</v>
      </c>
      <c r="G3" s="169" t="s">
        <v>1005</v>
      </c>
    </row>
    <row r="4" spans="2:7" x14ac:dyDescent="0.25">
      <c r="B4" s="286" t="s">
        <v>536</v>
      </c>
      <c r="C4" s="177" t="s">
        <v>537</v>
      </c>
      <c r="D4" s="173">
        <v>12</v>
      </c>
    </row>
    <row r="5" spans="2:7" ht="15.75" thickBot="1" x14ac:dyDescent="0.3">
      <c r="B5" s="287"/>
      <c r="C5" s="178" t="s">
        <v>538</v>
      </c>
      <c r="D5" s="174">
        <v>4767</v>
      </c>
    </row>
    <row r="6" spans="2:7" ht="15.75" thickBot="1" x14ac:dyDescent="0.3">
      <c r="B6" s="142"/>
      <c r="C6" s="142"/>
      <c r="D6" s="142"/>
    </row>
    <row r="7" spans="2:7" x14ac:dyDescent="0.25">
      <c r="B7" s="143" t="s">
        <v>539</v>
      </c>
      <c r="C7" s="140">
        <v>20</v>
      </c>
    </row>
    <row r="8" spans="2:7" ht="15.75" thickBot="1" x14ac:dyDescent="0.3">
      <c r="B8" s="144" t="s">
        <v>540</v>
      </c>
      <c r="C8" s="145">
        <v>3</v>
      </c>
    </row>
    <row r="9" spans="2:7" x14ac:dyDescent="0.25">
      <c r="B9" s="144" t="s">
        <v>541</v>
      </c>
      <c r="C9" s="145"/>
      <c r="D9" s="173" t="s">
        <v>242</v>
      </c>
      <c r="E9" s="173" t="s">
        <v>270</v>
      </c>
      <c r="F9" s="173" t="s">
        <v>617</v>
      </c>
    </row>
    <row r="10" spans="2:7" ht="15.75" thickBot="1" x14ac:dyDescent="0.3">
      <c r="B10" s="146" t="s">
        <v>542</v>
      </c>
      <c r="C10" s="141"/>
      <c r="D10" s="174" t="s">
        <v>543</v>
      </c>
      <c r="E10" s="174" t="s">
        <v>544</v>
      </c>
      <c r="F10" s="174" t="s">
        <v>1003</v>
      </c>
      <c r="G10" s="3"/>
    </row>
    <row r="11" spans="2:7" x14ac:dyDescent="0.25">
      <c r="G11" s="84"/>
    </row>
    <row r="12" spans="2:7" ht="15.75" thickBot="1" x14ac:dyDescent="0.3">
      <c r="G12" s="84"/>
    </row>
    <row r="13" spans="2:7" x14ac:dyDescent="0.25">
      <c r="B13" s="147"/>
      <c r="C13" s="148" t="s">
        <v>545</v>
      </c>
      <c r="D13" s="148" t="s">
        <v>242</v>
      </c>
      <c r="E13" s="148" t="s">
        <v>270</v>
      </c>
      <c r="F13" s="170" t="s">
        <v>617</v>
      </c>
    </row>
    <row r="14" spans="2:7" x14ac:dyDescent="0.25">
      <c r="B14" s="144" t="s">
        <v>546</v>
      </c>
      <c r="C14" s="149">
        <v>4482</v>
      </c>
      <c r="D14" s="150">
        <v>1118</v>
      </c>
      <c r="E14" s="150">
        <v>2140</v>
      </c>
      <c r="F14" s="171">
        <v>42</v>
      </c>
    </row>
    <row r="15" spans="2:7" x14ac:dyDescent="0.25">
      <c r="B15" s="144" t="s">
        <v>547</v>
      </c>
      <c r="C15" s="149">
        <v>28</v>
      </c>
      <c r="D15" s="150">
        <v>28</v>
      </c>
      <c r="E15" s="150">
        <v>28</v>
      </c>
      <c r="F15" s="171">
        <v>28</v>
      </c>
    </row>
    <row r="16" spans="2:7" ht="15.75" thickBot="1" x14ac:dyDescent="0.3">
      <c r="B16" s="146" t="s">
        <v>548</v>
      </c>
      <c r="C16" s="151">
        <v>128</v>
      </c>
      <c r="D16" s="152">
        <v>76</v>
      </c>
      <c r="E16" s="152">
        <v>74</v>
      </c>
      <c r="F16" s="172">
        <v>10</v>
      </c>
    </row>
    <row r="17" spans="2:6" ht="15.75" thickBot="1" x14ac:dyDescent="0.3">
      <c r="D17" s="153"/>
    </row>
    <row r="18" spans="2:6" x14ac:dyDescent="0.25">
      <c r="B18" s="286" t="s">
        <v>536</v>
      </c>
      <c r="C18" s="179" t="s">
        <v>537</v>
      </c>
      <c r="D18" s="154">
        <v>3624</v>
      </c>
      <c r="E18" s="154">
        <v>1113</v>
      </c>
      <c r="F18" s="140">
        <v>514</v>
      </c>
    </row>
    <row r="19" spans="2:6" ht="15.75" thickBot="1" x14ac:dyDescent="0.3">
      <c r="B19" s="287"/>
      <c r="C19" s="180" t="s">
        <v>538</v>
      </c>
      <c r="D19" s="155">
        <v>4767</v>
      </c>
      <c r="E19" s="155">
        <v>3936</v>
      </c>
      <c r="F19" s="141">
        <v>559</v>
      </c>
    </row>
    <row r="20" spans="2:6" s="157" customFormat="1" x14ac:dyDescent="0.25">
      <c r="B20" s="156"/>
      <c r="D20" s="158"/>
      <c r="E20" s="156"/>
      <c r="F20" s="156"/>
    </row>
  </sheetData>
  <mergeCells count="2">
    <mergeCell ref="B4:B5"/>
    <mergeCell ref="B18:B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83</vt:i4>
      </vt:variant>
      <vt:variant>
        <vt:lpstr>Named Ranges</vt:lpstr>
      </vt:variant>
      <vt:variant>
        <vt:i4>3</vt:i4>
      </vt:variant>
    </vt:vector>
  </HeadingPairs>
  <TitlesOfParts>
    <vt:vector size="86" baseType="lpstr">
      <vt:lpstr>Unit Test Information</vt:lpstr>
      <vt:lpstr>Embedded Files</vt:lpstr>
      <vt:lpstr>Module Definitions</vt:lpstr>
      <vt:lpstr>Variable Range</vt:lpstr>
      <vt:lpstr>DigColPs_Init1</vt:lpstr>
      <vt:lpstr>DigColPs_Init1() M</vt:lpstr>
      <vt:lpstr>DigColPs_Init1() P</vt:lpstr>
      <vt:lpstr>DigColPs_Init1() R</vt:lpstr>
      <vt:lpstr>ConstrainOneRev</vt:lpstr>
      <vt:lpstr>ConstrainOneRev() M</vt:lpstr>
      <vt:lpstr>ConstrainOneRev() P</vt:lpstr>
      <vt:lpstr>ConstrainOneRev() R</vt:lpstr>
      <vt:lpstr>ComputeRoughTurns</vt:lpstr>
      <vt:lpstr>ComputeRoughTurns() M</vt:lpstr>
      <vt:lpstr>ComputeRoughTurns() P</vt:lpstr>
      <vt:lpstr>ComputeRoughTurns() R</vt:lpstr>
      <vt:lpstr>OddParityFault</vt:lpstr>
      <vt:lpstr>OddParityFault() M</vt:lpstr>
      <vt:lpstr>OddParityFault() P</vt:lpstr>
      <vt:lpstr>OddParityFault() R</vt:lpstr>
      <vt:lpstr>DigColPs_SCom_CustSetTrim</vt:lpstr>
      <vt:lpstr>DigColPs_SCom_CustSetTrim() M</vt:lpstr>
      <vt:lpstr>DigColPs_SCom_CustSetTrim() R</vt:lpstr>
      <vt:lpstr>DigColPs_SCom_CustSetTrim() P</vt:lpstr>
      <vt:lpstr>VernierLookup</vt:lpstr>
      <vt:lpstr>VernierLookup() M</vt:lpstr>
      <vt:lpstr>VernierLookup() R</vt:lpstr>
      <vt:lpstr>VernierLookup() P</vt:lpstr>
      <vt:lpstr>DigColPs_Per1</vt:lpstr>
      <vt:lpstr>DigColPs_Per1() M</vt:lpstr>
      <vt:lpstr>DigColPs_Per1() P</vt:lpstr>
      <vt:lpstr>DigColPs_Per1() R</vt:lpstr>
      <vt:lpstr>DiagnosticThreshold</vt:lpstr>
      <vt:lpstr>DiagnosticThreshold() M</vt:lpstr>
      <vt:lpstr>DiagnosticThreshold() P</vt:lpstr>
      <vt:lpstr>DiagnosticThreshold() R</vt:lpstr>
      <vt:lpstr>DigColPs_SCom_CustClrTrim</vt:lpstr>
      <vt:lpstr>DigColPs_SCom_CustClrTrim() R</vt:lpstr>
      <vt:lpstr>DigColPs_SCom_NxtSetTrim</vt:lpstr>
      <vt:lpstr>DigColPs_SCom_NxtSetTrim() M</vt:lpstr>
      <vt:lpstr>DigColPs_SCom_NxtSetTrim() P</vt:lpstr>
      <vt:lpstr>DigColPs_SCom_NxtSetTrim() R</vt:lpstr>
      <vt:lpstr>DigColPs_SCom_NxtClrTrim</vt:lpstr>
      <vt:lpstr>DigColPs_SCom_NxtClrTrim() R</vt:lpstr>
      <vt:lpstr>DigColPs_Per3</vt:lpstr>
      <vt:lpstr>DigColPs_Per3() M</vt:lpstr>
      <vt:lpstr>DigColPs_Per3() R</vt:lpstr>
      <vt:lpstr>DigColPs_Per3() P</vt:lpstr>
      <vt:lpstr>ChkSkipStepError</vt:lpstr>
      <vt:lpstr>ChkSkipStepError() M</vt:lpstr>
      <vt:lpstr>ChkSkipStepError() R</vt:lpstr>
      <vt:lpstr>ChkSkipStepError() P</vt:lpstr>
      <vt:lpstr>ChkVernCorrlnError</vt:lpstr>
      <vt:lpstr>ChkVernCorrlnError() M</vt:lpstr>
      <vt:lpstr>ChkVernCorrlnError() P</vt:lpstr>
      <vt:lpstr>ChkVernCorrlnError() R</vt:lpstr>
      <vt:lpstr>VernCorrlnFltDiag</vt:lpstr>
      <vt:lpstr>VernCorrlnFltDiag() M</vt:lpstr>
      <vt:lpstr>VernCorrlnFltDiag() R</vt:lpstr>
      <vt:lpstr>VernCorrlnFltDiag() P</vt:lpstr>
      <vt:lpstr>SnsrFltDiag</vt:lpstr>
      <vt:lpstr>SnsrFltDiag() M</vt:lpstr>
      <vt:lpstr>SnsrFltDiag() P</vt:lpstr>
      <vt:lpstr>SnsrFltDiag() R</vt:lpstr>
      <vt:lpstr>I2CSnsrReInitMaxTry</vt:lpstr>
      <vt:lpstr>I2CSnsrReInitMaxTry() M</vt:lpstr>
      <vt:lpstr>I2CSnsrReInitMaxTry() P</vt:lpstr>
      <vt:lpstr>I2CSnsrReInitMaxTry() R</vt:lpstr>
      <vt:lpstr>I2CCommFltDiag</vt:lpstr>
      <vt:lpstr>I2CCommFltDiag() M</vt:lpstr>
      <vt:lpstr>I2CCommFltDiag() P</vt:lpstr>
      <vt:lpstr>I2CCommFltDiag() R</vt:lpstr>
      <vt:lpstr>I2CSnsrDataCheck</vt:lpstr>
      <vt:lpstr>I2CSnsrDataCheck() M</vt:lpstr>
      <vt:lpstr>I2CSnsrDataCheck() P</vt:lpstr>
      <vt:lpstr>I2CSnsrDataCheck() R</vt:lpstr>
      <vt:lpstr>DigColPs_Per2</vt:lpstr>
      <vt:lpstr>DigColPs_Per2() M</vt:lpstr>
      <vt:lpstr>DigColPs_Per2() P</vt:lpstr>
      <vt:lpstr>DigColPs_Per2() R</vt:lpstr>
      <vt:lpstr>Clarification Sheet</vt:lpstr>
      <vt:lpstr>Coverage_Analysis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2016-07-22T12:57:54Z</dcterms:modified>
</cp:coreProperties>
</file>