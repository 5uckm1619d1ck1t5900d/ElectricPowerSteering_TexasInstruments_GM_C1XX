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t Test Information" sheetId="2" r:id="rId1"/>
    <sheet name="Embedded Files" sheetId="28" r:id="rId2"/>
    <sheet name="Module Definitions" sheetId="3" r:id="rId3"/>
    <sheet name="SlewRateCalc" sheetId="5" r:id="rId4"/>
    <sheet name="SlewRateCalc() P" sheetId="20" r:id="rId5"/>
    <sheet name="SlewRateCalc() M" sheetId="8" r:id="rId6"/>
    <sheet name="SlewRateCalc() R" sheetId="7" r:id="rId7"/>
    <sheet name="PreviousStCalc" sheetId="10" r:id="rId8"/>
    <sheet name="PreviousStCalc() P" sheetId="14" r:id="rId9"/>
    <sheet name="PreviousStCalc() B" sheetId="13" r:id="rId10"/>
    <sheet name="PreviousStCalc() M" sheetId="12" r:id="rId11"/>
    <sheet name="StrtStop_Per1" sheetId="15" r:id="rId12"/>
    <sheet name="StrtStop_Per1() P" sheetId="22" r:id="rId13"/>
    <sheet name="StrtStop_Per1() R" sheetId="17" r:id="rId14"/>
    <sheet name="StrtStop_Per1() M" sheetId="21" r:id="rId15"/>
    <sheet name="StrtStop_Init1" sheetId="23" r:id="rId16"/>
    <sheet name="StrtStop_Init1() R" sheetId="24" r:id="rId17"/>
    <sheet name="Clarifications" sheetId="25" r:id="rId18"/>
    <sheet name="Coverage Analysis" sheetId="26" r:id="rId19"/>
    <sheet name="Metrics" sheetId="27" r:id="rId20"/>
  </sheets>
  <functionGroups builtInGroupCount="18"/>
  <externalReferences>
    <externalReference r:id="rId21"/>
  </externalReferences>
  <definedNames>
    <definedName name="StubFunctionNameList" localSheetId="17">'[1]Module Definitions'!$K$12:$K$23</definedName>
    <definedName name="StubFunctionNameList" localSheetId="18">'[1]Module Definitions'!$K$12:$K$23</definedName>
    <definedName name="StubFunctionNameList" localSheetId="19">'[1]Module Definitions'!$K$12:$K$23</definedName>
    <definedName name="StubFunctionNameList">'Module Definitions'!$K$12:$K$14</definedName>
    <definedName name="TestFunctionNameList" localSheetId="17">'[1]Module Definitions'!$B$12:$B$19</definedName>
    <definedName name="TestFunctionNameList" localSheetId="18">'[1]Module Definitions'!$B$12:$B$19</definedName>
    <definedName name="TestFunctionNameList" localSheetId="19">'[1]Module Definitions'!$B$12:$B$19</definedName>
    <definedName name="TestFunctionNameList">'Module Definitions'!$B$12:$B$16</definedName>
    <definedName name="VariableNameList" localSheetId="17">'[1]Module Definitions'!$G$13:$G$118</definedName>
    <definedName name="VariableNameList" localSheetId="18">'[1]Module Definitions'!$G$13:$G$118</definedName>
    <definedName name="VariableNameList" localSheetId="19">'[1]Module Definitions'!$G$13:$G$118</definedName>
    <definedName name="VariableNameList">'Module Definitions'!$G$13:$G$51</definedName>
  </definedNames>
  <calcPr calcId="152511"/>
</workbook>
</file>

<file path=xl/calcChain.xml><?xml version="1.0" encoding="utf-8"?>
<calcChain xmlns="http://schemas.openxmlformats.org/spreadsheetml/2006/main">
  <c r="B1" i="26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<sst xmlns="http://schemas.openxmlformats.org/spreadsheetml/2006/main" count="2852" uniqueCount="354">
  <si>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</si>
  <si>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</si>
  <si>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</si>
  <si>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</si>
  <si>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</si>
  <si>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</si>
  <si>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</si>
  <si>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</si>
  <si>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</si>
  <si>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</si>
  <si>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</si>
  <si>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</si>
  <si>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</si>
  <si>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</si>
  <si>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</si>
  <si>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</si>
  <si>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</si>
  <si>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</si>
  <si>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</si>
  <si>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</si>
  <si>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</si>
  <si>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</si>
  <si>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</si>
  <si>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</si>
  <si>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</si>
  <si>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</si>
  <si>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</si>
  <si>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</si>
  <si>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</si>
  <si>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</si>
  <si>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</si>
  <si>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</si>
  <si>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</si>
  <si>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</si>
  <si>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</si>
  <si>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</si>
  <si>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</si>
  <si>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</si>
  <si>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</si>
  <si>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</si>
  <si>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</si>
  <si>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</si>
  <si>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</si>
  <si>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</si>
  <si>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</si>
  <si>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</si>
  <si>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</si>
  <si>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</si>
  <si>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</si>
  <si>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</si>
  <si>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Imran Desai</t>
  </si>
  <si>
    <t>Ap_GMStrtStop.c</t>
  </si>
  <si>
    <t>StrtStop_Init1</t>
  </si>
  <si>
    <t>StrtStop_Per1</t>
  </si>
  <si>
    <t>SlewRateCalc</t>
  </si>
  <si>
    <t>float</t>
  </si>
  <si>
    <t>PreviousStCalc</t>
  </si>
  <si>
    <t>void</t>
  </si>
  <si>
    <t>StrtStop_StOpMode_Cnt_M_enum</t>
  </si>
  <si>
    <t>SS_State_enum</t>
  </si>
  <si>
    <t>StrtStop_StOpModePrev_Cnt_M_enum</t>
  </si>
  <si>
    <t>StrtStop_StOpModePrevPrev_Cnt_M_enum</t>
  </si>
  <si>
    <t>StrtStop_StopModeTimer1_mS_M_u32</t>
  </si>
  <si>
    <t>uint32</t>
  </si>
  <si>
    <t>StrtStop_StopModeTimer2_mS_M_u32</t>
  </si>
  <si>
    <t>StrtStop_SSSlewRatePrev_UlspS_M_f32</t>
  </si>
  <si>
    <t>StrtStop_SSScale_Uls_M_f32</t>
  </si>
  <si>
    <t>G</t>
  </si>
  <si>
    <t>APAState_State_enum</t>
  </si>
  <si>
    <t>APA_State_enum</t>
  </si>
  <si>
    <t>EngSpd_Rpm_f32</t>
  </si>
  <si>
    <t>HandwheelVelocity_HwRadpS_f32</t>
  </si>
  <si>
    <t>HwTorque_HwNm_f32</t>
  </si>
  <si>
    <t>SS12VFault_Cnt_lgc</t>
  </si>
  <si>
    <t>VehicleSpeed_Kph_f32</t>
  </si>
  <si>
    <t>Boolean</t>
  </si>
  <si>
    <t>SSScale_Uls_f32</t>
  </si>
  <si>
    <t>SSSlew_UlspS_f32</t>
  </si>
  <si>
    <t>SSState_State_enum</t>
  </si>
  <si>
    <t>k_AlgEnable_Cnt_lgc</t>
  </si>
  <si>
    <t>k_Mode1EngTransThresh_Rpm_f32</t>
  </si>
  <si>
    <t>k_Mode1VehSpdTransThresh_Kph_f32</t>
  </si>
  <si>
    <t>k_Mode1AssistDD_Uls_f32</t>
  </si>
  <si>
    <t>k_NormalModeEngTransThresh_Rpm_f32</t>
  </si>
  <si>
    <t>DtrmnElapsedTime_mS_u32</t>
  </si>
  <si>
    <t>GetSystemTime_mS_u32</t>
  </si>
  <si>
    <t>k_StopMode1VehSpdTransThres_Kph_f32</t>
  </si>
  <si>
    <t>k_StopMode1HwVelTransThresh_HwDegpS_f32</t>
  </si>
  <si>
    <t>k_StopMode1HwTrqTransThresh_HwNm_f32</t>
  </si>
  <si>
    <t>k_StopModeAssistDD_Uls_f32</t>
  </si>
  <si>
    <t>k_Mode2VehSpdTransThresh_Kph_f32</t>
  </si>
  <si>
    <t>k_Mode2AssistDD_Uls_f32</t>
  </si>
  <si>
    <t>k_NormalModeVehSpdTransThresh_Kph_f32</t>
  </si>
  <si>
    <t>k_StopMode2VehSpdTransThresh_Kph_f32</t>
  </si>
  <si>
    <t>k_StopMode2HwVelTransThresh_HwDegpS_f32</t>
  </si>
  <si>
    <t>k_StopMode2HwTrqTransThresh_HwNm_f32</t>
  </si>
  <si>
    <t>k_StopMode2Timer_Sec_u16</t>
  </si>
  <si>
    <t>k_Mode1AssistSlew_UlspS_f32</t>
  </si>
  <si>
    <t>k_FltRspRampDnRt_UlspS_f32</t>
  </si>
  <si>
    <t>k_NormalModeAssistSlew_UlspS_f32</t>
  </si>
  <si>
    <t>k_StopMode1AssistSlew_UlspS_f32</t>
  </si>
  <si>
    <t>k_Mode2AssistSlew_UlspS_f32</t>
  </si>
  <si>
    <t>k_StopMode2AssistSlew_UlspS_f32</t>
  </si>
  <si>
    <t>M</t>
  </si>
  <si>
    <t>uint16</t>
  </si>
  <si>
    <t>(void)</t>
  </si>
  <si>
    <t>k_StopMode1Timer_Sec_u16</t>
  </si>
  <si>
    <t>B</t>
  </si>
  <si>
    <t>Vector Number</t>
  </si>
  <si>
    <t>Vector Description</t>
  </si>
  <si>
    <t>I/P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</si>
  <si>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</si>
  <si>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</si>
  <si>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</si>
  <si>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</si>
  <si>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</si>
  <si>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</si>
  <si>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</si>
  <si>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</si>
  <si>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</si>
  <si>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</si>
  <si>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StrtStop_StOpModePrev_Cnt_M_enum==&gt;SS_Normal</t>
  </si>
  <si>
    <t>StrtStop_StOpModePrev_Cnt_M_enum==&gt;SS_Intermediate1</t>
  </si>
  <si>
    <t>StrtStop_StOpModePrev_Cnt_M_enum==&gt;SS_Stop</t>
  </si>
  <si>
    <t>StrtStop_StOpModePrev_Cnt_M_enum==&gt;SS_Intermediate2</t>
  </si>
  <si>
    <t>StrtStop_StOpModePrev_Cnt_M_enum==&gt;SS_Fault</t>
  </si>
  <si>
    <t>StrtStop_StOpModePrev_Cnt_M_enum==&gt;SS_Disable</t>
  </si>
  <si>
    <t>StrtStop_StOpMode_Cnt_M_enum==&gt;SS_Normal</t>
  </si>
  <si>
    <t>StrtStop_StOpMode_Cnt_M_enum==&gt;SS_Intermediate1</t>
  </si>
  <si>
    <t>StrtStop_StOpMode_Cnt_M_enum==&gt;SS_Stop</t>
  </si>
  <si>
    <t>StrtStop_StOpMode_Cnt_M_enum==&gt;SS_Intermediate2</t>
  </si>
  <si>
    <t>StrtStop_StOpMode_Cnt_M_enum==&gt;SS_Fault</t>
  </si>
  <si>
    <t>StrtStop_StOpMode_Cnt_M_enum==&gt;SS_Disable</t>
  </si>
  <si>
    <t>k_Mode1AssistSlew_UlspS_f32==&gt;Min</t>
  </si>
  <si>
    <t>k_Mode1AssistSlew_UlspS_f32==&gt;Max</t>
  </si>
  <si>
    <t>k_NormalModeAssistSlew_UlspS_f32==&gt;Min</t>
  </si>
  <si>
    <t>k_NormalModeAssistSlew_UlspS_f32==&gt;Max</t>
  </si>
  <si>
    <t>k_StopMode1AssistSlew_UlspS_f32==&gt;Min</t>
  </si>
  <si>
    <t>k_StopMode1AssistSlew_UlspS_f32==&gt;Max</t>
  </si>
  <si>
    <t>k_FltRspRampDnRt_UlspS_f32==&gt;Min</t>
  </si>
  <si>
    <t>k_FltRspRampDnRt_UlspS_f32==&gt;Max</t>
  </si>
  <si>
    <t>k_Mode2AssistSlew_UlspS_f32==&gt;Min</t>
  </si>
  <si>
    <t>k_Mode2AssistSlew_UlspS_f32==&gt;Max</t>
  </si>
  <si>
    <t>k_StopMode2AssistSlew_UlspS_f32==&gt;Min</t>
  </si>
  <si>
    <t>k_StopMode2AssistSlew_UlspS_f32==&gt;Max</t>
  </si>
  <si>
    <t>SlewRateCalc() M</t>
  </si>
  <si>
    <t>P</t>
  </si>
  <si>
    <t>O/P</t>
  </si>
  <si>
    <t>Expected
O/P</t>
  </si>
  <si>
    <t>PreviousStCalc() M</t>
  </si>
  <si>
    <t>PreviousStCalc() B</t>
  </si>
  <si>
    <t>PreviousStCalc() P</t>
  </si>
  <si>
    <t>StrtStop_StOpModePrevPrev_Cnt_M_enum==&gt;SS_Intermediate1</t>
  </si>
  <si>
    <t>StrtStop_StOpModePrevPrev_Cnt_M_enum==&gt;SS_Stop</t>
  </si>
  <si>
    <t>StrtStop_StOpModePrevPrev_Cnt_M_enum==&gt;SS_Intermediate2</t>
  </si>
  <si>
    <t>StrtStop_StOpModePrevPrev_Cnt_M_enum==&gt;SS_Fault</t>
  </si>
  <si>
    <t>StrtStop_StOpModePrevPrev_Cnt_M_enum==&gt;SS_Disable</t>
  </si>
  <si>
    <t>StrtStop_StOpModePrevPrev_Cnt_M_enum==&gt;SS_Normal</t>
  </si>
  <si>
    <t>(StrtStop_StOpMode_Cnt_M_enum == StrtStop_StOpModePrev_Cnt_M_enum)=false</t>
  </si>
  <si>
    <t>(StrtStop_StOpMode_Cnt_M_enum == StrtStop_StOpModePrev_Cnt_M_enum)=true</t>
  </si>
  <si>
    <t>Shortest Execution Path
(StrtStop_StOpMode_Cnt_M_enum == StrtStop_StOpModePrev_Cnt_M_enum)=false</t>
  </si>
  <si>
    <t>Longest Execution Path
(StrtStop_StOpMode_Cnt_M_enum == StrtStop_StOpModePrev_Cnt_M_enum)=true</t>
  </si>
  <si>
    <t>Func Stub
Return Val</t>
  </si>
  <si>
    <t>Func Stub
Counter</t>
  </si>
  <si>
    <t>Expected
Stub Cnt</t>
  </si>
  <si>
    <t>EngSpd_Rpm_f32==&gt;Min</t>
  </si>
  <si>
    <t>EngSpd_Rpm_f32==&gt;Max</t>
  </si>
  <si>
    <t>EngSpd_Rpm_f32==&gt;Pos</t>
  </si>
  <si>
    <t>HandwheelVelocity_HwRadpS_f32==&gt;Min</t>
  </si>
  <si>
    <t>HandwheelVelocity_HwRadpS_f32==&gt;Max</t>
  </si>
  <si>
    <t>HandwheelVelocity_HwRadpS_f32==&gt;Pos</t>
  </si>
  <si>
    <t>HandwheelVelocity_HwRadpS_f32==&gt;Zero</t>
  </si>
  <si>
    <t>HandwheelVelocity_HwRadpS_f32==&gt;Neg</t>
  </si>
  <si>
    <t>HwTorque_HwNm_f32==&gt;Min</t>
  </si>
  <si>
    <t>HwTorque_HwNm_f32==&gt;Max</t>
  </si>
  <si>
    <t>HwTorque_HwNm_f32==&gt;Pos</t>
  </si>
  <si>
    <t>HwTorque_HwNm_f32==&gt;Zero</t>
  </si>
  <si>
    <t>HwTorque_HwNm_f32==&gt;Neg</t>
  </si>
  <si>
    <t>SS12VFault_Cnt_lgc==&gt;Min</t>
  </si>
  <si>
    <t>SS12VFault_Cnt_lgc==&gt;Max</t>
  </si>
  <si>
    <t>VehicleSpeed_Kph_f32==&gt;Min</t>
  </si>
  <si>
    <t>VehicleSpeed_Kph_f32==&gt;Max</t>
  </si>
  <si>
    <t>VehicleSpeed_Kph_f32==&gt;Pos</t>
  </si>
  <si>
    <t>StrtStop_SSSlewRatePrev_UlspS_M_f32==&gt;Min</t>
  </si>
  <si>
    <t>StrtStop_SSSlewRatePrev_UlspS_M_f32==&gt;Max</t>
  </si>
  <si>
    <t>StrtStop_SSSlewRatePrev_UlspS_M_f32==&gt;Pos</t>
  </si>
  <si>
    <t>k_AlgEnable_Cnt_lgc==&gt;Min</t>
  </si>
  <si>
    <t>k_Mode1EngTransThresh_Rpm_f32==&gt;Min</t>
  </si>
  <si>
    <t>k_Mode1EngTransThresh_Rpm_f32==&gt;Max</t>
  </si>
  <si>
    <t>k_Mode1VehSpdTransThresh_Kph_f32==&gt;Min</t>
  </si>
  <si>
    <t>k_Mode1VehSpdTransThresh_Kph_f32==&gt;Max</t>
  </si>
  <si>
    <t>k_Mode1AssistDD_Uls_f32==&gt;Min</t>
  </si>
  <si>
    <t>k_Mode1AssistDD_Uls_f32==&gt;Max</t>
  </si>
  <si>
    <t>k_NormalModeEngTransThresh_Rpm_f32==&gt;Min</t>
  </si>
  <si>
    <t>k_NormalModeEngTransThresh_Rpm_f32==&gt;Max</t>
  </si>
  <si>
    <t>k_StopMode1VehSpdTransThres_Kph_f32==&gt;Min</t>
  </si>
  <si>
    <t>k_StopMode1VehSpdTransThres_Kph_f32==&gt;Max</t>
  </si>
  <si>
    <t>k_StopMode1HwVelTransThresh_HwDegpS_f32==&gt;Min</t>
  </si>
  <si>
    <t>k_StopMode1HwVelTransThresh_HwDegpS_f32==&gt;Max</t>
  </si>
  <si>
    <t>k_StopMode1HwTrqTransThresh_HwNm_f32==&gt;Min</t>
  </si>
  <si>
    <t>k_StopMode1HwTrqTransThresh_HwNm_f32==&gt;Max</t>
  </si>
  <si>
    <t>k_StopModeAssistDD_Uls_f32==&gt;Min</t>
  </si>
  <si>
    <t>k_StopModeAssistDD_Uls_f32==&gt;Max</t>
  </si>
  <si>
    <t>k_Mode2VehSpdTransThresh_Kph_f32==&gt;Min</t>
  </si>
  <si>
    <t>k_Mode2VehSpdTransThresh_Kph_f32==&gt;Max</t>
  </si>
  <si>
    <t>k_Mode2AssistDD_Uls_f32==&gt;Min</t>
  </si>
  <si>
    <t>k_Mode2AssistDD_Uls_f32==&gt;Max</t>
  </si>
  <si>
    <t>k_NormalModeVehSpdTransThresh_Kph_f32==&gt;Min</t>
  </si>
  <si>
    <t>k_NormalModeVehSpdTransThresh_Kph_f32==&gt;Max</t>
  </si>
  <si>
    <t>k_StopMode2VehSpdTransThresh_Kph_f32==&gt;Min</t>
  </si>
  <si>
    <t>k_StopMode2VehSpdTransThresh_Kph_f32==&gt;Max</t>
  </si>
  <si>
    <t>k_StopMode2HwVelTransThresh_HwDegpS_f32==&gt;Min</t>
  </si>
  <si>
    <t>k_StopMode2HwVelTransThresh_HwDegpS_f32==&gt;Max</t>
  </si>
  <si>
    <t>k_StopMode2HwTrqTransThresh_HwNm_f32==&gt;Min</t>
  </si>
  <si>
    <t>k_StopMode2HwTrqTransThresh_HwNm_f32==&gt;Max</t>
  </si>
  <si>
    <t>k_StopMode2Timer_Sec_u16==&gt;Min</t>
  </si>
  <si>
    <t>k_StopMode2Timer_Sec_u16==&gt;Max</t>
  </si>
  <si>
    <t>k_StopMode1Timer_Sec_u16==&gt;Min</t>
  </si>
  <si>
    <t>k_StopMode1Timer_Sec_u16==&gt;Max</t>
  </si>
  <si>
    <t>GetSystemTime_mS_u32==&gt;Min</t>
  </si>
  <si>
    <t>GetSystemTime_mS_u32==&gt;Max</t>
  </si>
  <si>
    <t>GetSystemTime_mS_u32==&gt;Pos</t>
  </si>
  <si>
    <t>DtrmnElapsedTime_mS_u32==&gt;Min</t>
  </si>
  <si>
    <t>DtrmnElapsedTime_mS_u32==&gt;Max</t>
  </si>
  <si>
    <t>DtrmnElapsedTime_mS_u32==&gt;Pos</t>
  </si>
  <si>
    <t>APAState_State_enum==&gt;APA_TempInhibit</t>
  </si>
  <si>
    <t>APAState_State_enum==&gt;APA_AvailCntrl</t>
  </si>
  <si>
    <t>APAState_State_enum==&gt;APA_Active</t>
  </si>
  <si>
    <t>APAState_State_enum==&gt;APA_PermanentlyFailed</t>
  </si>
  <si>
    <t>APAState_State_enum==&gt;APA_ManufacturingDisable</t>
  </si>
  <si>
    <t>k_Mode1AssistDD_Uls_f32==&gt;Pos / Default</t>
  </si>
  <si>
    <t>k_Mode1EngTransThresh_Rpm_f32==&gt;Pos / Default</t>
  </si>
  <si>
    <t>k_Mode1VehSpdTransThresh_Kph_f32==&gt;Pos / Default</t>
  </si>
  <si>
    <t>k_AlgEnable_Cnt_lgc==&gt;Max / Default</t>
  </si>
  <si>
    <t>k_NormalModeEngTransThresh_Rpm_f32==&gt;Pos / Default</t>
  </si>
  <si>
    <t>k_StopMode1VehSpdTransThres_Kph_f32==&gt;Pos / Default</t>
  </si>
  <si>
    <t>k_StopMode1HwVelTransThresh_HwDegpS_f32==&gt;Pos / Default</t>
  </si>
  <si>
    <t>k_StopMode1HwTrqTransThresh_HwNm_f32==&gt;Pos / Default</t>
  </si>
  <si>
    <t>k_StopModeAssistDD_Uls_f32==&gt;Pos / Default</t>
  </si>
  <si>
    <t>k_StopMode1Timer_Sec_u16==&gt;Pos / Default</t>
  </si>
  <si>
    <t>k_Mode2VehSpdTransThresh_Kph_f32==&gt;Pos / Default</t>
  </si>
  <si>
    <t>k_Mode2AssistDD_Uls_f32==&gt;Pos / Default</t>
  </si>
  <si>
    <t>k_NormalModeVehSpdTransThresh_Kph_f32==&gt;Pos / Default</t>
  </si>
  <si>
    <t>k_StopMode2VehSpdTransThresh_Kph_f32==&gt;Pos / Default</t>
  </si>
  <si>
    <t>k_StopMode2HwVelTransThresh_HwDegpS_f32==&gt;Pos / Default</t>
  </si>
  <si>
    <t>k_StopMode2HwTrqTransThresh_HwNm_f32==&gt;Pos / Default</t>
  </si>
  <si>
    <t>k_StopMode2Timer_Sec_u16==&gt;Pos / Default</t>
  </si>
  <si>
    <t>k_Mode1AssistSlew_UlspS_f32==&gt;Pos / Default</t>
  </si>
  <si>
    <t>k_NormalModeAssistSlew_UlspS_f32==&gt;Pos/ Default</t>
  </si>
  <si>
    <t>k_StopMode1AssistSlew_UlspS_f32==&gt;Pos / Default</t>
  </si>
  <si>
    <t>k_FltRspRampDnRt_UlspS_f32==&gt;Pos / Default</t>
  </si>
  <si>
    <t>k_Mode2AssistSlew_UlspS_f32==&gt;Pos / Default</t>
  </si>
  <si>
    <t>k_StopMode2AssistSlew_UlspS_f32==&gt;Pos / Default</t>
  </si>
  <si>
    <t>R</t>
  </si>
  <si>
    <t>SlewRateCalc() R</t>
  </si>
  <si>
    <t>SlewRateCalc() P</t>
  </si>
  <si>
    <t>Shortest Executution Path:
switch (StrtStop_StOpModePrev_Cnt_M_enum)
Case default :</t>
  </si>
  <si>
    <t>Longest Executution Path:
switch (StrtStop_StOpModePrev_Cnt_M_enum)
case SS_Intermediate1 :
(StrtStop_StOpMode_Cnt_M_enum == SS_Normal)=false
(StrtStop_StOpMode_Cnt_M_enum == SS_Stop)=false</t>
  </si>
  <si>
    <t>switch (StrtStop_StOpModePrev_Cnt_M_enum):
case SS_Normal :
(StrtStop_StOpMode_Cnt_M_enum == SS_Intermediate1)=false</t>
  </si>
  <si>
    <t>switch (StrtStop_StOpModePrev_Cnt_M_enum)
case default :</t>
  </si>
  <si>
    <t xml:space="preserve">case SS_Intermediate1 :
(StrtStop_StOpMode_Cnt_M_enum == SS_Normal)=false
(StrtStop_StOpMode_Cnt_M_enum == SS_Stop)=false
</t>
  </si>
  <si>
    <t>case SS_Stop :
(StrtStop_StOpMode_Cnt_M_enum == SS_Intermediate2)=true</t>
  </si>
  <si>
    <t xml:space="preserve">case SS_Intermediate2 :
(StrtStop_StOpMode_Cnt_M_enum == SS_Stop)=false
(StrtStop_StOpMode_Cnt_M_enum == SS_Normal)=false
</t>
  </si>
  <si>
    <t>case SS_Fault :</t>
  </si>
  <si>
    <t>case default :</t>
  </si>
  <si>
    <t>case SS_Stop :
 (StrtStop_StOpMode_Cnt_M_enum == SS_Intermediate2)=false
(StrtStop_StOpMode_Cnt_M_enum == SS_Normal)=false</t>
  </si>
  <si>
    <t>case SS_Normal :
(StrtStop_StOpMode_Cnt_M_enum == SS_Intermediate1)=true</t>
  </si>
  <si>
    <t>case SS_Intermediate1 :
(StrtStop_StOpMode_Cnt_M_enum == SS_Normal)=true</t>
  </si>
  <si>
    <t>case SS_Stop :
(StrtStop_StOpMode_Cnt_M_enum == SS_Intermediate2)=false
(StrtStop_StOpMode_Cnt_M_enum == SS_Normal)=true</t>
  </si>
  <si>
    <t>case SS_Intermediate2 :
(StrtStop_StOpMode_Cnt_M_enum == SS_Stop)=false
(StrtStop_StOpMode_Cnt_M_enum == SS_Normal)=true</t>
  </si>
  <si>
    <t>case SS_Intermediate1 :
(StrtStop_StOpMode_Cnt_M_enum == SS_Normal)=false
(StrtStop_StOpMode_Cnt_M_enum == SS_Stop)=true</t>
  </si>
  <si>
    <t>case SS_Intermediate2 :
(StrtStop_StOpMode_Cnt_M_enum == SS_Stop)=true</t>
  </si>
  <si>
    <t>StrtStop_Per1() R</t>
  </si>
  <si>
    <t>StrtStop_Per1() M</t>
  </si>
  <si>
    <t>StrtStop_Per1() P</t>
  </si>
  <si>
    <t xml:space="preserve">Shortest Executution Path:
(k_AlgEnable_Cnt_lgc == FALSE)=true
(APAState_State_T_enum == D_APASTNORM_CNT_U08)=true
</t>
  </si>
  <si>
    <t>( (VehicleSpeed_Kph_T_f32 &lt;= k_StopMode1VehSpdTransThres_Kph_f32)T &amp;&amp;
         (AbsHandwheelVelocity_HwDegpS_T_f32 &lt;= k_StopMode1HwVelTransThresh_HwDegpS_f32)T &amp;&amp;
         (AbsHwTorque_HwNm_T_f32 &lt;= k_StopMode1HwTrqTransThresh_HwNm_f32)T &amp;&amp;
         (ElapsedTime1_mS_T_u32 &gt;= ((uint32)k_StopMode1Timer_Sec_u16 * (uint32)D_MSECPERSEC_ULS_F32))F )=false</t>
  </si>
  <si>
    <t>case SS_Stop :
(EngSpd_Rpm_T_f32 &gt; k_NormalModeEngTransThresh_Rpm_f32)=true</t>
  </si>
  <si>
    <t>( (VehicleSpeed_Kph_T_f32 &lt;= k_StopMode2VehSpdTransThresh_Kph_f32)F&amp;&amp;
         (AbsHandwheelVelocity_HwDegpS_T_f32 &lt;= k_StopMode2HwVelTransThresh_HwDegpS_f32)F &amp;&amp;
         (AbsHwTorque_HwNm_T_f32 &lt;= k_StopMode2HwTrqTransThresh_HwNm_f32)T &amp;&amp;
         (ElapsedTime2_mS_T_u32 &gt;= ((uint32)k_StopMode2Timer_Sec_u16 * (uint32)D_MSECPERSEC_ULS_F32))T )=true</t>
  </si>
  <si>
    <t>( (VehicleSpeed_Kph_T_f32 &lt;= k_StopMode2VehSpdTransThresh_Kph_f32)T&amp;&amp;
         (AbsHandwheelVelocity_HwDegpS_T_f32 &lt;= k_StopMode2HwVelTransThresh_HwDegpS_f32)T &amp;&amp;
         (AbsHwTorque_HwNm_T_f32 &lt;= k_StopMode2HwTrqTransThresh_HwNm_f32)T &amp;&amp;
         (ElapsedTime2_mS_T_u32 &gt;= ((uint32)k_StopMode2Timer_Sec_u16 * (uint32)D_MSECPERSEC_ULS_F32))F)=false</t>
  </si>
  <si>
    <t>StrtStop_Init1() R</t>
  </si>
  <si>
    <t>Sl Num</t>
  </si>
  <si>
    <t>CR Num</t>
  </si>
  <si>
    <t>Developer</t>
  </si>
  <si>
    <t>Issue 1</t>
  </si>
  <si>
    <t>Response 1</t>
  </si>
  <si>
    <t>TBD</t>
  </si>
  <si>
    <t>NA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</si>
  <si>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</si>
  <si>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</si>
  <si>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</si>
  <si>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</si>
  <si>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</si>
  <si>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</si>
  <si>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</si>
  <si>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</si>
  <si>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</si>
  <si>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</si>
  <si>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</si>
  <si>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</si>
  <si>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</si>
  <si>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</si>
  <si>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</si>
  <si>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</si>
  <si>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</si>
  <si>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</si>
  <si>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</si>
  <si>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</si>
  <si>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</si>
  <si>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</si>
  <si>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</si>
  <si>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</si>
  <si>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</si>
  <si>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</si>
  <si>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</si>
  <si>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</si>
  <si>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</si>
  <si>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</si>
  <si>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GMStrtStop</t>
  </si>
  <si>
    <t xml:space="preserve">CF12A_2.1.0_0_NoUTP </t>
  </si>
  <si>
    <t>2ms</t>
  </si>
  <si>
    <t>Krishna Anne</t>
  </si>
  <si>
    <t>GMStrtStop_MDD.docx</t>
  </si>
  <si>
    <t>Nexteer EPS Unit Test Tool 2.7d/EPS Library 1.32</t>
  </si>
  <si>
    <t>TMS470_4.9.5</t>
  </si>
  <si>
    <t>Range of variable "StrtStop_SSScale_Uls_M_f32" is missing in DD/MDD.
Kindly provide the same with DD version.</t>
  </si>
  <si>
    <t>06/08/2016: 
Range of StrtStop_SSScale_Uls_M_f32 = 0 to 1
Increase DD version in reports. While stroing the results in synergy DD will be updated. While submitting the results mention the variable name with range in email for DD updation.</t>
  </si>
  <si>
    <t>Issue 2</t>
  </si>
  <si>
    <t>Response 2</t>
  </si>
  <si>
    <t>Return value of function "SlewRateCalc" is going out of range,
MDD range:- [0.4, 500]
Observed range:-[0.1, 500]
Analysis:
function  "SlewRateCalc" is getting updated at SRC line 536 as below,
return(SSSlewRate_UlspS_T_f32);
Temporary variable "SSSlewRate_UlspS_T_f32" is getting updated at SRC line 526 as below,
SSSlewRate_UlspS_T_f32 = k_FltRspRampDnRt_UlspS_f32;
range of calibration constant "k_FltRspRampDnRt_UlspS_f32" is [0.1, 500]
Hence return value of function "SlewRateCalc" is going out of range as [0.1, 500] over MDD range[0.4, 500].
Kindly provide your comments on the same.</t>
  </si>
  <si>
    <t xml:space="preserve">            07/13/2016
Return Value shuld be 0.1 to 500, increse the MDD version in reports ,while submitteing task mae sure add a comment in summary for updating the MDD.</t>
  </si>
  <si>
    <t>DC</t>
  </si>
  <si>
    <t>NOTE1: Inline Function defined in Globalmacro.h is not unit tested.
NOTE2: "CBD_Sandbox_dbg.map" map file is embedded for the reference.</t>
  </si>
  <si>
    <t>(k_AlgEnable_Cnt_lgc == FALSE)=true
(APAState_State_T_enum == D_APASTNORM_CNT_U08)=false</t>
  </si>
  <si>
    <t>(SS12VFault_Cnt_T_lgc == TRUE)=true</t>
  </si>
  <si>
    <t>(VehicleSpeed_Kph_T_f32 &gt; k_Mode2VehSpdTransThresh_Kph_f32)=false</t>
  </si>
  <si>
    <t>(SS12VFault_Cnt_T_lgc == TRUE)=true
(APAState_State_T_enum == D_APASTNORM_CNT_U08)=true</t>
  </si>
  <si>
    <t>(SS12VFault_Cnt_T_lgc == TRUE)=false
((EngSpd_Rpm_T_f32 &lt;= k_Mode1EngTransThresh_Rpm_f32)T &amp;&amp;
      (VehicleSpeed_Kph_T_f32 &lt;= k_Mode1VehSpdTransThresh_Kph_f32)T)=true</t>
  </si>
  <si>
    <t>(SS12VFault_Cnt_T_lgc == TRUE)=false
((EngSpd_Rpm_T_f32 &lt;= k_Mode1EngTransThresh_Rpm_f32)F &amp;&amp;
      (VehicleSpeed_Kph_T_f32 &lt;= k_Mode1VehSpdTransThresh_Kph_f32)T)=False</t>
  </si>
  <si>
    <t>(SS12VFault_Cnt_T_lgc == TRUE)=false
((EngSpd_Rpm_T_f32 &lt;= k_Mode1EngTransThresh_Rpm_f32)T &amp;&amp;
      (VehicleSpeed_Kph_T_f32 &lt;= k_Mode1VehSpdTransThresh_Kph_f32)F)=False</t>
  </si>
  <si>
    <t>( (VehicleSpeed_Kph_T_f32 &gt;= k_NormalModeVehSpdTransThresh_Kph_f32)T || 
       (EngSpd_Rpm_T_f32 &gt; k_NormalModeEngTransThresh_Rpm_f32) )=true</t>
  </si>
  <si>
    <t>case SS_Intermediate1 :
 (EngSpd_Rpm_T_f32 &gt; k_NormalModeEngTransThresh_Rpm_f32) =true</t>
  </si>
  <si>
    <t>case SS_Stop :
 (EngSpd_Rpm_T_f32 &gt; k_NormalModeEngTransThresh_Rpm_f32)=false
(VehicleSpeed_Kph_T_f32 &gt; k_Mode2VehSpdTransThresh_Kph_f32)=true</t>
  </si>
  <si>
    <t xml:space="preserve">(k_AlgEnable_Cnt_lgc == FALSE)=true
</t>
  </si>
  <si>
    <t>(k_AlgEnable_Cnt_lgc == FALSE)=false
case SS_Intermediate1 :
 (EngSpd_Rpm_T_f32 &gt; k_NormalModeEngTransThresh_Rpm_f32) =false
( (VehicleSpeed_Kph_T_f32 &lt;= k_StopMode1VehSpdTransThres_Kph_f32) &amp;&amp;
         (AbsHandwheelVelocity_HwDegpS_T_f32 &lt;= k_StopMode1HwVelTransThresh_HwDegpS_f32) &amp;&amp;
         (AbsHwTorque_HwNm_T_f32 &lt;= k_StopMode1HwTrqTransThresh_HwNm_f32) &amp;&amp;
         (ElapsedTime1_mS_T_u32 &gt;= ((uint32)k_StopMode1Timer_Sec_u16 * (uint32)D_MSECPERSEC_ULS_F32)) )=false</t>
  </si>
  <si>
    <t>( (VehicleSpeed_Kph_T_f32 &lt;= k_StopMode1VehSpdTransThres_Kph_f32)T &amp;&amp;
         (AbsHandwheelVelocity_HwDegpS_T_f32 &lt;= k_StopMode1HwVelTransThresh_HwDegpS_f32) F&amp;&amp;
         (AbsHwTorque_HwNm_T_f32 &lt;= k_StopMode1HwTrqTransThresh_HwNm_f32) &amp;&amp;
         (ElapsedTime1_mS_T_u32 &gt;= ((uint32)k_StopMode1Timer_Sec_u16 * (uint32)D_MSECPERSEC_ULS_F32)) )=false</t>
  </si>
  <si>
    <t>( (VehicleSpeed_Kph_T_f32 &lt;= k_StopMode1VehSpdTransThres_Kph_f32) T&amp;&amp;
         (AbsHandwheelVelocity_HwDegpS_T_f32 &lt;= k_StopMode1HwVelTransThresh_HwDegpS_f32)T &amp;&amp;
         (AbsHwTorque_HwNm_T_f32 &lt;= k_StopMode1HwTrqTransThresh_HwNm_f32)F &amp;&amp;
         (ElapsedTime1_mS_T_u32 &gt;= ((uint32)k_StopMode1Timer_Sec_u16 * (uint32)D_MSECPERSEC_ULS_F32)) )=false</t>
  </si>
  <si>
    <t>( (VehicleSpeed_Kph_T_f32 &lt;= k_StopMode1VehSpdTransThres_Kph_f32)T &amp;&amp;
         (AbsHandwheelVelocity_HwDegpS_T_f32 &lt;= k_StopMode1HwVelTransThresh_HwDegpS_f32)T &amp;&amp;
         (AbsHwTorque_HwNm_T_f32 &lt;= k_StopMode1HwTrqTransThresh_HwNm_f32)T &amp;&amp;
         (ElapsedTime1_mS_T_u32 &gt;= ((uint32)k_StopMode1Timer_Sec_u16 * (uint32)D_MSECPERSEC_ULS_F32))T )=TRUE</t>
  </si>
  <si>
    <t>case SS_Intermediate2 :
( (VehicleSpeed_Kph_T_f32 &gt;= k_NormalModeVehSpdTransThresh_Kph_f32) || 
       (EngSpd_Rpm_T_f32 &gt; k_NormalModeEngTransThresh_Rpm_f32) )=TRUE</t>
  </si>
  <si>
    <t>case SS_Intermediate2 :
( (VehicleSpeed_Kph_T_f32 &gt;= k_NormalModeVehSpdTransThresh_Kph_f32) || 
       (EngSpd_Rpm_T_f32 &gt; k_NormalModeEngTransThresh_Rpm_f32) )=FALSE
( (VehicleSpeed_Kph_T_f32 &lt;= k_StopMode2VehSpdTransThresh_Kph_f32) &amp;&amp;
         (AbsHandwheelVelocity_HwDegpS_T_f32 &lt;= k_StopMode2HwVelTransThresh_HwDegpS_f32) &amp;&amp;
         (AbsHwTorque_HwNm_T_f32 &lt;= k_StopMode2HwTrqTransThresh_HwNm_f32) &amp;&amp;
         (ElapsedTime2_mS_T_u32 &gt;= ((uint32)k_StopMode2Timer_Sec_u16 * (uint32)D_MSECPERSEC_ULS_F32)) )=FALSE</t>
  </si>
  <si>
    <t>case SS_Intermediate2 :
( (VehicleSpeed_Kph_T_f32 &gt;= k_NormalModeVehSpdTransThresh_Kph_f32) || 
       (EngSpd_Rpm_T_f32 &gt; k_NormalModeEngTransThresh_Rpm_f32) )=FALSE
( (VehicleSpeed_Kph_T_f32 &lt;= k_StopMode2VehSpdTransThresh_Kph_f32) &amp;&amp;
         (AbsHandwheelVelocity_HwDegpS_T_f32 &lt;= k_StopMode2HwVelTransThresh_HwDegpS_f32) &amp;&amp;
         (AbsHwTorque_HwNm_T_f32 &lt;= k_StopMode2HwTrqTransThresh_HwNm_f32) &amp;&amp;
         (ElapsedTime2_mS_T_u32 &gt;= ((uint32)k_StopMode2Timer_Sec_u16 * (uint32)D_MSECPERSEC_ULS_F32)) )=TRUE</t>
  </si>
  <si>
    <t>Longest Executution Path:
(k_AlgEnable_Cnt_lgc == FALSE)=false
case SS_Intermediate1 :
 (EngSpd_Rpm_T_f32 &gt; k_NormalModeEngTransThresh_Rpm_f32) =false
( (VehicleSpeed_Kph_T_f32 &lt;= k_StopMode1VehSpdTransThres_Kph_f32)T &amp;&amp;
         (AbsHandwheelVelocity_HwDegpS_T_f32 &lt;= k_StopMode1HwVelTransThresh_HwDegpS_f32)T &amp;&amp;
         (AbsHwTorque_HwNm_T_f32 &lt;= k_StopMode1HwTrqTransThresh_HwNm_f32) T&amp;&amp;
         (ElapsedTime1_mS_T_u32 &gt;= ((uint32)k_StopMode1Timer_Sec_u16 * (uint32)D_MSECPERSEC_ULS_F32)) T)=TRUE</t>
  </si>
  <si>
    <t>-</t>
  </si>
  <si>
    <t>nothing to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</si>
</sst>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Segoe UI"/>
      <family val="2"/>
    </font>
    <font>
      <sz val="10"/>
      <color rgb="FF000000"/>
      <name val="Trebuchet MS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7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7" fillId="0" borderId="19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14" borderId="11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0" xfId="0" applyFont="1"/>
    <xf numFmtId="0" fontId="17" fillId="0" borderId="22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14" borderId="23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15" xfId="0" applyFont="1" applyFill="1" applyBorder="1" applyAlignment="1" applyProtection="1">
      <alignment horizontal="center" vertical="center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0" fillId="0" borderId="0" xfId="0" applyFont="1"/>
    <xf numFmtId="0" fontId="0" fillId="0" borderId="11" xfId="0" applyBorder="1" applyAlignment="1">
      <alignment horizontal="center"/>
    </xf>
    <xf numFmtId="0" fontId="1" fillId="12" borderId="11" xfId="0" applyNumberFormat="1" applyFon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 applyProtection="1">
      <alignment horizontal="center"/>
      <protection locked="0"/>
    </xf>
    <xf numFmtId="0" fontId="19" fillId="2" borderId="20" xfId="0" applyFont="1" applyFill="1" applyBorder="1" applyAlignment="1">
      <alignment horizontal="center" vertical="top"/>
    </xf>
    <xf numFmtId="0" fontId="19" fillId="2" borderId="34" xfId="0" applyFont="1" applyFill="1" applyBorder="1" applyAlignment="1">
      <alignment horizontal="center" vertical="top" wrapText="1"/>
    </xf>
    <xf numFmtId="0" fontId="19" fillId="2" borderId="21" xfId="0" applyFont="1" applyFill="1" applyBorder="1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3" fillId="15" borderId="11" xfId="0" applyFont="1" applyFill="1" applyBorder="1" applyAlignment="1">
      <alignment horizontal="right"/>
    </xf>
    <xf numFmtId="14" fontId="23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9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36" xfId="0" applyFill="1" applyBorder="1"/>
    <xf numFmtId="0" fontId="0" fillId="0" borderId="37" xfId="0" applyBorder="1" applyAlignment="1">
      <alignment horizontal="center" vertical="center"/>
    </xf>
    <xf numFmtId="0" fontId="0" fillId="21" borderId="38" xfId="0" applyFill="1" applyBorder="1"/>
    <xf numFmtId="0" fontId="0" fillId="0" borderId="38" xfId="0" applyBorder="1" applyAlignment="1">
      <alignment horizontal="center" vertical="center"/>
    </xf>
    <xf numFmtId="0" fontId="1" fillId="0" borderId="20" xfId="0" applyFont="1" applyFill="1" applyBorder="1" applyAlignment="1">
      <alignment horizontal="center"/>
    </xf>
    <xf numFmtId="0" fontId="0" fillId="21" borderId="39" xfId="0" applyFill="1" applyBorder="1"/>
    <xf numFmtId="0" fontId="0" fillId="0" borderId="3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3" borderId="20" xfId="0" applyFill="1" applyBorder="1"/>
    <xf numFmtId="0" fontId="1" fillId="23" borderId="21" xfId="0" applyFont="1" applyFill="1" applyBorder="1"/>
    <xf numFmtId="0" fontId="1" fillId="23" borderId="21" xfId="0" applyFont="1" applyFill="1" applyBorder="1" applyAlignment="1">
      <alignment horizontal="center"/>
    </xf>
    <xf numFmtId="0" fontId="0" fillId="21" borderId="19" xfId="0" applyFill="1" applyBorder="1"/>
    <xf numFmtId="0" fontId="0" fillId="21" borderId="22" xfId="0" applyFill="1" applyBorder="1"/>
    <xf numFmtId="0" fontId="0" fillId="0" borderId="23" xfId="0" applyBorder="1" applyAlignment="1">
      <alignment horizontal="center"/>
    </xf>
    <xf numFmtId="0" fontId="0" fillId="22" borderId="40" xfId="0" applyFill="1" applyBorder="1"/>
    <xf numFmtId="0" fontId="0" fillId="22" borderId="41" xfId="0" applyFill="1" applyBorder="1"/>
    <xf numFmtId="0" fontId="0" fillId="0" borderId="22" xfId="0" applyBorder="1" applyAlignment="1">
      <alignment horizont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24" fillId="24" borderId="0" xfId="0" applyFont="1" applyFill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Fill="1" applyAlignment="1">
      <alignment horizontal="left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35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3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2</xdr:col>
          <xdr:colOff>285750</xdr:colOff>
          <xdr:row>23</xdr:row>
          <xdr:rowOff>133350</xdr:rowOff>
        </xdr:to>
        <xdr:sp macro="" textlink="">
          <xdr:nvSpPr>
            <xdr:cNvPr id="23553" name="Object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23555" name="Object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752475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8362\Synergy_Work_Area\Users\komals\Desktop\Task12778_EA3_UTP_CDDInterface_%20SGMW%20_CN200\CDDInterface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CDDInterface_Init1"/>
      <sheetName val="CDDInterface_Init1() B"/>
      <sheetName val="CDDInterface_Init2"/>
      <sheetName val="CDDInterface_Init2() B"/>
      <sheetName val="CDDInterface_Per1"/>
      <sheetName val="CDDInterface_Per1() B"/>
      <sheetName val="CDDInterface_Per2"/>
      <sheetName val="CDDInterface_Per2() B"/>
      <sheetName val="CDDInterface_Per3"/>
      <sheetName val="CDDInterface_Per3() M"/>
      <sheetName val="CDDInterface_Per3() B"/>
      <sheetName val="CDDInterface_Per3() P"/>
      <sheetName val="CDDInterface_Per4"/>
      <sheetName val="CDDInterface_Per4() B"/>
      <sheetName val="CDDInterface_Per5"/>
      <sheetName val="CDDInterface_Per5() B"/>
    </sheetNames>
    <sheetDataSet>
      <sheetData sheetId="0" refreshError="1"/>
      <sheetData sheetId="1" refreshError="1"/>
      <sheetData sheetId="2">
        <row r="13">
          <cell r="B13" t="str">
            <v>CDDInterface_Init1</v>
          </cell>
          <cell r="G13" t="str">
            <v>MtrElecMechPolarity_Cnt_s08</v>
          </cell>
          <cell r="K13" t="str">
            <v>EnableMtrCtlInterrupt</v>
          </cell>
        </row>
        <row r="14">
          <cell r="B14" t="str">
            <v>CDDInterface_Init2</v>
          </cell>
          <cell r="G14" t="str">
            <v>CDD_AppDataFwdPthAccessBfr_Cnt_G_u16</v>
          </cell>
          <cell r="K14" t="str">
            <v>Rte_Call_CDDInterface_Per1_CP0_CheckpointReached</v>
          </cell>
        </row>
        <row r="15">
          <cell r="B15" t="str">
            <v>CDDInterface_Per1</v>
          </cell>
          <cell r="G15" t="str">
            <v>CDD_AppDataFbkPthAccessBfr_Cnt_G_u16</v>
          </cell>
          <cell r="K15" t="str">
            <v>Rte_Call_CDDInterface_Per1_CP1_CheckpointReached</v>
          </cell>
        </row>
        <row r="16">
          <cell r="B16" t="str">
            <v>CDDInterface_Per2</v>
          </cell>
          <cell r="G16" t="str">
            <v>CDD_CDDDataAccessBfr_Cnt_G_u16</v>
          </cell>
          <cell r="K16" t="str">
            <v>Rte_Call_CDDInterface_Per2_CP0_CheckpointReached</v>
          </cell>
        </row>
        <row r="17">
          <cell r="B17" t="str">
            <v>CDDInterface_Per3</v>
          </cell>
          <cell r="G17" t="str">
            <v>CDD_OvrSmplBfrWriteEn_Cnt_G_lgc</v>
          </cell>
          <cell r="K17" t="str">
            <v>Rte_Call_CDDInterface_Per2_CP1_CheckpointReached</v>
          </cell>
        </row>
        <row r="18">
          <cell r="B18" t="str">
            <v>CDDInterface_Per4</v>
          </cell>
          <cell r="G18" t="str">
            <v>CDD_MtrElecMechPol_Cnt_G_s8[2]</v>
          </cell>
          <cell r="K18" t="str">
            <v>Rte_Call_CDDInterface_Per3_CP0_CheckpointReached</v>
          </cell>
        </row>
        <row r="19">
          <cell r="B19" t="str">
            <v>CDDInterface_Per5</v>
          </cell>
          <cell r="G19" t="str">
            <v>PrevMtrElecMechPolarity_Cnt_M_s08</v>
          </cell>
          <cell r="K19" t="str">
            <v>Rte_Call_CDDInterface_Per3_CP1_CheckpointReached</v>
          </cell>
        </row>
        <row r="20">
          <cell r="G20" t="str">
            <v>NxtrMEC_Uls_G_enum</v>
          </cell>
          <cell r="K20" t="str">
            <v>Rte_Call_CDDInterface_Per4_CP0_CheckpointReached</v>
          </cell>
        </row>
        <row r="21">
          <cell r="G21" t="str">
            <v>Nvm_IgnCntr_Cnt_u16</v>
          </cell>
          <cell r="K21" t="str">
            <v>Rte_Call_CDDInterface_Per4_CP1_CheckpointReached</v>
          </cell>
        </row>
        <row r="22">
          <cell r="G22" t="str">
            <v>MEC_Cnt_enum</v>
          </cell>
          <cell r="K22" t="str">
            <v>Rte_Call_CDDInterface_Per5_CP0_CheckpointReached</v>
          </cell>
        </row>
        <row r="23">
          <cell r="G23" t="str">
            <v>IgnCnt_Cnt_u16</v>
          </cell>
          <cell r="K23" t="str">
            <v>Rte_Call_CDDInterface_Per5_CP1_CheckpointReached</v>
          </cell>
        </row>
        <row r="24">
          <cell r="G24" t="str">
            <v>CDD_ADCMtrCurr1_Volts_G_u3p13[2]</v>
          </cell>
        </row>
        <row r="25">
          <cell r="G25" t="str">
            <v>CDD_ADCMtrCurr2_Volts_G_u3p13[2]</v>
          </cell>
        </row>
        <row r="26">
          <cell r="G26" t="str">
            <v>CDD_ModIdxFinal_Uls_G_u16p16[2]</v>
          </cell>
        </row>
        <row r="27">
          <cell r="G27" t="str">
            <v>CDD_MtrCurr1_Amp_G_s9p22[2]</v>
          </cell>
        </row>
        <row r="28">
          <cell r="G28" t="str">
            <v>CDD_MtrCurr2_Amp_G_s9p22[2]</v>
          </cell>
        </row>
        <row r="29">
          <cell r="G29" t="str">
            <v>CDD_MtrCurrMeas_Amp_G_s7p8[2]</v>
          </cell>
        </row>
        <row r="30">
          <cell r="G30" t="str">
            <v>CDD_MtrVCmdPolarity_Cnt_G_s8[2]</v>
          </cell>
        </row>
        <row r="31">
          <cell r="G31" t="str">
            <v>CDD_MtrVCmd_Volt_G_s4p27[2]</v>
          </cell>
        </row>
        <row r="32">
          <cell r="G32" t="str">
            <v>CDD_PWMDutyCycleA_Cnt_G_u16p0[2]</v>
          </cell>
        </row>
        <row r="33">
          <cell r="G33" t="str">
            <v>CDD_PWMPeriod_Cnt_G_u16[2]</v>
          </cell>
        </row>
        <row r="34">
          <cell r="G34" t="str">
            <v>ADCMtrCurr1_Volts_f32</v>
          </cell>
        </row>
        <row r="35">
          <cell r="G35" t="str">
            <v>ADCMtrCurr2_Volts_f32</v>
          </cell>
        </row>
        <row r="36">
          <cell r="G36" t="str">
            <v>ModIdxFinal_Uls_f32</v>
          </cell>
        </row>
        <row r="37">
          <cell r="G37" t="str">
            <v>MtrCurr1_Amp_f32</v>
          </cell>
        </row>
        <row r="38">
          <cell r="G38" t="str">
            <v>MtrCurr2_Amp_f32</v>
          </cell>
        </row>
        <row r="39">
          <cell r="G39" t="str">
            <v>MtrCurrMeas_Amp_f32</v>
          </cell>
        </row>
        <row r="40">
          <cell r="G40" t="str">
            <v>MtrVCmdPolarity_Cnt_s8</v>
          </cell>
        </row>
        <row r="41">
          <cell r="G41" t="str">
            <v>MtrVCmd_Volt_f32</v>
          </cell>
        </row>
        <row r="42">
          <cell r="G42" t="str">
            <v>PWMDutyCycleA_Uls_f32</v>
          </cell>
        </row>
        <row r="43">
          <cell r="G43" t="str">
            <v>PWMPeriod_Cnt_u32</v>
          </cell>
        </row>
        <row r="44">
          <cell r="G44" t="str">
            <v>EstKe_VpRadpS_f32</v>
          </cell>
        </row>
        <row r="45">
          <cell r="G45" t="str">
            <v>EstR_Ohm_f32</v>
          </cell>
        </row>
        <row r="46">
          <cell r="G46" t="str">
            <v>MtrCurrRef_Amp_f32</v>
          </cell>
        </row>
        <row r="47">
          <cell r="G47" t="str">
            <v>IntegralGain_Uls_f32</v>
          </cell>
        </row>
        <row r="48">
          <cell r="G48" t="str">
            <v>PropotionalGain_Uls_f32</v>
          </cell>
        </row>
        <row r="49">
          <cell r="G49" t="str">
            <v>Vecu_Volt_f32</v>
          </cell>
        </row>
        <row r="50">
          <cell r="G50" t="str">
            <v>Rte_Mode_SystemState_Mode</v>
          </cell>
        </row>
        <row r="51">
          <cell r="G51" t="str">
            <v>CDD_EstKe_VpRadpS_G_f32[2]</v>
          </cell>
        </row>
        <row r="52">
          <cell r="G52" t="str">
            <v>CDD_EstR_Ohm_G_f32[2]</v>
          </cell>
        </row>
        <row r="53">
          <cell r="G53" t="str">
            <v>CDD_MtrCurrRef_Amp_G_s7p8[2]</v>
          </cell>
        </row>
        <row r="54">
          <cell r="G54" t="str">
            <v>CDD_IntegralGain_Uls_G_u10p6[2]</v>
          </cell>
        </row>
        <row r="55">
          <cell r="G55" t="str">
            <v>CDD_Vecu_Volt_G_u14p18[2]</v>
          </cell>
        </row>
        <row r="56">
          <cell r="G56" t="str">
            <v>CDD_SysState_Cnt_G_Enum</v>
          </cell>
        </row>
        <row r="57">
          <cell r="G57" t="str">
            <v>CDD_PropotionalGain_Uls_G_u6p10[2]</v>
          </cell>
        </row>
        <row r="58">
          <cell r="G58" t="str">
            <v>DiagStsDefVehSpd_Cnt_lgc</v>
          </cell>
        </row>
        <row r="59">
          <cell r="G59" t="str">
            <v>VehSpdValid_Cnt_lgc</v>
          </cell>
        </row>
        <row r="60">
          <cell r="G60" t="str">
            <v>CDD_InhibitActive_Cnt_lgc</v>
          </cell>
        </row>
        <row r="61">
          <cell r="G61" t="str">
            <v>InhibitActive_Cnt_lgc</v>
          </cell>
        </row>
        <row r="62">
          <cell r="G62" t="str">
            <v>MfgDiagInhibit_Uls_G_lgc</v>
          </cell>
        </row>
        <row r="63">
          <cell r="G63" t="str">
            <v>MfgDiagInhibit_Cnt_lgc</v>
          </cell>
        </row>
        <row r="64">
          <cell r="G64" t="str">
            <v>CDD_DftAsstTbl_Cnt_G_lgc</v>
          </cell>
        </row>
        <row r="65">
          <cell r="G65" t="str">
            <v>DwnldAsstGain_Uls_f32</v>
          </cell>
        </row>
        <row r="66">
          <cell r="G66" t="str">
            <v>CDD_DwnldAsstGain_Uls_G_f32</v>
          </cell>
        </row>
        <row r="67">
          <cell r="G67" t="str">
            <v>SrlComSvcDft_Cnt_b32</v>
          </cell>
        </row>
        <row r="68">
          <cell r="G68" t="str">
            <v>CDD_EOLSrlComSvcDft_Cnt_G_b32</v>
          </cell>
        </row>
        <row r="69">
          <cell r="G69" t="str">
            <v>DftAsstTbl_Cnt_lgc</v>
          </cell>
        </row>
        <row r="70">
          <cell r="G70" t="str">
            <v>EngONSrlComSvcDft_Cnt_lgc</v>
          </cell>
        </row>
        <row r="71">
          <cell r="G71" t="str">
            <v>FreqDepDmpSrlComSvcDft_Cnt_lgc</v>
          </cell>
        </row>
        <row r="72">
          <cell r="G72" t="str">
            <v>KinIntDiagSrlComSvcDft_Cnt_lgc</v>
          </cell>
        </row>
        <row r="73">
          <cell r="G73" t="str">
            <v>ThermalDCSrlComSvcDft_Cnt_lgc</v>
          </cell>
        </row>
        <row r="74">
          <cell r="G74" t="str">
            <v>EOTImpactSrlComSvcDft_Cnt_lgc</v>
          </cell>
        </row>
        <row r="75">
          <cell r="G75" t="str">
            <v>EOTThermalSrlComSvcDft_Cnt_lgc</v>
          </cell>
        </row>
        <row r="76">
          <cell r="G76" t="str">
            <v>MtrVelNrmLrnSrlComSvcDft_Cnt_lgc</v>
          </cell>
        </row>
        <row r="77">
          <cell r="G77" t="str">
            <v>MtrParmNrmLrnSrlComSvcDft_Cnt_lgc</v>
          </cell>
        </row>
        <row r="78">
          <cell r="G78" t="str">
            <v>TrqRmpSrlComSvcDft_Cnt_lgc</v>
          </cell>
        </row>
        <row r="79">
          <cell r="G79" t="str">
            <v>ModIdxSrlComSvcDft_Cnt_lgc</v>
          </cell>
        </row>
        <row r="80">
          <cell r="G80" t="str">
            <v>CDD_ModIdxSrlComSvcDft_Cnt_G_u16</v>
          </cell>
        </row>
        <row r="81">
          <cell r="G81" t="str">
            <v>ParkAstSrlComSvcDft_Cnt_lgc</v>
          </cell>
        </row>
        <row r="82">
          <cell r="G82" t="str">
            <v>DrivingDynSrlComSvcDft_Cnt_lgc</v>
          </cell>
        </row>
        <row r="83">
          <cell r="G83" t="str">
            <v>HystCompSrlComSvcDft_Cnt_lgc</v>
          </cell>
        </row>
        <row r="84">
          <cell r="G84" t="str">
            <v>HysAddSrlComSvcDft_Cnt_lgc</v>
          </cell>
        </row>
        <row r="85">
          <cell r="G85" t="str">
            <v>ReturnSrlComSvcDft_Cnt_lgc</v>
          </cell>
        </row>
        <row r="86">
          <cell r="G86" t="str">
            <v>DampingSrlComSvcDft_Cnt_lgc</v>
          </cell>
        </row>
        <row r="87">
          <cell r="G87" t="str">
            <v>LimitSrlComSvcDft_Cnt_lgc</v>
          </cell>
        </row>
        <row r="88">
          <cell r="G88" t="str">
            <v>PullCompLrnSrlComSvcDft_Cnt_lgc</v>
          </cell>
        </row>
        <row r="89">
          <cell r="G89" t="str">
            <v>RxMsgsSrlComSvcDft_Cnt_lgc</v>
          </cell>
        </row>
        <row r="90">
          <cell r="G90" t="str">
            <v>MultIgnSrlComSvcDft_Cnt_lgc</v>
          </cell>
        </row>
        <row r="91">
          <cell r="G91" t="str">
            <v>HET_VSPD_EDGES_0.memory.data_word</v>
          </cell>
        </row>
        <row r="92">
          <cell r="G92" t="str">
            <v>HET_VSPD_PRD_0.memory.data_word</v>
          </cell>
        </row>
        <row r="93">
          <cell r="G93" t="str">
            <v>HET_ESPD_EDGES_0.memory.data_word</v>
          </cell>
        </row>
        <row r="94">
          <cell r="G94" t="str">
            <v>HET_ESPD_PRD_0.memory.data_word</v>
          </cell>
        </row>
        <row r="95">
          <cell r="G95" t="str">
            <v>VehSpeedEdges_Cnt_u32</v>
          </cell>
        </row>
        <row r="96">
          <cell r="G96" t="str">
            <v>VehSpeedPeriod_Cnt_u32</v>
          </cell>
        </row>
        <row r="97">
          <cell r="G97" t="str">
            <v>EngSpeedEdges_Cnt_u32</v>
          </cell>
        </row>
        <row r="98">
          <cell r="G98" t="str">
            <v>EngSpeedPeriod_Cnt_u32</v>
          </cell>
        </row>
        <row r="99">
          <cell r="G99" t="str">
            <v>CDD_EPSActiveSrvEnabled_Cnt_G_lgc</v>
          </cell>
        </row>
        <row r="100">
          <cell r="G100" t="str">
            <v>EPSActiveSrvEnabled_Cnt_lgc</v>
          </cell>
        </row>
        <row r="101">
          <cell r="G101" t="str">
            <v>CDD_EPSActiveSrvCmd_Cnt_G_lgc</v>
          </cell>
        </row>
        <row r="102">
          <cell r="G102" t="str">
            <v>EPSLmpSrvEnabled_Cnt_lgc</v>
          </cell>
        </row>
        <row r="103">
          <cell r="G103" t="str">
            <v>CDD_EPSLmpSrvEnabled_Cnt_G_lgc</v>
          </cell>
        </row>
        <row r="104">
          <cell r="G104" t="str">
            <v>EPSLmpSrvCmd_Cnt_lgc</v>
          </cell>
        </row>
        <row r="105">
          <cell r="G105" t="str">
            <v>CDD_EPSLmpSrvCmd_Cnt_G_lgc</v>
          </cell>
        </row>
        <row r="106">
          <cell r="G106" t="str">
            <v>EPSActiveSrvCmd_Cnt_lgc</v>
          </cell>
        </row>
        <row r="107">
          <cell r="G107" t="str">
            <v>HwPosRel_HwDeg_f32</v>
          </cell>
        </row>
        <row r="108">
          <cell r="G108" t="str">
            <v>CDD_RelHwPos_HwDeg_G_s11p4</v>
          </cell>
        </row>
        <row r="109">
          <cell r="G109" t="str">
            <v>Cdd_ColAnglePtr_Deg_M_f32</v>
          </cell>
        </row>
        <row r="110">
          <cell r="G110" t="str">
            <v>Cdd_SpurAnglePtr_Deg_M_f32</v>
          </cell>
        </row>
        <row r="111">
          <cell r="G111" t="str">
            <v>DigHwTrqT1_HwNm_f32</v>
          </cell>
        </row>
        <row r="112">
          <cell r="G112" t="str">
            <v>CDD_DigHwTrqT1_HwNm_G_s11p4</v>
          </cell>
        </row>
        <row r="113">
          <cell r="G113" t="str">
            <v>DigHwTrqT2_HwNm_f32</v>
          </cell>
        </row>
        <row r="114">
          <cell r="G114" t="str">
            <v>CDD_DigHwTrqT2_HwNm_G_s11p4</v>
          </cell>
        </row>
        <row r="115">
          <cell r="G115" t="str">
            <v>HwAbsPos_HwDeg_f32</v>
          </cell>
        </row>
        <row r="116">
          <cell r="G116" t="str">
            <v>CDD_HwAbsPos_HwDeg_G_s11p4</v>
          </cell>
        </row>
        <row r="117">
          <cell r="G117" t="str">
            <v>CDD_ColAngle_HwDeg_G_u12p4</v>
          </cell>
        </row>
        <row r="118">
          <cell r="G118" t="str">
            <v>CDD_SpurAngle_HwDeg_G_u12p4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140625" bestFit="1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1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50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51</v>
      </c>
      <c r="C11" s="1"/>
      <c r="D11" s="5"/>
      <c r="E11" s="1"/>
    </row>
    <row r="12" spans="1:5" x14ac:dyDescent="0.25">
      <c r="A12" s="4" t="s">
        <v>4</v>
      </c>
      <c r="B12" s="3">
        <v>3</v>
      </c>
      <c r="C12" s="1"/>
      <c r="D12" s="5"/>
      <c r="E12" s="1"/>
    </row>
    <row r="13" spans="1:5" x14ac:dyDescent="0.25">
      <c r="A13" s="4" t="s">
        <v>5</v>
      </c>
      <c r="B13" s="3" t="s">
        <v>322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48</v>
      </c>
      <c r="C17" s="1"/>
      <c r="D17" s="5"/>
      <c r="E17" s="1"/>
    </row>
    <row r="18" spans="1:6" x14ac:dyDescent="0.25">
      <c r="A18" s="4" t="s">
        <v>10</v>
      </c>
      <c r="B18" s="3" t="s">
        <v>324</v>
      </c>
      <c r="C18" s="1"/>
      <c r="D18" s="5"/>
      <c r="E18" s="1"/>
    </row>
    <row r="19" spans="1:6" x14ac:dyDescent="0.25">
      <c r="A19" s="4" t="s">
        <v>11</v>
      </c>
      <c r="B19" s="3" t="s">
        <v>49</v>
      </c>
      <c r="C19" s="1"/>
      <c r="D19" s="5"/>
      <c r="E19" s="1"/>
    </row>
    <row r="20" spans="1:6" x14ac:dyDescent="0.25">
      <c r="A20" s="4" t="s">
        <v>12</v>
      </c>
      <c r="B20" t="s">
        <v>323</v>
      </c>
      <c r="C20" s="1"/>
      <c r="D20" s="5"/>
      <c r="E20" s="1"/>
    </row>
    <row r="21" spans="1:6" x14ac:dyDescent="0.25">
      <c r="A21" s="4" t="s">
        <v>13</v>
      </c>
      <c r="B21" s="3">
        <v>1046</v>
      </c>
      <c r="C21" s="1"/>
      <c r="D21" s="5"/>
      <c r="E21" s="1"/>
    </row>
    <row r="22" spans="1:6" x14ac:dyDescent="0.25">
      <c r="A22" s="4" t="s">
        <v>14</v>
      </c>
      <c r="B22" s="3">
        <v>20</v>
      </c>
      <c r="C22" s="1"/>
      <c r="D22" s="5"/>
      <c r="E22" s="1"/>
    </row>
    <row r="23" spans="1:6" x14ac:dyDescent="0.25">
      <c r="A23" s="4" t="s">
        <v>15</v>
      </c>
      <c r="B23" s="3">
        <v>85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135">
        <v>42566</v>
      </c>
      <c r="C25" s="1"/>
      <c r="D25" s="5"/>
      <c r="E25" s="1"/>
    </row>
    <row r="26" spans="1:6" ht="60" x14ac:dyDescent="0.25">
      <c r="A26" s="4" t="s">
        <v>18</v>
      </c>
      <c r="B26" s="3" t="s">
        <v>332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19" t="s">
        <v>54</v>
      </c>
      <c r="B29" s="19" t="s">
        <v>145</v>
      </c>
      <c r="C29" s="2" t="s">
        <v>117</v>
      </c>
      <c r="D29" s="49" t="s">
        <v>117</v>
      </c>
      <c r="E29" s="1"/>
      <c r="F29" s="50">
        <v>2</v>
      </c>
    </row>
    <row r="30" spans="1:6" x14ac:dyDescent="0.25">
      <c r="A30" s="51">
        <v>32</v>
      </c>
      <c r="B30" s="19" t="s">
        <v>254</v>
      </c>
      <c r="C30" s="2" t="s">
        <v>117</v>
      </c>
      <c r="D30" s="49" t="s">
        <v>117</v>
      </c>
      <c r="E30" s="1"/>
      <c r="F30" s="50">
        <v>32</v>
      </c>
    </row>
    <row r="31" spans="1:6" x14ac:dyDescent="0.25">
      <c r="A31" s="51">
        <v>14</v>
      </c>
      <c r="B31" s="19" t="s">
        <v>255</v>
      </c>
      <c r="C31" s="2" t="s">
        <v>117</v>
      </c>
      <c r="D31" s="49" t="s">
        <v>117</v>
      </c>
      <c r="E31" s="1"/>
      <c r="F31" s="50">
        <v>14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56</v>
      </c>
      <c r="B33" s="19" t="s">
        <v>149</v>
      </c>
      <c r="C33" s="2" t="s">
        <v>117</v>
      </c>
      <c r="D33" s="49" t="s">
        <v>117</v>
      </c>
      <c r="E33" s="1"/>
      <c r="F33" s="50">
        <v>2</v>
      </c>
    </row>
    <row r="34" spans="1:6" x14ac:dyDescent="0.25">
      <c r="A34" s="51">
        <v>20</v>
      </c>
      <c r="B34" s="19" t="s">
        <v>150</v>
      </c>
      <c r="C34" s="2" t="s">
        <v>117</v>
      </c>
      <c r="D34" s="49" t="s">
        <v>117</v>
      </c>
      <c r="E34" s="1"/>
      <c r="F34" s="50">
        <v>20</v>
      </c>
    </row>
    <row r="35" spans="1:6" x14ac:dyDescent="0.25">
      <c r="A35" s="51">
        <v>2</v>
      </c>
      <c r="B35" s="19" t="s">
        <v>151</v>
      </c>
      <c r="C35" s="2" t="s">
        <v>117</v>
      </c>
      <c r="D35" s="49" t="s">
        <v>117</v>
      </c>
      <c r="E35" s="1"/>
      <c r="F35" s="50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53</v>
      </c>
      <c r="B37" s="19" t="s">
        <v>273</v>
      </c>
      <c r="C37" s="2" t="s">
        <v>117</v>
      </c>
      <c r="D37" s="49" t="s">
        <v>117</v>
      </c>
      <c r="E37" s="1"/>
      <c r="F37" s="50">
        <v>2</v>
      </c>
    </row>
    <row r="38" spans="1:6" x14ac:dyDescent="0.25">
      <c r="A38" s="51">
        <v>90</v>
      </c>
      <c r="B38" s="19" t="s">
        <v>272</v>
      </c>
      <c r="C38" s="2" t="s">
        <v>117</v>
      </c>
      <c r="D38" s="49" t="s">
        <v>117</v>
      </c>
      <c r="E38" s="1"/>
      <c r="F38" s="50">
        <v>90</v>
      </c>
    </row>
    <row r="39" spans="1:6" x14ac:dyDescent="0.25">
      <c r="A39" s="51">
        <v>25</v>
      </c>
      <c r="B39" s="19" t="s">
        <v>274</v>
      </c>
      <c r="C39" s="2" t="s">
        <v>117</v>
      </c>
      <c r="D39" s="49" t="s">
        <v>117</v>
      </c>
      <c r="E39" s="1"/>
      <c r="F39" s="50">
        <v>25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9" t="s">
        <v>52</v>
      </c>
      <c r="B41" s="19" t="s">
        <v>280</v>
      </c>
      <c r="C41" s="2" t="s">
        <v>117</v>
      </c>
      <c r="D41" s="49" t="s">
        <v>117</v>
      </c>
      <c r="E41" s="1"/>
      <c r="F41" s="50">
        <v>1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SlewRateCalc'!A1" display="'SlewRateCalc'!A1"/>
    <hyperlink ref="B29" location="'SlewRateCalc() M'!A1" display="'SlewRateCalc() M'!A1"/>
    <hyperlink ref="B30" location="'SlewRateCalc() R'!A1" display="'SlewRateCalc() R'!A1"/>
    <hyperlink ref="B31" location="'SlewRateCalc() P'!A1" display="'SlewRateCalc() P'!A1"/>
    <hyperlink ref="A33" location="'PreviousStCalc'!A1" display="'PreviousStCalc'!A1"/>
    <hyperlink ref="B33" location="'PreviousStCalc() M'!A1" display="'PreviousStCalc() M'!A1"/>
    <hyperlink ref="B34" location="'PreviousStCalc() B'!A1" display="'PreviousStCalc() B'!A1"/>
    <hyperlink ref="B35" location="'PreviousStCalc() P'!A1" display="'PreviousStCalc() P'!A1"/>
    <hyperlink ref="A37" location="'StrtStop_Per1'!A1" display="'StrtStop_Per1'!A1"/>
    <hyperlink ref="B37" location="'StrtStop_Per1() M'!A1" display="'StrtStop_Per1() M'!A1"/>
    <hyperlink ref="B38" location="'StrtStop_Per1() R'!A1" display="'StrtStop_Per1() R'!A1"/>
    <hyperlink ref="B39" location="'StrtStop_Per1() P'!A1" display="'StrtStop_Per1() P'!A1"/>
    <hyperlink ref="A41" location="'StrtStop_Init1'!A1" display="'StrtStop_Init1'!A1"/>
    <hyperlink ref="B41" location="'StrtStop_Init1() R'!A1" display="'StrtStop_Init1() R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7" t="s">
        <v>1</v>
      </c>
      <c r="B7" s="137"/>
      <c r="C7" s="137"/>
      <c r="D7" s="137"/>
      <c r="E7" s="137"/>
      <c r="F7" s="137"/>
      <c r="G7" s="137"/>
      <c r="H7" s="13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3553" r:id="rId4">
          <objectPr defaultSize="0" r:id="rId5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2</xdr:col>
                <xdr:colOff>285750</xdr:colOff>
                <xdr:row>23</xdr:row>
                <xdr:rowOff>133350</xdr:rowOff>
              </to>
            </anchor>
          </objectPr>
        </oleObject>
      </mc:Choice>
      <mc:Fallback>
        <oleObject progId="Packager Shell Object" dvAspect="DVASPECT_ICON" shapeId="23553" r:id="rId4"/>
      </mc:Fallback>
    </mc:AlternateContent>
    <mc:AlternateContent xmlns:mc="http://schemas.openxmlformats.org/markup-compatibility/2006">
      <mc:Choice Requires="x14">
        <oleObject progId="Packager Shell Object" dvAspect="DVASPECT_ICON" shapeId="23555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23555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4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16.5703125" bestFit="1" customWidth="1"/>
    <col min="7" max="7" width="44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6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8" t="s">
        <v>26</v>
      </c>
      <c r="B9" s="139"/>
      <c r="C9" s="139"/>
      <c r="D9" s="140"/>
      <c r="E9" s="139"/>
      <c r="F9" s="139"/>
      <c r="G9" s="139"/>
      <c r="H9" s="139"/>
      <c r="I9" s="140"/>
      <c r="J9" s="139"/>
      <c r="K9" s="139"/>
      <c r="L9" s="141"/>
    </row>
    <row r="10" spans="1:12" ht="15.75" thickBot="1" x14ac:dyDescent="0.3">
      <c r="A10" s="142" t="s">
        <v>27</v>
      </c>
      <c r="B10" s="143"/>
      <c r="C10" s="144"/>
      <c r="D10" s="7"/>
      <c r="E10" s="145" t="s">
        <v>31</v>
      </c>
      <c r="F10" s="146"/>
      <c r="G10" s="146"/>
      <c r="H10" s="147"/>
      <c r="I10" s="7"/>
      <c r="J10" s="148" t="s">
        <v>35</v>
      </c>
      <c r="K10" s="149"/>
      <c r="L10" s="150"/>
    </row>
    <row r="11" spans="1:12" ht="15.75" thickBot="1" x14ac:dyDescent="0.3">
      <c r="A11" s="9" t="s">
        <v>28</v>
      </c>
      <c r="B11" s="10" t="s">
        <v>29</v>
      </c>
      <c r="C11" s="11" t="s">
        <v>30</v>
      </c>
      <c r="D11" s="7"/>
      <c r="E11" s="9" t="s">
        <v>32</v>
      </c>
      <c r="F11" s="10" t="s">
        <v>33</v>
      </c>
      <c r="G11" s="10" t="s">
        <v>29</v>
      </c>
      <c r="H11" s="11" t="s">
        <v>34</v>
      </c>
      <c r="I11" s="7"/>
      <c r="J11" s="9" t="s">
        <v>28</v>
      </c>
      <c r="K11" s="10" t="s">
        <v>29</v>
      </c>
      <c r="L11" s="11" t="s">
        <v>30</v>
      </c>
    </row>
    <row r="12" spans="1:12" hidden="1" x14ac:dyDescent="0.25">
      <c r="D12" s="7"/>
      <c r="I12" s="7"/>
    </row>
    <row r="13" spans="1:12" x14ac:dyDescent="0.25">
      <c r="A13" s="20" t="s">
        <v>57</v>
      </c>
      <c r="B13" s="22" t="s">
        <v>52</v>
      </c>
      <c r="C13" s="23" t="s">
        <v>105</v>
      </c>
      <c r="D13" s="7"/>
      <c r="E13" s="8" t="s">
        <v>103</v>
      </c>
      <c r="F13" s="8" t="s">
        <v>59</v>
      </c>
      <c r="G13" s="21" t="s">
        <v>58</v>
      </c>
      <c r="H13" s="8"/>
      <c r="I13" s="7"/>
      <c r="J13" s="8" t="s">
        <v>63</v>
      </c>
      <c r="K13" s="21" t="s">
        <v>84</v>
      </c>
      <c r="L13" t="s">
        <v>105</v>
      </c>
    </row>
    <row r="14" spans="1:12" x14ac:dyDescent="0.25">
      <c r="A14" s="20" t="s">
        <v>57</v>
      </c>
      <c r="B14" s="22" t="s">
        <v>53</v>
      </c>
      <c r="C14" s="23" t="s">
        <v>105</v>
      </c>
      <c r="D14" s="7"/>
      <c r="E14" s="8" t="s">
        <v>103</v>
      </c>
      <c r="F14" s="8" t="s">
        <v>59</v>
      </c>
      <c r="G14" s="21" t="s">
        <v>60</v>
      </c>
      <c r="H14" s="8"/>
      <c r="I14" s="7"/>
      <c r="J14" s="8" t="s">
        <v>63</v>
      </c>
      <c r="K14" s="21" t="s">
        <v>85</v>
      </c>
      <c r="L14" t="s">
        <v>105</v>
      </c>
    </row>
    <row r="15" spans="1:12" x14ac:dyDescent="0.25">
      <c r="A15" s="20" t="s">
        <v>55</v>
      </c>
      <c r="B15" s="22" t="s">
        <v>54</v>
      </c>
      <c r="C15" s="23" t="s">
        <v>105</v>
      </c>
      <c r="D15" s="7"/>
      <c r="E15" s="8" t="s">
        <v>103</v>
      </c>
      <c r="F15" s="8" t="s">
        <v>59</v>
      </c>
      <c r="G15" s="21" t="s">
        <v>61</v>
      </c>
      <c r="H15" s="8"/>
      <c r="I15" s="7"/>
      <c r="J15" s="8"/>
      <c r="K15" s="21"/>
    </row>
    <row r="16" spans="1:12" x14ac:dyDescent="0.25">
      <c r="A16" s="20" t="s">
        <v>57</v>
      </c>
      <c r="B16" s="22" t="s">
        <v>56</v>
      </c>
      <c r="C16" s="23" t="s">
        <v>105</v>
      </c>
      <c r="D16" s="7"/>
      <c r="E16" s="8" t="s">
        <v>103</v>
      </c>
      <c r="F16" s="8" t="s">
        <v>63</v>
      </c>
      <c r="G16" s="21" t="s">
        <v>62</v>
      </c>
      <c r="H16" s="8"/>
      <c r="I16" s="7"/>
      <c r="J16" s="8"/>
      <c r="K16" s="21"/>
    </row>
    <row r="17" spans="1:11" x14ac:dyDescent="0.25">
      <c r="A17" s="20"/>
      <c r="B17" s="22"/>
      <c r="C17" s="23"/>
      <c r="D17" s="7"/>
      <c r="E17" s="8" t="s">
        <v>103</v>
      </c>
      <c r="F17" s="8" t="s">
        <v>63</v>
      </c>
      <c r="G17" s="21" t="s">
        <v>64</v>
      </c>
      <c r="H17" s="8"/>
      <c r="I17" s="7"/>
      <c r="J17" s="8"/>
      <c r="K17" s="21"/>
    </row>
    <row r="18" spans="1:11" x14ac:dyDescent="0.25">
      <c r="A18" s="20"/>
      <c r="B18" s="22"/>
      <c r="C18" s="23"/>
      <c r="D18" s="7"/>
      <c r="E18" s="8" t="s">
        <v>103</v>
      </c>
      <c r="F18" s="8" t="s">
        <v>55</v>
      </c>
      <c r="G18" s="21" t="s">
        <v>65</v>
      </c>
      <c r="H18" s="8"/>
      <c r="I18" s="7"/>
      <c r="J18" s="8"/>
      <c r="K18" s="21"/>
    </row>
    <row r="19" spans="1:11" x14ac:dyDescent="0.25">
      <c r="A19" s="20"/>
      <c r="B19" s="22"/>
      <c r="C19" s="23"/>
      <c r="D19" s="7"/>
      <c r="E19" s="8" t="s">
        <v>103</v>
      </c>
      <c r="F19" s="8" t="s">
        <v>55</v>
      </c>
      <c r="G19" s="21" t="s">
        <v>66</v>
      </c>
      <c r="H19" s="8"/>
      <c r="I19" s="7"/>
      <c r="J19" s="8"/>
      <c r="K19" s="21"/>
    </row>
    <row r="20" spans="1:11" x14ac:dyDescent="0.25">
      <c r="A20" s="20"/>
      <c r="B20" s="22"/>
      <c r="C20" s="23"/>
      <c r="D20" s="7"/>
      <c r="E20" s="8" t="s">
        <v>67</v>
      </c>
      <c r="F20" s="8" t="s">
        <v>69</v>
      </c>
      <c r="G20" s="21" t="s">
        <v>68</v>
      </c>
      <c r="H20" s="8"/>
      <c r="I20" s="7"/>
      <c r="J20" s="8"/>
      <c r="K20" s="21"/>
    </row>
    <row r="21" spans="1:11" x14ac:dyDescent="0.25">
      <c r="A21" s="20"/>
      <c r="B21" s="22"/>
      <c r="C21" s="23"/>
      <c r="D21" s="7"/>
      <c r="E21" s="8" t="s">
        <v>67</v>
      </c>
      <c r="F21" s="8" t="s">
        <v>55</v>
      </c>
      <c r="G21" s="21" t="s">
        <v>70</v>
      </c>
      <c r="H21" s="8"/>
      <c r="I21" s="7"/>
      <c r="J21" s="8"/>
      <c r="K21" s="21"/>
    </row>
    <row r="22" spans="1:11" x14ac:dyDescent="0.25">
      <c r="A22" s="20"/>
      <c r="B22" s="22"/>
      <c r="C22" s="23"/>
      <c r="D22" s="7"/>
      <c r="E22" s="8" t="s">
        <v>67</v>
      </c>
      <c r="F22" s="8" t="s">
        <v>55</v>
      </c>
      <c r="G22" s="21" t="s">
        <v>71</v>
      </c>
      <c r="H22" s="8"/>
      <c r="I22" s="7"/>
      <c r="J22" s="8"/>
      <c r="K22" s="21"/>
    </row>
    <row r="23" spans="1:11" x14ac:dyDescent="0.25">
      <c r="A23" s="20"/>
      <c r="B23" s="22"/>
      <c r="C23" s="23"/>
      <c r="D23" s="7"/>
      <c r="E23" s="8" t="s">
        <v>67</v>
      </c>
      <c r="F23" s="8" t="s">
        <v>55</v>
      </c>
      <c r="G23" s="21" t="s">
        <v>72</v>
      </c>
      <c r="H23" s="8"/>
      <c r="I23" s="7"/>
      <c r="J23" s="8"/>
      <c r="K23" s="21"/>
    </row>
    <row r="24" spans="1:11" x14ac:dyDescent="0.25">
      <c r="A24" s="20"/>
      <c r="B24" s="22"/>
      <c r="C24" s="23"/>
      <c r="D24" s="7"/>
      <c r="E24" s="8" t="s">
        <v>67</v>
      </c>
      <c r="F24" s="8" t="s">
        <v>75</v>
      </c>
      <c r="G24" s="21" t="s">
        <v>73</v>
      </c>
      <c r="H24" s="8"/>
      <c r="I24" s="7"/>
      <c r="J24" s="8"/>
      <c r="K24" s="21"/>
    </row>
    <row r="25" spans="1:11" x14ac:dyDescent="0.25">
      <c r="A25" s="20"/>
      <c r="B25" s="22"/>
      <c r="C25" s="23"/>
      <c r="D25" s="7"/>
      <c r="E25" s="8" t="s">
        <v>67</v>
      </c>
      <c r="F25" s="8" t="s">
        <v>55</v>
      </c>
      <c r="G25" s="21" t="s">
        <v>74</v>
      </c>
      <c r="H25" s="8"/>
      <c r="I25" s="7"/>
      <c r="J25" s="8"/>
      <c r="K25" s="21"/>
    </row>
    <row r="26" spans="1:11" x14ac:dyDescent="0.25">
      <c r="A26" s="20"/>
      <c r="B26" s="22"/>
      <c r="C26" s="23"/>
      <c r="D26" s="7"/>
      <c r="E26" s="8" t="s">
        <v>67</v>
      </c>
      <c r="F26" s="8" t="s">
        <v>55</v>
      </c>
      <c r="G26" s="21" t="s">
        <v>76</v>
      </c>
      <c r="H26" s="8"/>
      <c r="I26" s="7"/>
      <c r="J26" s="8"/>
      <c r="K26" s="21"/>
    </row>
    <row r="27" spans="1:11" x14ac:dyDescent="0.25">
      <c r="A27" s="20"/>
      <c r="B27" s="22"/>
      <c r="C27" s="23"/>
      <c r="D27" s="7"/>
      <c r="E27" s="8" t="s">
        <v>67</v>
      </c>
      <c r="F27" s="8" t="s">
        <v>55</v>
      </c>
      <c r="G27" s="21" t="s">
        <v>77</v>
      </c>
      <c r="H27" s="8"/>
      <c r="I27" s="7"/>
      <c r="J27" s="8"/>
      <c r="K27" s="21"/>
    </row>
    <row r="28" spans="1:11" x14ac:dyDescent="0.25">
      <c r="A28" s="20"/>
      <c r="B28" s="22"/>
      <c r="C28" s="23"/>
      <c r="D28" s="7"/>
      <c r="E28" s="8" t="s">
        <v>67</v>
      </c>
      <c r="F28" s="8" t="s">
        <v>59</v>
      </c>
      <c r="G28" s="21" t="s">
        <v>78</v>
      </c>
      <c r="H28" s="8"/>
      <c r="I28" s="7"/>
      <c r="J28" s="8"/>
      <c r="K28" s="21"/>
    </row>
    <row r="29" spans="1:11" x14ac:dyDescent="0.25">
      <c r="A29" s="20"/>
      <c r="B29" s="22"/>
      <c r="C29" s="23"/>
      <c r="D29" s="7"/>
      <c r="E29" s="8" t="s">
        <v>67</v>
      </c>
      <c r="F29" s="8" t="s">
        <v>75</v>
      </c>
      <c r="G29" s="21" t="s">
        <v>79</v>
      </c>
      <c r="H29" s="8"/>
      <c r="I29" s="7"/>
      <c r="J29" s="8"/>
      <c r="K29" s="21"/>
    </row>
    <row r="30" spans="1:11" x14ac:dyDescent="0.25">
      <c r="A30" s="20"/>
      <c r="B30" s="22"/>
      <c r="C30" s="23"/>
      <c r="D30" s="7"/>
      <c r="E30" s="8" t="s">
        <v>67</v>
      </c>
      <c r="F30" s="8" t="s">
        <v>55</v>
      </c>
      <c r="G30" s="21" t="s">
        <v>80</v>
      </c>
      <c r="H30" s="8"/>
      <c r="I30" s="7"/>
      <c r="J30" s="8"/>
      <c r="K30" s="21"/>
    </row>
    <row r="31" spans="1:11" x14ac:dyDescent="0.25">
      <c r="A31" s="20"/>
      <c r="B31" s="22"/>
      <c r="C31" s="23"/>
      <c r="D31" s="7"/>
      <c r="E31" s="8" t="s">
        <v>67</v>
      </c>
      <c r="F31" s="8" t="s">
        <v>55</v>
      </c>
      <c r="G31" s="21" t="s">
        <v>81</v>
      </c>
      <c r="H31" s="8"/>
      <c r="I31" s="7"/>
      <c r="J31" s="8"/>
      <c r="K31" s="21"/>
    </row>
    <row r="32" spans="1:11" x14ac:dyDescent="0.25">
      <c r="A32" s="20"/>
      <c r="B32" s="22"/>
      <c r="C32" s="23"/>
      <c r="D32" s="7"/>
      <c r="E32" s="8" t="s">
        <v>67</v>
      </c>
      <c r="F32" s="8" t="s">
        <v>55</v>
      </c>
      <c r="G32" s="21" t="s">
        <v>82</v>
      </c>
      <c r="H32" s="8"/>
      <c r="I32" s="7"/>
      <c r="J32" s="8"/>
      <c r="K32" s="21"/>
    </row>
    <row r="33" spans="1:11" x14ac:dyDescent="0.25">
      <c r="A33" s="20"/>
      <c r="B33" s="22"/>
      <c r="C33" s="23"/>
      <c r="D33" s="7"/>
      <c r="E33" s="8" t="s">
        <v>67</v>
      </c>
      <c r="F33" s="8" t="s">
        <v>55</v>
      </c>
      <c r="G33" s="21" t="s">
        <v>83</v>
      </c>
      <c r="H33" s="8"/>
      <c r="I33" s="7"/>
      <c r="J33" s="8"/>
      <c r="K33" s="21"/>
    </row>
    <row r="34" spans="1:11" x14ac:dyDescent="0.25">
      <c r="A34" s="20"/>
      <c r="B34" s="22"/>
      <c r="C34" s="23"/>
      <c r="D34" s="7"/>
      <c r="E34" s="8" t="s">
        <v>67</v>
      </c>
      <c r="F34" s="8" t="s">
        <v>55</v>
      </c>
      <c r="G34" s="21" t="s">
        <v>86</v>
      </c>
      <c r="H34" s="8"/>
      <c r="I34" s="7"/>
      <c r="J34" s="8"/>
      <c r="K34" s="21"/>
    </row>
    <row r="35" spans="1:11" x14ac:dyDescent="0.25">
      <c r="A35" s="20"/>
      <c r="B35" s="22"/>
      <c r="C35" s="23"/>
      <c r="D35" s="7"/>
      <c r="E35" s="8" t="s">
        <v>67</v>
      </c>
      <c r="F35" s="8" t="s">
        <v>55</v>
      </c>
      <c r="G35" s="21" t="s">
        <v>87</v>
      </c>
      <c r="H35" s="8"/>
      <c r="I35" s="7"/>
      <c r="J35" s="8"/>
      <c r="K35" s="21"/>
    </row>
    <row r="36" spans="1:11" x14ac:dyDescent="0.25">
      <c r="A36" s="20"/>
      <c r="B36" s="22"/>
      <c r="C36" s="23"/>
      <c r="D36" s="7"/>
      <c r="E36" s="8" t="s">
        <v>67</v>
      </c>
      <c r="F36" s="8" t="s">
        <v>55</v>
      </c>
      <c r="G36" s="21" t="s">
        <v>88</v>
      </c>
      <c r="H36" s="8"/>
      <c r="I36" s="7"/>
      <c r="J36" s="8"/>
      <c r="K36" s="21"/>
    </row>
    <row r="37" spans="1:11" x14ac:dyDescent="0.25">
      <c r="A37" s="20"/>
      <c r="B37" s="22"/>
      <c r="C37" s="23"/>
      <c r="D37" s="7"/>
      <c r="E37" s="8" t="s">
        <v>67</v>
      </c>
      <c r="F37" s="8" t="s">
        <v>55</v>
      </c>
      <c r="G37" s="21" t="s">
        <v>89</v>
      </c>
      <c r="H37" s="8"/>
      <c r="I37" s="7"/>
      <c r="J37" s="8"/>
      <c r="K37" s="21"/>
    </row>
    <row r="38" spans="1:11" x14ac:dyDescent="0.25">
      <c r="A38" s="20"/>
      <c r="B38" s="22"/>
      <c r="C38" s="23"/>
      <c r="D38" s="7"/>
      <c r="E38" s="8" t="s">
        <v>67</v>
      </c>
      <c r="F38" s="8" t="s">
        <v>55</v>
      </c>
      <c r="G38" s="21" t="s">
        <v>90</v>
      </c>
      <c r="H38" s="8"/>
      <c r="I38" s="7"/>
      <c r="J38" s="8"/>
      <c r="K38" s="21"/>
    </row>
    <row r="39" spans="1:11" x14ac:dyDescent="0.25">
      <c r="A39" s="20"/>
      <c r="B39" s="22"/>
      <c r="C39" s="23"/>
      <c r="D39" s="7"/>
      <c r="E39" s="8" t="s">
        <v>67</v>
      </c>
      <c r="F39" s="8" t="s">
        <v>55</v>
      </c>
      <c r="G39" s="21" t="s">
        <v>91</v>
      </c>
      <c r="H39" s="8"/>
      <c r="I39" s="7"/>
      <c r="J39" s="8"/>
      <c r="K39" s="21"/>
    </row>
    <row r="40" spans="1:11" x14ac:dyDescent="0.25">
      <c r="A40" s="20"/>
      <c r="B40" s="22"/>
      <c r="C40" s="23"/>
      <c r="D40" s="7"/>
      <c r="E40" s="8" t="s">
        <v>67</v>
      </c>
      <c r="F40" s="8" t="s">
        <v>55</v>
      </c>
      <c r="G40" s="21" t="s">
        <v>92</v>
      </c>
      <c r="H40" s="8"/>
      <c r="I40" s="7"/>
      <c r="J40" s="8"/>
      <c r="K40" s="21"/>
    </row>
    <row r="41" spans="1:11" x14ac:dyDescent="0.25">
      <c r="A41" s="20"/>
      <c r="B41" s="22"/>
      <c r="C41" s="23"/>
      <c r="D41" s="7"/>
      <c r="E41" s="8" t="s">
        <v>67</v>
      </c>
      <c r="F41" s="8" t="s">
        <v>55</v>
      </c>
      <c r="G41" s="21" t="s">
        <v>93</v>
      </c>
      <c r="H41" s="8"/>
      <c r="I41" s="7"/>
      <c r="J41" s="8"/>
      <c r="K41" s="21"/>
    </row>
    <row r="42" spans="1:11" x14ac:dyDescent="0.25">
      <c r="A42" s="20"/>
      <c r="B42" s="22"/>
      <c r="C42" s="23"/>
      <c r="D42" s="7"/>
      <c r="E42" s="8" t="s">
        <v>67</v>
      </c>
      <c r="F42" s="8" t="s">
        <v>55</v>
      </c>
      <c r="G42" s="21" t="s">
        <v>94</v>
      </c>
      <c r="H42" s="8"/>
      <c r="I42" s="7"/>
      <c r="J42" s="8"/>
      <c r="K42" s="21"/>
    </row>
    <row r="43" spans="1:11" x14ac:dyDescent="0.25">
      <c r="A43" s="20"/>
      <c r="B43" s="22"/>
      <c r="C43" s="23"/>
      <c r="D43" s="7"/>
      <c r="E43" s="8" t="s">
        <v>67</v>
      </c>
      <c r="F43" s="8" t="s">
        <v>55</v>
      </c>
      <c r="G43" s="21" t="s">
        <v>95</v>
      </c>
      <c r="H43" s="8"/>
      <c r="I43" s="7"/>
      <c r="J43" s="8"/>
      <c r="K43" s="21"/>
    </row>
    <row r="44" spans="1:11" x14ac:dyDescent="0.25">
      <c r="A44" s="20"/>
      <c r="B44" s="22"/>
      <c r="C44" s="23"/>
      <c r="D44" s="7"/>
      <c r="E44" s="8" t="s">
        <v>67</v>
      </c>
      <c r="F44" s="8" t="s">
        <v>104</v>
      </c>
      <c r="G44" s="21" t="s">
        <v>96</v>
      </c>
      <c r="H44" s="8"/>
      <c r="I44" s="7"/>
      <c r="J44" s="8"/>
      <c r="K44" s="21"/>
    </row>
    <row r="45" spans="1:11" x14ac:dyDescent="0.25">
      <c r="A45" s="20"/>
      <c r="B45" s="22"/>
      <c r="C45" s="23"/>
      <c r="D45" s="7"/>
      <c r="E45" s="8" t="s">
        <v>67</v>
      </c>
      <c r="F45" s="8" t="s">
        <v>55</v>
      </c>
      <c r="G45" s="21" t="s">
        <v>97</v>
      </c>
      <c r="H45" s="8"/>
      <c r="I45" s="7"/>
      <c r="J45" s="8"/>
      <c r="K45" s="21"/>
    </row>
    <row r="46" spans="1:11" x14ac:dyDescent="0.25">
      <c r="A46" s="20"/>
      <c r="B46" s="22"/>
      <c r="C46" s="23"/>
      <c r="D46" s="7"/>
      <c r="E46" s="8" t="s">
        <v>67</v>
      </c>
      <c r="F46" s="8" t="s">
        <v>55</v>
      </c>
      <c r="G46" s="21" t="s">
        <v>98</v>
      </c>
      <c r="H46" s="8"/>
      <c r="I46" s="7"/>
      <c r="J46" s="8"/>
      <c r="K46" s="21"/>
    </row>
    <row r="47" spans="1:11" x14ac:dyDescent="0.25">
      <c r="A47" s="20"/>
      <c r="B47" s="22"/>
      <c r="C47" s="23"/>
      <c r="D47" s="7"/>
      <c r="E47" s="8" t="s">
        <v>67</v>
      </c>
      <c r="F47" s="8" t="s">
        <v>55</v>
      </c>
      <c r="G47" s="21" t="s">
        <v>99</v>
      </c>
      <c r="H47" s="8"/>
      <c r="I47" s="7"/>
      <c r="J47" s="8"/>
      <c r="K47" s="21"/>
    </row>
    <row r="48" spans="1:11" x14ac:dyDescent="0.25">
      <c r="A48" s="20"/>
      <c r="B48" s="22"/>
      <c r="C48" s="23"/>
      <c r="D48" s="7"/>
      <c r="E48" s="8" t="s">
        <v>67</v>
      </c>
      <c r="F48" s="8" t="s">
        <v>55</v>
      </c>
      <c r="G48" s="21" t="s">
        <v>100</v>
      </c>
      <c r="H48" s="8"/>
      <c r="I48" s="7"/>
      <c r="J48" s="8"/>
      <c r="K48" s="21"/>
    </row>
    <row r="49" spans="1:11" x14ac:dyDescent="0.25">
      <c r="A49" s="20"/>
      <c r="B49" s="22"/>
      <c r="C49" s="23"/>
      <c r="D49" s="7"/>
      <c r="E49" s="8" t="s">
        <v>67</v>
      </c>
      <c r="F49" s="8" t="s">
        <v>55</v>
      </c>
      <c r="G49" s="21" t="s">
        <v>101</v>
      </c>
      <c r="H49" s="8"/>
      <c r="I49" s="7"/>
      <c r="J49" s="8"/>
      <c r="K49" s="21"/>
    </row>
    <row r="50" spans="1:11" x14ac:dyDescent="0.25">
      <c r="A50" s="20"/>
      <c r="B50" s="22"/>
      <c r="C50" s="23"/>
      <c r="D50" s="7"/>
      <c r="E50" s="8" t="s">
        <v>67</v>
      </c>
      <c r="F50" s="8" t="s">
        <v>55</v>
      </c>
      <c r="G50" s="21" t="s">
        <v>102</v>
      </c>
      <c r="H50" s="8"/>
      <c r="I50" s="7"/>
      <c r="J50" s="8"/>
      <c r="K50" s="21"/>
    </row>
    <row r="51" spans="1:11" x14ac:dyDescent="0.25">
      <c r="A51" s="20"/>
      <c r="B51" s="22"/>
      <c r="C51" s="23"/>
      <c r="D51" s="7"/>
      <c r="E51" s="8" t="s">
        <v>67</v>
      </c>
      <c r="F51" s="8" t="s">
        <v>104</v>
      </c>
      <c r="G51" s="21" t="s">
        <v>106</v>
      </c>
      <c r="H51" s="8"/>
      <c r="I51" s="7"/>
      <c r="J51" s="8"/>
      <c r="K51" s="21"/>
    </row>
    <row r="52" spans="1:11" x14ac:dyDescent="0.25">
      <c r="A52" s="20"/>
      <c r="B52" s="22"/>
      <c r="C52" s="23"/>
      <c r="D52" s="7"/>
      <c r="E52" s="8"/>
      <c r="F52" s="8"/>
      <c r="G52" s="21"/>
      <c r="H52" s="8"/>
      <c r="I52" s="7"/>
      <c r="J52" s="8"/>
      <c r="K52" s="21"/>
    </row>
    <row r="53" spans="1:11" x14ac:dyDescent="0.25">
      <c r="A53" s="20"/>
      <c r="B53" s="22"/>
      <c r="C53" s="23"/>
      <c r="D53" s="7"/>
      <c r="E53" s="8"/>
      <c r="F53" s="8"/>
      <c r="G53" s="21"/>
      <c r="H53" s="8"/>
      <c r="I53" s="7"/>
      <c r="J53" s="8"/>
      <c r="K53" s="21"/>
    </row>
    <row r="54" spans="1:11" x14ac:dyDescent="0.25">
      <c r="A54" s="20"/>
      <c r="B54" s="22"/>
      <c r="C54" s="23"/>
      <c r="D54" s="7"/>
      <c r="E54" s="8"/>
      <c r="F54" s="8"/>
      <c r="G54" s="21"/>
      <c r="H54" s="8"/>
      <c r="I54" s="7"/>
      <c r="J54" s="8"/>
      <c r="K54" s="21"/>
    </row>
    <row r="55" spans="1:11" x14ac:dyDescent="0.25">
      <c r="A55" s="20"/>
      <c r="B55" s="22"/>
      <c r="C55" s="23"/>
      <c r="D55" s="7"/>
      <c r="E55" s="8"/>
      <c r="F55" s="8"/>
      <c r="G55" s="21"/>
      <c r="H55" s="8"/>
      <c r="I55" s="7"/>
      <c r="J55" s="8"/>
      <c r="K55" s="21"/>
    </row>
    <row r="56" spans="1:11" x14ac:dyDescent="0.25">
      <c r="A56" s="20"/>
      <c r="B56" s="22"/>
      <c r="C56" s="23"/>
      <c r="D56" s="7"/>
      <c r="E56" s="8"/>
      <c r="F56" s="8"/>
      <c r="G56" s="21"/>
      <c r="H56" s="8"/>
      <c r="I56" s="7"/>
      <c r="J56" s="8"/>
      <c r="K56" s="21"/>
    </row>
    <row r="57" spans="1:11" x14ac:dyDescent="0.25">
      <c r="A57" s="20"/>
      <c r="B57" s="22"/>
      <c r="C57" s="23"/>
      <c r="D57" s="7"/>
      <c r="E57" s="8"/>
      <c r="F57" s="8"/>
      <c r="G57" s="21"/>
      <c r="H57" s="8"/>
      <c r="I57" s="7"/>
      <c r="J57" s="8"/>
      <c r="K57" s="21"/>
    </row>
    <row r="58" spans="1:11" x14ac:dyDescent="0.25">
      <c r="A58" s="20"/>
      <c r="B58" s="22"/>
      <c r="C58" s="23"/>
      <c r="D58" s="7"/>
      <c r="E58" s="8"/>
      <c r="F58" s="8"/>
      <c r="G58" s="21"/>
      <c r="H58" s="8"/>
      <c r="I58" s="7"/>
      <c r="J58" s="8"/>
      <c r="K58" s="21"/>
    </row>
    <row r="59" spans="1:11" x14ac:dyDescent="0.25">
      <c r="A59" s="20"/>
      <c r="B59" s="22"/>
      <c r="C59" s="23"/>
      <c r="D59" s="7"/>
      <c r="E59" s="8"/>
      <c r="F59" s="8"/>
      <c r="G59" s="21"/>
      <c r="H59" s="8"/>
      <c r="I59" s="7"/>
      <c r="J59" s="8"/>
      <c r="K59" s="21"/>
    </row>
    <row r="60" spans="1:11" x14ac:dyDescent="0.25">
      <c r="A60" s="20"/>
      <c r="B60" s="22"/>
      <c r="C60" s="23"/>
      <c r="D60" s="7"/>
      <c r="E60" s="8"/>
      <c r="F60" s="8"/>
      <c r="G60" s="21"/>
      <c r="H60" s="8"/>
      <c r="I60" s="7"/>
      <c r="J60" s="8"/>
      <c r="K60" s="21"/>
    </row>
    <row r="61" spans="1:11" x14ac:dyDescent="0.25">
      <c r="A61" s="20"/>
      <c r="B61" s="22"/>
      <c r="C61" s="23"/>
      <c r="D61" s="7"/>
      <c r="E61" s="8"/>
      <c r="F61" s="8"/>
      <c r="G61" s="21"/>
      <c r="H61" s="8"/>
      <c r="I61" s="7"/>
      <c r="J61" s="8"/>
      <c r="K61" s="21"/>
    </row>
    <row r="62" spans="1:11" x14ac:dyDescent="0.25">
      <c r="A62" s="20"/>
      <c r="B62" s="22"/>
      <c r="C62" s="23"/>
      <c r="D62" s="7"/>
      <c r="E62" s="8"/>
      <c r="F62" s="8"/>
      <c r="G62" s="21"/>
      <c r="H62" s="8"/>
      <c r="I62" s="7"/>
      <c r="J62" s="8"/>
      <c r="K62" s="21"/>
    </row>
    <row r="63" spans="1:11" x14ac:dyDescent="0.25">
      <c r="A63" s="20"/>
      <c r="B63" s="22"/>
      <c r="C63" s="23"/>
      <c r="D63" s="7"/>
      <c r="E63" s="8"/>
      <c r="F63" s="8"/>
      <c r="G63" s="21"/>
      <c r="H63" s="8"/>
      <c r="I63" s="7"/>
      <c r="J63" s="8"/>
      <c r="K63" s="21"/>
    </row>
    <row r="64" spans="1:11" x14ac:dyDescent="0.25">
      <c r="A64" s="20"/>
      <c r="B64" s="22"/>
      <c r="C64" s="23"/>
      <c r="D64" s="7"/>
      <c r="E64" s="8"/>
      <c r="F64" s="8"/>
      <c r="G64" s="21"/>
      <c r="H64" s="8"/>
      <c r="I64" s="7"/>
      <c r="J64" s="8"/>
      <c r="K64" s="21"/>
    </row>
    <row r="65" spans="1:11" x14ac:dyDescent="0.25">
      <c r="A65" s="20"/>
      <c r="B65" s="22"/>
      <c r="C65" s="23"/>
      <c r="D65" s="7"/>
      <c r="E65" s="8"/>
      <c r="F65" s="8"/>
      <c r="G65" s="21"/>
      <c r="H65" s="8"/>
      <c r="I65" s="7"/>
      <c r="J65" s="8"/>
      <c r="K65" s="21"/>
    </row>
    <row r="66" spans="1:11" x14ac:dyDescent="0.25">
      <c r="A66" s="20"/>
      <c r="B66" s="22"/>
      <c r="C66" s="23"/>
      <c r="D66" s="7"/>
      <c r="E66" s="8"/>
      <c r="F66" s="8"/>
      <c r="G66" s="21"/>
      <c r="H66" s="8"/>
      <c r="I66" s="7"/>
      <c r="J66" s="8"/>
      <c r="K66" s="21"/>
    </row>
    <row r="67" spans="1:11" x14ac:dyDescent="0.25">
      <c r="A67" s="20"/>
      <c r="B67" s="22"/>
      <c r="C67" s="23"/>
      <c r="D67" s="7"/>
      <c r="E67" s="8"/>
      <c r="F67" s="8"/>
      <c r="G67" s="21"/>
      <c r="H67" s="8"/>
      <c r="I67" s="7"/>
      <c r="J67" s="8"/>
      <c r="K67" s="21"/>
    </row>
    <row r="68" spans="1:11" x14ac:dyDescent="0.25">
      <c r="A68" s="20"/>
      <c r="B68" s="22"/>
      <c r="C68" s="23"/>
      <c r="D68" s="7"/>
      <c r="E68" s="8"/>
      <c r="F68" s="8"/>
      <c r="G68" s="21"/>
      <c r="H68" s="8"/>
      <c r="I68" s="7"/>
      <c r="J68" s="8"/>
      <c r="K68" s="21"/>
    </row>
    <row r="69" spans="1:11" x14ac:dyDescent="0.25">
      <c r="A69" s="20"/>
      <c r="B69" s="22"/>
      <c r="C69" s="23"/>
      <c r="D69" s="7"/>
      <c r="E69" s="8"/>
      <c r="F69" s="8"/>
      <c r="G69" s="21"/>
      <c r="H69" s="8"/>
      <c r="I69" s="7"/>
      <c r="J69" s="8"/>
      <c r="K69" s="21"/>
    </row>
    <row r="70" spans="1:11" x14ac:dyDescent="0.25">
      <c r="A70" s="20"/>
      <c r="B70" s="22"/>
      <c r="C70" s="23"/>
      <c r="D70" s="7"/>
      <c r="E70" s="8"/>
      <c r="F70" s="8"/>
      <c r="G70" s="21"/>
      <c r="H70" s="8"/>
      <c r="I70" s="7"/>
      <c r="J70" s="8"/>
      <c r="K70" s="21"/>
    </row>
    <row r="71" spans="1:11" x14ac:dyDescent="0.25">
      <c r="A71" s="20"/>
      <c r="B71" s="22"/>
      <c r="C71" s="23"/>
      <c r="D71" s="7"/>
      <c r="E71" s="8"/>
      <c r="F71" s="8"/>
      <c r="G71" s="21"/>
      <c r="H71" s="8"/>
      <c r="I71" s="7"/>
      <c r="J71" s="8"/>
      <c r="K71" s="21"/>
    </row>
    <row r="72" spans="1:11" x14ac:dyDescent="0.25">
      <c r="A72" s="20"/>
      <c r="B72" s="22"/>
      <c r="C72" s="23"/>
      <c r="D72" s="7"/>
      <c r="E72" s="8"/>
      <c r="F72" s="8"/>
      <c r="G72" s="21"/>
      <c r="H72" s="8"/>
      <c r="I72" s="7"/>
      <c r="J72" s="8"/>
      <c r="K72" s="21"/>
    </row>
    <row r="73" spans="1:11" x14ac:dyDescent="0.25">
      <c r="A73" s="20"/>
      <c r="B73" s="22"/>
      <c r="C73" s="23"/>
      <c r="D73" s="7"/>
      <c r="E73" s="8"/>
      <c r="F73" s="8"/>
      <c r="G73" s="21"/>
      <c r="H73" s="8"/>
      <c r="I73" s="7"/>
      <c r="J73" s="8"/>
      <c r="K73" s="21"/>
    </row>
    <row r="74" spans="1:11" x14ac:dyDescent="0.25">
      <c r="A74" s="20"/>
      <c r="B74" s="22"/>
      <c r="C74" s="23"/>
      <c r="D74" s="7"/>
      <c r="E74" s="8"/>
      <c r="F74" s="8"/>
      <c r="G74" s="21"/>
      <c r="H74" s="8"/>
      <c r="I74" s="7"/>
      <c r="J74" s="8"/>
      <c r="K74" s="21"/>
    </row>
    <row r="75" spans="1:11" x14ac:dyDescent="0.25">
      <c r="A75" s="20"/>
      <c r="B75" s="22"/>
      <c r="C75" s="23"/>
      <c r="D75" s="7"/>
      <c r="E75" s="8"/>
      <c r="F75" s="8"/>
      <c r="G75" s="21"/>
      <c r="H75" s="8"/>
      <c r="I75" s="7"/>
      <c r="J75" s="8"/>
      <c r="K75" s="21"/>
    </row>
    <row r="76" spans="1:11" x14ac:dyDescent="0.25">
      <c r="A76" s="20"/>
      <c r="B76" s="22"/>
      <c r="C76" s="23"/>
      <c r="D76" s="7"/>
      <c r="E76" s="8"/>
      <c r="F76" s="8"/>
      <c r="G76" s="21"/>
      <c r="H76" s="8"/>
      <c r="I76" s="7"/>
      <c r="J76" s="8"/>
      <c r="K76" s="21"/>
    </row>
    <row r="77" spans="1:11" x14ac:dyDescent="0.25">
      <c r="A77" s="20"/>
      <c r="B77" s="22"/>
      <c r="C77" s="23"/>
      <c r="D77" s="7"/>
      <c r="E77" s="8"/>
      <c r="F77" s="8"/>
      <c r="G77" s="21"/>
      <c r="H77" s="8"/>
      <c r="I77" s="7"/>
      <c r="J77" s="8"/>
      <c r="K77" s="21"/>
    </row>
    <row r="78" spans="1:11" x14ac:dyDescent="0.25">
      <c r="A78" s="20"/>
      <c r="B78" s="22"/>
      <c r="C78" s="23"/>
      <c r="D78" s="7"/>
      <c r="E78" s="8"/>
      <c r="F78" s="8"/>
      <c r="G78" s="21"/>
      <c r="H78" s="8"/>
      <c r="I78" s="7"/>
      <c r="J78" s="8"/>
      <c r="K78" s="21"/>
    </row>
    <row r="79" spans="1:11" x14ac:dyDescent="0.25">
      <c r="A79" s="20"/>
      <c r="B79" s="22"/>
      <c r="C79" s="23"/>
      <c r="D79" s="7"/>
      <c r="E79" s="8"/>
      <c r="F79" s="8"/>
      <c r="G79" s="21"/>
      <c r="H79" s="8"/>
      <c r="I79" s="7"/>
      <c r="J79" s="8"/>
      <c r="K79" s="21"/>
    </row>
    <row r="80" spans="1:11" x14ac:dyDescent="0.25">
      <c r="A80" s="20"/>
      <c r="B80" s="22"/>
      <c r="C80" s="23"/>
      <c r="D80" s="7"/>
      <c r="E80" s="8"/>
      <c r="F80" s="8"/>
      <c r="G80" s="21"/>
      <c r="H80" s="8"/>
      <c r="I80" s="7"/>
      <c r="J80" s="8"/>
      <c r="K80" s="21"/>
    </row>
    <row r="81" spans="1:11" x14ac:dyDescent="0.25">
      <c r="A81" s="20"/>
      <c r="B81" s="22"/>
      <c r="C81" s="23"/>
      <c r="D81" s="7"/>
      <c r="E81" s="8"/>
      <c r="F81" s="8"/>
      <c r="G81" s="21"/>
      <c r="H81" s="8"/>
      <c r="I81" s="7"/>
      <c r="J81" s="8"/>
      <c r="K81" s="21"/>
    </row>
    <row r="82" spans="1:11" x14ac:dyDescent="0.25">
      <c r="A82" s="20"/>
      <c r="B82" s="22"/>
      <c r="C82" s="23"/>
      <c r="D82" s="7"/>
      <c r="E82" s="8"/>
      <c r="F82" s="8"/>
      <c r="G82" s="21"/>
      <c r="H82" s="8"/>
      <c r="I82" s="7"/>
      <c r="J82" s="8"/>
      <c r="K82" s="21"/>
    </row>
    <row r="83" spans="1:11" x14ac:dyDescent="0.25">
      <c r="A83" s="20"/>
      <c r="B83" s="22"/>
      <c r="C83" s="23"/>
      <c r="D83" s="7"/>
      <c r="E83" s="8"/>
      <c r="F83" s="8"/>
      <c r="G83" s="21"/>
      <c r="H83" s="8"/>
      <c r="I83" s="7"/>
      <c r="J83" s="8"/>
      <c r="K83" s="21"/>
    </row>
    <row r="84" spans="1:11" x14ac:dyDescent="0.25">
      <c r="A84" s="20"/>
      <c r="B84" s="22"/>
      <c r="C84" s="23"/>
      <c r="D84" s="7"/>
      <c r="E84" s="8"/>
      <c r="F84" s="8"/>
      <c r="G84" s="21"/>
      <c r="H84" s="8"/>
      <c r="I84" s="7"/>
      <c r="J84" s="8"/>
      <c r="K84" s="21"/>
    </row>
    <row r="85" spans="1:11" x14ac:dyDescent="0.25">
      <c r="A85" s="20"/>
      <c r="B85" s="22"/>
      <c r="C85" s="23"/>
      <c r="D85" s="7"/>
      <c r="E85" s="8"/>
      <c r="F85" s="8"/>
      <c r="G85" s="21"/>
      <c r="H85" s="8"/>
      <c r="I85" s="7"/>
      <c r="J85" s="8"/>
      <c r="K85" s="21"/>
    </row>
    <row r="86" spans="1:11" x14ac:dyDescent="0.25">
      <c r="A86" s="20"/>
      <c r="B86" s="22"/>
      <c r="C86" s="23"/>
      <c r="D86" s="7"/>
      <c r="E86" s="8"/>
      <c r="F86" s="8"/>
      <c r="G86" s="21"/>
      <c r="H86" s="8"/>
      <c r="I86" s="7"/>
      <c r="J86" s="8"/>
      <c r="K86" s="21"/>
    </row>
    <row r="87" spans="1:11" x14ac:dyDescent="0.25">
      <c r="A87" s="20"/>
      <c r="B87" s="22"/>
      <c r="C87" s="23"/>
      <c r="D87" s="7"/>
      <c r="E87" s="8"/>
      <c r="F87" s="8"/>
      <c r="G87" s="21"/>
      <c r="H87" s="8"/>
      <c r="I87" s="7"/>
      <c r="J87" s="8"/>
      <c r="K87" s="21"/>
    </row>
    <row r="88" spans="1:11" x14ac:dyDescent="0.25">
      <c r="A88" s="20"/>
      <c r="B88" s="22"/>
      <c r="C88" s="23"/>
      <c r="D88" s="7"/>
      <c r="E88" s="8"/>
      <c r="F88" s="8"/>
      <c r="G88" s="21"/>
      <c r="H88" s="8"/>
      <c r="I88" s="7"/>
      <c r="J88" s="8"/>
      <c r="K88" s="21"/>
    </row>
    <row r="89" spans="1:11" x14ac:dyDescent="0.25">
      <c r="A89" s="20"/>
      <c r="B89" s="22"/>
      <c r="C89" s="23"/>
      <c r="D89" s="7"/>
      <c r="E89" s="8"/>
      <c r="F89" s="8"/>
      <c r="G89" s="21"/>
      <c r="H89" s="8"/>
      <c r="I89" s="7"/>
      <c r="J89" s="8"/>
      <c r="K89" s="21"/>
    </row>
    <row r="90" spans="1:11" x14ac:dyDescent="0.25">
      <c r="A90" s="20"/>
      <c r="B90" s="22"/>
      <c r="C90" s="23"/>
      <c r="D90" s="7"/>
      <c r="E90" s="8"/>
      <c r="F90" s="8"/>
      <c r="G90" s="21"/>
      <c r="H90" s="8"/>
      <c r="I90" s="7"/>
      <c r="J90" s="8"/>
      <c r="K90" s="21"/>
    </row>
    <row r="91" spans="1:11" x14ac:dyDescent="0.25">
      <c r="A91" s="20"/>
      <c r="B91" s="22"/>
      <c r="C91" s="23"/>
      <c r="D91" s="7"/>
      <c r="E91" s="8"/>
      <c r="F91" s="8"/>
      <c r="G91" s="21"/>
      <c r="H91" s="8"/>
      <c r="I91" s="7"/>
      <c r="J91" s="8"/>
      <c r="K91" s="21"/>
    </row>
    <row r="92" spans="1:11" x14ac:dyDescent="0.25">
      <c r="A92" s="20"/>
      <c r="B92" s="22"/>
      <c r="C92" s="23"/>
      <c r="D92" s="7"/>
      <c r="E92" s="8"/>
      <c r="F92" s="8"/>
      <c r="G92" s="21"/>
      <c r="H92" s="8"/>
      <c r="I92" s="7"/>
      <c r="J92" s="8"/>
      <c r="K92" s="21"/>
    </row>
    <row r="93" spans="1:11" x14ac:dyDescent="0.25">
      <c r="A93" s="20"/>
      <c r="B93" s="22"/>
      <c r="C93" s="23"/>
      <c r="D93" s="7"/>
      <c r="E93" s="8"/>
      <c r="F93" s="8"/>
      <c r="G93" s="21"/>
      <c r="H93" s="8"/>
      <c r="I93" s="7"/>
      <c r="J93" s="8"/>
      <c r="K93" s="21"/>
    </row>
    <row r="94" spans="1:11" x14ac:dyDescent="0.25">
      <c r="A94" s="20"/>
      <c r="B94" s="22"/>
      <c r="C94" s="23"/>
      <c r="D94" s="7"/>
      <c r="E94" s="8"/>
      <c r="F94" s="8"/>
      <c r="G94" s="21"/>
      <c r="H94" s="8"/>
      <c r="I94" s="7"/>
      <c r="J94" s="8"/>
      <c r="K94" s="21"/>
    </row>
    <row r="95" spans="1:11" x14ac:dyDescent="0.25">
      <c r="A95" s="20"/>
      <c r="B95" s="22"/>
      <c r="C95" s="23"/>
      <c r="D95" s="7"/>
      <c r="E95" s="8"/>
      <c r="F95" s="8"/>
      <c r="G95" s="21"/>
      <c r="H95" s="8"/>
      <c r="I95" s="7"/>
      <c r="J95" s="8"/>
      <c r="K95" s="21"/>
    </row>
    <row r="96" spans="1:11" x14ac:dyDescent="0.25">
      <c r="A96" s="20"/>
      <c r="B96" s="22"/>
      <c r="C96" s="23"/>
      <c r="D96" s="7"/>
      <c r="E96" s="8"/>
      <c r="F96" s="8"/>
      <c r="G96" s="21"/>
      <c r="H96" s="8"/>
      <c r="I96" s="7"/>
      <c r="J96" s="8"/>
      <c r="K96" s="21"/>
    </row>
    <row r="97" spans="1:11" x14ac:dyDescent="0.25">
      <c r="A97" s="20"/>
      <c r="B97" s="22"/>
      <c r="C97" s="23"/>
      <c r="D97" s="7"/>
      <c r="E97" s="8"/>
      <c r="F97" s="8"/>
      <c r="G97" s="21"/>
      <c r="H97" s="8"/>
      <c r="I97" s="7"/>
      <c r="J97" s="8"/>
      <c r="K97" s="21"/>
    </row>
    <row r="98" spans="1:11" x14ac:dyDescent="0.25">
      <c r="A98" s="20"/>
      <c r="B98" s="22"/>
      <c r="C98" s="23"/>
      <c r="D98" s="7"/>
      <c r="E98" s="8"/>
      <c r="F98" s="8"/>
      <c r="G98" s="21"/>
      <c r="H98" s="8"/>
      <c r="I98" s="7"/>
      <c r="J98" s="8"/>
      <c r="K98" s="21"/>
    </row>
    <row r="99" spans="1:11" x14ac:dyDescent="0.25">
      <c r="A99" s="20"/>
      <c r="B99" s="22"/>
      <c r="C99" s="23"/>
      <c r="D99" s="7"/>
      <c r="E99" s="8"/>
      <c r="F99" s="8"/>
      <c r="G99" s="21"/>
      <c r="H99" s="8"/>
      <c r="I99" s="7"/>
      <c r="J99" s="8"/>
      <c r="K99" s="21"/>
    </row>
    <row r="100" spans="1:11" x14ac:dyDescent="0.25">
      <c r="A100" s="20"/>
      <c r="B100" s="22"/>
      <c r="C100" s="23"/>
      <c r="D100" s="7"/>
      <c r="E100" s="8"/>
      <c r="F100" s="8"/>
      <c r="G100" s="21"/>
      <c r="H100" s="8"/>
      <c r="I100" s="7"/>
      <c r="J100" s="8"/>
      <c r="K100" s="21"/>
    </row>
    <row r="101" spans="1:11" x14ac:dyDescent="0.25">
      <c r="A101" s="20"/>
      <c r="B101" s="22"/>
      <c r="C101" s="23"/>
      <c r="D101" s="7"/>
      <c r="E101" s="8"/>
      <c r="F101" s="8"/>
      <c r="G101" s="21"/>
      <c r="H101" s="8"/>
      <c r="I101" s="7"/>
      <c r="J101" s="8"/>
      <c r="K101" s="21"/>
    </row>
    <row r="102" spans="1:11" x14ac:dyDescent="0.25">
      <c r="A102" s="20"/>
      <c r="B102" s="22"/>
      <c r="C102" s="23"/>
      <c r="D102" s="7"/>
      <c r="E102" s="8"/>
      <c r="F102" s="8"/>
      <c r="G102" s="21"/>
      <c r="H102" s="8"/>
      <c r="I102" s="7"/>
      <c r="J102" s="8"/>
      <c r="K102" s="21"/>
    </row>
    <row r="103" spans="1:11" x14ac:dyDescent="0.25">
      <c r="A103" s="20"/>
      <c r="B103" s="22"/>
      <c r="C103" s="23"/>
      <c r="D103" s="7"/>
      <c r="E103" s="8"/>
      <c r="F103" s="8"/>
      <c r="G103" s="21"/>
      <c r="H103" s="8"/>
      <c r="I103" s="7"/>
      <c r="J103" s="8"/>
      <c r="K103" s="21"/>
    </row>
    <row r="104" spans="1:11" x14ac:dyDescent="0.25">
      <c r="A104" s="20"/>
      <c r="B104" s="22"/>
      <c r="C104" s="23"/>
      <c r="D104" s="7"/>
      <c r="E104" s="8"/>
      <c r="F104" s="8"/>
      <c r="G104" s="21"/>
      <c r="H104" s="8"/>
      <c r="I104" s="7"/>
      <c r="J104" s="8"/>
      <c r="K104" s="21"/>
    </row>
    <row r="105" spans="1:11" x14ac:dyDescent="0.25">
      <c r="A105" s="20"/>
      <c r="B105" s="22"/>
      <c r="C105" s="23"/>
      <c r="D105" s="7"/>
      <c r="E105" s="8"/>
      <c r="F105" s="8"/>
      <c r="G105" s="21"/>
      <c r="H105" s="8"/>
      <c r="I105" s="7"/>
      <c r="J105" s="8"/>
      <c r="K105" s="21"/>
    </row>
    <row r="106" spans="1:11" x14ac:dyDescent="0.25">
      <c r="A106" s="20"/>
      <c r="B106" s="22"/>
      <c r="C106" s="23"/>
      <c r="D106" s="7"/>
      <c r="E106" s="8"/>
      <c r="F106" s="8"/>
      <c r="G106" s="21"/>
      <c r="H106" s="8"/>
      <c r="I106" s="7"/>
      <c r="J106" s="8"/>
      <c r="K106" s="21"/>
    </row>
    <row r="107" spans="1:11" x14ac:dyDescent="0.25">
      <c r="A107" s="20"/>
      <c r="B107" s="22"/>
      <c r="C107" s="23"/>
      <c r="D107" s="7"/>
      <c r="E107" s="8"/>
      <c r="F107" s="8"/>
      <c r="G107" s="21"/>
      <c r="H107" s="8"/>
      <c r="I107" s="7"/>
      <c r="J107" s="8"/>
      <c r="K107" s="21"/>
    </row>
    <row r="108" spans="1:11" x14ac:dyDescent="0.25">
      <c r="A108" s="20"/>
      <c r="B108" s="22"/>
      <c r="C108" s="23"/>
      <c r="D108" s="7"/>
      <c r="E108" s="8"/>
      <c r="F108" s="8"/>
      <c r="G108" s="21"/>
      <c r="H108" s="8"/>
      <c r="I108" s="7"/>
      <c r="J108" s="8"/>
      <c r="K108" s="21"/>
    </row>
    <row r="109" spans="1:11" x14ac:dyDescent="0.25">
      <c r="A109" s="20"/>
      <c r="B109" s="22"/>
      <c r="C109" s="23"/>
      <c r="D109" s="7"/>
      <c r="E109" s="8"/>
      <c r="F109" s="8"/>
      <c r="G109" s="21"/>
      <c r="H109" s="8"/>
      <c r="I109" s="7"/>
      <c r="J109" s="8"/>
      <c r="K109" s="21"/>
    </row>
    <row r="110" spans="1:11" x14ac:dyDescent="0.25">
      <c r="A110" s="20"/>
      <c r="B110" s="22"/>
      <c r="C110" s="23"/>
      <c r="D110" s="7"/>
      <c r="E110" s="8"/>
      <c r="F110" s="8"/>
      <c r="G110" s="21"/>
      <c r="H110" s="8"/>
      <c r="I110" s="7"/>
      <c r="J110" s="8"/>
      <c r="K110" s="21"/>
    </row>
    <row r="111" spans="1:11" x14ac:dyDescent="0.25">
      <c r="A111" s="20"/>
      <c r="B111" s="22"/>
      <c r="C111" s="23"/>
      <c r="D111" s="7"/>
      <c r="E111" s="8"/>
      <c r="F111" s="8"/>
      <c r="G111" s="21"/>
      <c r="H111" s="8"/>
      <c r="I111" s="7"/>
      <c r="J111" s="8"/>
      <c r="K111" s="21"/>
    </row>
    <row r="112" spans="1:11" x14ac:dyDescent="0.25">
      <c r="A112" s="20"/>
      <c r="B112" s="22"/>
      <c r="C112" s="23"/>
      <c r="E112" s="8"/>
      <c r="F112" s="8"/>
      <c r="G112" s="21"/>
      <c r="H112" s="8"/>
      <c r="J112" s="8"/>
      <c r="K112" s="21"/>
    </row>
    <row r="113" spans="1:11" x14ac:dyDescent="0.25">
      <c r="A113" s="20"/>
      <c r="B113" s="22"/>
      <c r="C113" s="23"/>
      <c r="E113" s="8"/>
      <c r="F113" s="8"/>
      <c r="G113" s="21"/>
      <c r="H113" s="8"/>
      <c r="J113" s="8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1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2" t="s">
        <v>36</v>
      </c>
      <c r="B10" s="157">
        <v>0</v>
      </c>
      <c r="C10" s="158"/>
      <c r="D10" s="1"/>
      <c r="E10" s="1"/>
      <c r="F10" s="1"/>
    </row>
    <row r="11" spans="1:6" ht="15.75" thickBot="1" x14ac:dyDescent="0.3">
      <c r="A11" s="12" t="s">
        <v>37</v>
      </c>
      <c r="B11" s="157">
        <v>0</v>
      </c>
      <c r="C11" s="158"/>
      <c r="D11" s="1"/>
      <c r="E11" s="1"/>
      <c r="F11" s="1"/>
    </row>
    <row r="12" spans="1:6" ht="15.75" thickBot="1" x14ac:dyDescent="0.3">
      <c r="A12" s="12" t="s">
        <v>38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1"/>
      <c r="D15" s="152" t="s">
        <v>41</v>
      </c>
      <c r="E15" s="153"/>
      <c r="F15" s="67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 x14ac:dyDescent="0.25">
      <c r="A17" s="48" t="s">
        <v>54</v>
      </c>
      <c r="B17" s="14" t="s">
        <v>103</v>
      </c>
      <c r="C17" s="15">
        <v>2</v>
      </c>
      <c r="D17" s="16" t="s">
        <v>60</v>
      </c>
      <c r="E17" s="17"/>
      <c r="F17" s="18"/>
    </row>
    <row r="18" spans="1:6" x14ac:dyDescent="0.25">
      <c r="A18" s="48" t="s">
        <v>54</v>
      </c>
      <c r="B18" s="14" t="s">
        <v>253</v>
      </c>
      <c r="C18" s="15">
        <v>32</v>
      </c>
      <c r="D18" s="16" t="s">
        <v>58</v>
      </c>
      <c r="E18" s="17"/>
      <c r="F18" s="18"/>
    </row>
    <row r="19" spans="1:6" x14ac:dyDescent="0.25">
      <c r="A19" s="48" t="s">
        <v>54</v>
      </c>
      <c r="B19" s="14" t="s">
        <v>146</v>
      </c>
      <c r="C19" s="15">
        <v>14</v>
      </c>
      <c r="D19" s="16" t="s">
        <v>97</v>
      </c>
      <c r="E19" s="17"/>
      <c r="F19" s="18"/>
    </row>
    <row r="20" spans="1:6" x14ac:dyDescent="0.25">
      <c r="A20" s="14"/>
      <c r="B20" s="14"/>
      <c r="C20" s="15"/>
      <c r="D20" s="16" t="s">
        <v>99</v>
      </c>
      <c r="E20" s="17"/>
      <c r="F20" s="18"/>
    </row>
    <row r="21" spans="1:6" x14ac:dyDescent="0.25">
      <c r="A21" s="14"/>
      <c r="B21" s="14"/>
      <c r="C21" s="15"/>
      <c r="D21" s="16" t="s">
        <v>100</v>
      </c>
      <c r="E21" s="17"/>
      <c r="F21" s="18"/>
    </row>
    <row r="22" spans="1:6" x14ac:dyDescent="0.25">
      <c r="A22" s="14"/>
      <c r="B22" s="14"/>
      <c r="C22" s="15"/>
      <c r="D22" s="16" t="s">
        <v>98</v>
      </c>
      <c r="E22" s="17"/>
      <c r="F22" s="18"/>
    </row>
    <row r="23" spans="1:6" x14ac:dyDescent="0.25">
      <c r="A23" s="14"/>
      <c r="B23" s="14"/>
      <c r="C23" s="15"/>
      <c r="D23" s="16" t="s">
        <v>101</v>
      </c>
      <c r="E23" s="17"/>
      <c r="F23" s="18"/>
    </row>
    <row r="24" spans="1:6" x14ac:dyDescent="0.25">
      <c r="A24" s="14"/>
      <c r="B24" s="14"/>
      <c r="C24" s="15"/>
      <c r="D24" s="16" t="s">
        <v>102</v>
      </c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52"/>
      <c r="B917" s="52"/>
      <c r="C917" s="53"/>
      <c r="D917" s="54"/>
      <c r="E917" s="55"/>
      <c r="F917" s="56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SlewRateCalc() M'!A1" display="'SlewRateCalc() M'!A1"/>
    <hyperlink ref="A18" location="'SlewRateCalc() R'!A1" display="'SlewRateCalc() R'!A1"/>
    <hyperlink ref="A19" location="'SlewRateCalc() P'!A1" display="'SlewRateCalc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10" width="9" bestFit="1" customWidth="1"/>
    <col min="11" max="11" width="5.7109375" bestFit="1" customWidth="1"/>
    <col min="12" max="12" width="9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59" t="s">
        <v>54</v>
      </c>
      <c r="B1" s="160"/>
      <c r="C1" s="41" t="s">
        <v>118</v>
      </c>
      <c r="D1" s="59" t="s">
        <v>117</v>
      </c>
      <c r="E1" s="68"/>
      <c r="F1" s="68"/>
      <c r="G1" s="68"/>
      <c r="H1" s="68"/>
      <c r="I1" s="68"/>
      <c r="J1" s="68"/>
      <c r="K1" s="68"/>
      <c r="L1" s="68"/>
      <c r="M1" s="39"/>
      <c r="N1" s="39"/>
      <c r="O1" s="40"/>
    </row>
    <row r="2" spans="1:15" ht="60" customHeight="1" x14ac:dyDescent="0.25">
      <c r="A2" s="161" t="s">
        <v>146</v>
      </c>
      <c r="B2" s="162"/>
      <c r="C2" s="44" t="s">
        <v>110</v>
      </c>
      <c r="D2" s="44" t="s">
        <v>110</v>
      </c>
      <c r="E2" s="44" t="s">
        <v>110</v>
      </c>
      <c r="F2" s="44" t="s">
        <v>110</v>
      </c>
      <c r="G2" s="44" t="s">
        <v>110</v>
      </c>
      <c r="H2" s="44" t="s">
        <v>110</v>
      </c>
      <c r="I2" s="44" t="s">
        <v>110</v>
      </c>
      <c r="J2" s="44" t="s">
        <v>110</v>
      </c>
      <c r="K2" s="45" t="s">
        <v>111</v>
      </c>
      <c r="L2" s="24" t="s">
        <v>112</v>
      </c>
      <c r="M2" s="25" t="s">
        <v>24</v>
      </c>
      <c r="N2" s="25" t="s">
        <v>114</v>
      </c>
      <c r="O2" s="26" t="s">
        <v>116</v>
      </c>
    </row>
    <row r="3" spans="1:15" ht="191.25" x14ac:dyDescent="0.25">
      <c r="A3" s="27" t="s">
        <v>108</v>
      </c>
      <c r="B3" s="28" t="s">
        <v>109</v>
      </c>
      <c r="C3" s="29" t="s">
        <v>60</v>
      </c>
      <c r="D3" s="29" t="s">
        <v>58</v>
      </c>
      <c r="E3" s="29" t="s">
        <v>97</v>
      </c>
      <c r="F3" s="29" t="s">
        <v>99</v>
      </c>
      <c r="G3" s="29" t="s">
        <v>100</v>
      </c>
      <c r="H3" s="29" t="s">
        <v>98</v>
      </c>
      <c r="I3" s="29" t="s">
        <v>101</v>
      </c>
      <c r="J3" s="29" t="s">
        <v>102</v>
      </c>
      <c r="K3" s="30" t="s">
        <v>54</v>
      </c>
      <c r="L3" s="31" t="s">
        <v>54</v>
      </c>
      <c r="M3" s="25" t="s">
        <v>113</v>
      </c>
      <c r="N3" s="25" t="s">
        <v>115</v>
      </c>
      <c r="O3" s="26"/>
    </row>
    <row r="4" spans="1:15" ht="15" customHeight="1" x14ac:dyDescent="0.25">
      <c r="A4" s="32">
        <v>1</v>
      </c>
      <c r="B4" s="61" t="s">
        <v>258</v>
      </c>
      <c r="C4" s="65">
        <v>0</v>
      </c>
      <c r="D4" s="65">
        <v>0</v>
      </c>
      <c r="E4" s="65">
        <v>0.1</v>
      </c>
      <c r="F4" s="65">
        <v>0.1</v>
      </c>
      <c r="G4" s="65">
        <v>0.1</v>
      </c>
      <c r="H4" s="65">
        <v>0.1</v>
      </c>
      <c r="I4" s="65">
        <v>0.1</v>
      </c>
      <c r="J4" s="65">
        <v>0.1</v>
      </c>
      <c r="K4" s="33" t="s">
        <v>117</v>
      </c>
      <c r="L4" s="42">
        <v>0.1</v>
      </c>
      <c r="M4" s="46" t="s">
        <v>117</v>
      </c>
      <c r="N4" s="33"/>
      <c r="O4" s="34"/>
    </row>
    <row r="5" spans="1:15" ht="15" customHeight="1" x14ac:dyDescent="0.25">
      <c r="A5" s="32">
        <v>2</v>
      </c>
      <c r="B5" s="61" t="s">
        <v>259</v>
      </c>
      <c r="C5" s="65">
        <v>5</v>
      </c>
      <c r="D5" s="65">
        <v>5</v>
      </c>
      <c r="E5" s="65">
        <v>500</v>
      </c>
      <c r="F5" s="65">
        <v>500</v>
      </c>
      <c r="G5" s="65">
        <v>500</v>
      </c>
      <c r="H5" s="65">
        <v>500</v>
      </c>
      <c r="I5" s="65">
        <v>500</v>
      </c>
      <c r="J5" s="65">
        <v>500</v>
      </c>
      <c r="K5" s="33" t="s">
        <v>117</v>
      </c>
      <c r="L5" s="42">
        <v>1</v>
      </c>
      <c r="M5" s="46" t="s">
        <v>117</v>
      </c>
      <c r="N5" s="33"/>
      <c r="O5" s="34"/>
    </row>
    <row r="6" spans="1:15" ht="15" customHeight="1" x14ac:dyDescent="0.25">
      <c r="A6" s="32">
        <v>3</v>
      </c>
      <c r="B6" s="61" t="s">
        <v>260</v>
      </c>
      <c r="C6" s="65">
        <v>1</v>
      </c>
      <c r="D6" s="65">
        <v>1</v>
      </c>
      <c r="E6" s="65">
        <v>22.965699999999998</v>
      </c>
      <c r="F6" s="65">
        <v>189.89230000000001</v>
      </c>
      <c r="G6" s="65">
        <v>490.52010000000001</v>
      </c>
      <c r="H6" s="65">
        <v>52.921199999999999</v>
      </c>
      <c r="I6" s="65">
        <v>47.900399999999998</v>
      </c>
      <c r="J6" s="65">
        <v>433.14530000000002</v>
      </c>
      <c r="K6" s="33" t="s">
        <v>117</v>
      </c>
      <c r="L6" s="42">
        <v>52.921199999999999</v>
      </c>
      <c r="M6" s="46" t="s">
        <v>117</v>
      </c>
      <c r="N6" s="33"/>
      <c r="O6" s="34"/>
    </row>
    <row r="7" spans="1:15" ht="15" customHeight="1" x14ac:dyDescent="0.25">
      <c r="A7" s="32">
        <v>4</v>
      </c>
      <c r="B7" s="61" t="s">
        <v>261</v>
      </c>
      <c r="C7" s="65">
        <v>2</v>
      </c>
      <c r="D7" s="65">
        <v>3</v>
      </c>
      <c r="E7" s="65">
        <v>148.2526</v>
      </c>
      <c r="F7" s="65">
        <v>145.19319999999999</v>
      </c>
      <c r="G7" s="65">
        <v>30.6129</v>
      </c>
      <c r="H7" s="65">
        <v>166.2457</v>
      </c>
      <c r="I7" s="65">
        <v>295.52710000000002</v>
      </c>
      <c r="J7" s="65">
        <v>294.94409999999999</v>
      </c>
      <c r="K7" s="33" t="s">
        <v>117</v>
      </c>
      <c r="L7" s="42">
        <v>295.52710000000002</v>
      </c>
      <c r="M7" s="46" t="s">
        <v>117</v>
      </c>
      <c r="N7" s="33"/>
      <c r="O7" s="34"/>
    </row>
    <row r="8" spans="1:15" ht="15" customHeight="1" x14ac:dyDescent="0.25">
      <c r="A8" s="32">
        <v>5</v>
      </c>
      <c r="B8" s="61" t="s">
        <v>262</v>
      </c>
      <c r="C8" s="65">
        <v>3</v>
      </c>
      <c r="D8" s="65">
        <v>1</v>
      </c>
      <c r="E8" s="65">
        <v>191.44919999999999</v>
      </c>
      <c r="F8" s="65">
        <v>460.61599999999999</v>
      </c>
      <c r="G8" s="65">
        <v>195.59700000000001</v>
      </c>
      <c r="H8" s="65">
        <v>64.340400000000002</v>
      </c>
      <c r="I8" s="65">
        <v>85.189599999999999</v>
      </c>
      <c r="J8" s="65">
        <v>378.23360000000002</v>
      </c>
      <c r="K8" s="33" t="s">
        <v>117</v>
      </c>
      <c r="L8" s="42">
        <v>64.340400000000002</v>
      </c>
      <c r="M8" s="46" t="s">
        <v>117</v>
      </c>
      <c r="N8" s="33"/>
      <c r="O8" s="34"/>
    </row>
    <row r="9" spans="1:15" ht="15" customHeight="1" x14ac:dyDescent="0.25">
      <c r="A9" s="32">
        <v>6</v>
      </c>
      <c r="B9" s="42" t="s">
        <v>263</v>
      </c>
      <c r="C9" s="65">
        <v>4</v>
      </c>
      <c r="D9" s="65">
        <v>2</v>
      </c>
      <c r="E9" s="65">
        <v>150.8561</v>
      </c>
      <c r="F9" s="65">
        <v>316.53980000000001</v>
      </c>
      <c r="G9" s="65">
        <v>182.92619999999999</v>
      </c>
      <c r="H9" s="65">
        <v>0.2208</v>
      </c>
      <c r="I9" s="65">
        <v>464.74310000000003</v>
      </c>
      <c r="J9" s="65">
        <v>464.8766</v>
      </c>
      <c r="K9" s="33" t="s">
        <v>117</v>
      </c>
      <c r="L9" s="42">
        <v>0.2208</v>
      </c>
      <c r="M9" s="46" t="s">
        <v>117</v>
      </c>
      <c r="N9" s="33"/>
      <c r="O9" s="34"/>
    </row>
    <row r="10" spans="1:15" ht="15" customHeight="1" x14ac:dyDescent="0.25">
      <c r="A10" s="32">
        <v>7</v>
      </c>
      <c r="B10" s="42" t="s">
        <v>264</v>
      </c>
      <c r="C10" s="65">
        <v>5</v>
      </c>
      <c r="D10" s="65">
        <v>3</v>
      </c>
      <c r="E10" s="65">
        <v>148.2526</v>
      </c>
      <c r="F10" s="65">
        <v>145.19319999999999</v>
      </c>
      <c r="G10" s="65">
        <v>30.6129</v>
      </c>
      <c r="H10" s="65">
        <v>166.2457</v>
      </c>
      <c r="I10" s="65">
        <v>295.52710000000002</v>
      </c>
      <c r="J10" s="65">
        <v>294.94409999999999</v>
      </c>
      <c r="K10" s="33" t="s">
        <v>117</v>
      </c>
      <c r="L10" s="42">
        <v>1</v>
      </c>
      <c r="M10" s="46" t="s">
        <v>117</v>
      </c>
      <c r="N10" s="33"/>
      <c r="O10" s="34"/>
    </row>
    <row r="11" spans="1:15" ht="15" customHeight="1" x14ac:dyDescent="0.25">
      <c r="A11" s="32">
        <v>8</v>
      </c>
      <c r="B11" s="61" t="s">
        <v>265</v>
      </c>
      <c r="C11" s="65">
        <v>2</v>
      </c>
      <c r="D11" s="65">
        <v>2</v>
      </c>
      <c r="E11" s="65">
        <v>475.23930000000001</v>
      </c>
      <c r="F11" s="65">
        <v>314.48590000000002</v>
      </c>
      <c r="G11" s="65">
        <v>245.48830000000001</v>
      </c>
      <c r="H11" s="65">
        <v>268.98009999999999</v>
      </c>
      <c r="I11" s="65">
        <v>49.153100000000002</v>
      </c>
      <c r="J11" s="65">
        <v>165.90639999999999</v>
      </c>
      <c r="K11" s="33" t="s">
        <v>117</v>
      </c>
      <c r="L11" s="42">
        <v>268.98009999999999</v>
      </c>
      <c r="M11" s="46" t="s">
        <v>117</v>
      </c>
      <c r="N11" s="33"/>
      <c r="O11" s="34"/>
    </row>
    <row r="12" spans="1:15" ht="15" customHeight="1" x14ac:dyDescent="0.25">
      <c r="A12" s="32">
        <v>9</v>
      </c>
      <c r="B12" s="61" t="s">
        <v>266</v>
      </c>
      <c r="C12" s="65">
        <v>0</v>
      </c>
      <c r="D12" s="65">
        <v>1</v>
      </c>
      <c r="E12" s="65">
        <v>0.1</v>
      </c>
      <c r="F12" s="65">
        <v>214.71379999999999</v>
      </c>
      <c r="G12" s="65">
        <v>78.071600000000004</v>
      </c>
      <c r="H12" s="65">
        <v>329.21879999999999</v>
      </c>
      <c r="I12" s="65">
        <v>222.4307</v>
      </c>
      <c r="J12" s="65">
        <v>272.05919999999998</v>
      </c>
      <c r="K12" s="33" t="s">
        <v>117</v>
      </c>
      <c r="L12" s="42">
        <v>0.1</v>
      </c>
      <c r="M12" s="46" t="s">
        <v>117</v>
      </c>
      <c r="N12" s="33"/>
      <c r="O12" s="34"/>
    </row>
    <row r="13" spans="1:15" ht="15" customHeight="1" x14ac:dyDescent="0.25">
      <c r="A13" s="32">
        <v>10</v>
      </c>
      <c r="B13" s="61" t="s">
        <v>267</v>
      </c>
      <c r="C13" s="65">
        <v>1</v>
      </c>
      <c r="D13" s="65">
        <v>0</v>
      </c>
      <c r="E13" s="65">
        <v>80.465199999999996</v>
      </c>
      <c r="F13" s="65">
        <v>0.1</v>
      </c>
      <c r="G13" s="65">
        <v>315.04180000000002</v>
      </c>
      <c r="H13" s="65">
        <v>41.1205</v>
      </c>
      <c r="I13" s="65">
        <v>376.11950000000002</v>
      </c>
      <c r="J13" s="65">
        <v>205.48740000000001</v>
      </c>
      <c r="K13" s="33" t="s">
        <v>117</v>
      </c>
      <c r="L13" s="42">
        <v>0.1</v>
      </c>
      <c r="M13" s="46" t="s">
        <v>117</v>
      </c>
      <c r="N13" s="33"/>
      <c r="O13" s="34"/>
    </row>
    <row r="14" spans="1:15" ht="15" customHeight="1" x14ac:dyDescent="0.25">
      <c r="A14" s="32">
        <v>11</v>
      </c>
      <c r="B14" s="61" t="s">
        <v>268</v>
      </c>
      <c r="C14" s="65">
        <v>2</v>
      </c>
      <c r="D14" s="65">
        <v>0</v>
      </c>
      <c r="E14" s="65">
        <v>81.657300000000006</v>
      </c>
      <c r="F14" s="65">
        <v>500</v>
      </c>
      <c r="G14" s="65">
        <v>271.62299999999999</v>
      </c>
      <c r="H14" s="65">
        <v>96.233999999999995</v>
      </c>
      <c r="I14" s="65">
        <v>136.8168</v>
      </c>
      <c r="J14" s="65">
        <v>481.17579999999998</v>
      </c>
      <c r="K14" s="33" t="s">
        <v>117</v>
      </c>
      <c r="L14" s="42">
        <v>500</v>
      </c>
      <c r="M14" s="46" t="s">
        <v>117</v>
      </c>
      <c r="N14" s="33"/>
      <c r="O14" s="34"/>
    </row>
    <row r="15" spans="1:15" ht="15" customHeight="1" x14ac:dyDescent="0.25">
      <c r="A15" s="32">
        <v>12</v>
      </c>
      <c r="B15" s="61" t="s">
        <v>269</v>
      </c>
      <c r="C15" s="65">
        <v>3</v>
      </c>
      <c r="D15" s="65">
        <v>0</v>
      </c>
      <c r="E15" s="65">
        <v>323.97550000000001</v>
      </c>
      <c r="F15" s="65">
        <v>2</v>
      </c>
      <c r="G15" s="65">
        <v>78.391800000000003</v>
      </c>
      <c r="H15" s="65">
        <v>340.16770000000002</v>
      </c>
      <c r="I15" s="65">
        <v>337.52960000000002</v>
      </c>
      <c r="J15" s="65">
        <v>57.514800000000001</v>
      </c>
      <c r="K15" s="33" t="s">
        <v>117</v>
      </c>
      <c r="L15" s="42">
        <v>2</v>
      </c>
      <c r="M15" s="46" t="s">
        <v>117</v>
      </c>
      <c r="N15" s="33"/>
      <c r="O15" s="34"/>
    </row>
    <row r="16" spans="1:15" ht="15" customHeight="1" x14ac:dyDescent="0.25">
      <c r="A16" s="32">
        <v>13</v>
      </c>
      <c r="B16" s="61" t="s">
        <v>270</v>
      </c>
      <c r="C16" s="65">
        <v>1</v>
      </c>
      <c r="D16" s="65">
        <v>2</v>
      </c>
      <c r="E16" s="65">
        <v>205.50569999999999</v>
      </c>
      <c r="F16" s="65">
        <v>11.435</v>
      </c>
      <c r="G16" s="65">
        <v>0.1</v>
      </c>
      <c r="H16" s="65">
        <v>227.61269999999999</v>
      </c>
      <c r="I16" s="65">
        <v>128.6454</v>
      </c>
      <c r="J16" s="65">
        <v>462.65370000000001</v>
      </c>
      <c r="K16" s="33" t="s">
        <v>117</v>
      </c>
      <c r="L16" s="42">
        <v>0.1</v>
      </c>
      <c r="M16" s="46" t="s">
        <v>117</v>
      </c>
      <c r="N16" s="33"/>
      <c r="O16" s="34"/>
    </row>
    <row r="17" spans="1:15" ht="15" customHeight="1" thickBot="1" x14ac:dyDescent="0.3">
      <c r="A17" s="35">
        <v>14</v>
      </c>
      <c r="B17" s="62" t="s">
        <v>271</v>
      </c>
      <c r="C17" s="66">
        <v>3</v>
      </c>
      <c r="D17" s="66">
        <v>2</v>
      </c>
      <c r="E17" s="66">
        <v>229.49789999999999</v>
      </c>
      <c r="F17" s="66">
        <v>202.88140000000001</v>
      </c>
      <c r="G17" s="66">
        <v>417.21449999999999</v>
      </c>
      <c r="H17" s="66">
        <v>231.4529</v>
      </c>
      <c r="I17" s="66">
        <v>170.7098</v>
      </c>
      <c r="J17" s="66">
        <v>0.1</v>
      </c>
      <c r="K17" s="36" t="s">
        <v>117</v>
      </c>
      <c r="L17" s="43">
        <v>0.1</v>
      </c>
      <c r="M17" s="47" t="s">
        <v>117</v>
      </c>
      <c r="N17" s="36"/>
      <c r="O17" s="37"/>
    </row>
    <row r="18" spans="1:15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</row>
    <row r="19" spans="1:15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</row>
    <row r="20" spans="1:15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</row>
    <row r="21" spans="1:15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</row>
    <row r="22" spans="1:15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</row>
    <row r="23" spans="1:15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</row>
    <row r="24" spans="1:15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</row>
    <row r="25" spans="1:15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</row>
    <row r="26" spans="1:15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</row>
    <row r="27" spans="1:15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</row>
  </sheetData>
  <sheetProtection sheet="1" objects="1" scenarios="1"/>
  <mergeCells count="2">
    <mergeCell ref="A1:B1"/>
    <mergeCell ref="A2:B2"/>
  </mergeCells>
  <hyperlinks>
    <hyperlink ref="A1" location="'SlewRateCalc'!A1" display="'SlewRateCalc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5" width="8" bestFit="1" customWidth="1"/>
    <col min="6" max="7" width="9" bestFit="1" customWidth="1"/>
    <col min="8" max="9" width="8" bestFit="1" customWidth="1"/>
    <col min="10" max="10" width="9" bestFit="1" customWidth="1"/>
    <col min="11" max="11" width="5.7109375" bestFit="1" customWidth="1"/>
    <col min="12" max="12" width="8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59" t="s">
        <v>54</v>
      </c>
      <c r="B1" s="160"/>
      <c r="C1" s="41" t="s">
        <v>118</v>
      </c>
      <c r="D1" s="59" t="s">
        <v>117</v>
      </c>
      <c r="E1" s="68"/>
      <c r="F1" s="68"/>
      <c r="G1" s="68"/>
      <c r="H1" s="68"/>
      <c r="I1" s="68"/>
      <c r="J1" s="68"/>
      <c r="K1" s="68"/>
      <c r="L1" s="68"/>
      <c r="M1" s="39"/>
      <c r="N1" s="39"/>
      <c r="O1" s="40"/>
    </row>
    <row r="2" spans="1:15" ht="60" customHeight="1" x14ac:dyDescent="0.25">
      <c r="A2" s="161" t="s">
        <v>103</v>
      </c>
      <c r="B2" s="162"/>
      <c r="C2" s="44" t="s">
        <v>110</v>
      </c>
      <c r="D2" s="44" t="s">
        <v>110</v>
      </c>
      <c r="E2" s="44" t="s">
        <v>110</v>
      </c>
      <c r="F2" s="44" t="s">
        <v>110</v>
      </c>
      <c r="G2" s="44" t="s">
        <v>110</v>
      </c>
      <c r="H2" s="44" t="s">
        <v>110</v>
      </c>
      <c r="I2" s="44" t="s">
        <v>110</v>
      </c>
      <c r="J2" s="44" t="s">
        <v>110</v>
      </c>
      <c r="K2" s="45" t="s">
        <v>111</v>
      </c>
      <c r="L2" s="24" t="s">
        <v>112</v>
      </c>
      <c r="M2" s="25" t="s">
        <v>24</v>
      </c>
      <c r="N2" s="25" t="s">
        <v>114</v>
      </c>
      <c r="O2" s="26" t="s">
        <v>116</v>
      </c>
    </row>
    <row r="3" spans="1:15" ht="191.25" x14ac:dyDescent="0.25">
      <c r="A3" s="27" t="s">
        <v>108</v>
      </c>
      <c r="B3" s="28" t="s">
        <v>109</v>
      </c>
      <c r="C3" s="29" t="s">
        <v>60</v>
      </c>
      <c r="D3" s="29" t="s">
        <v>58</v>
      </c>
      <c r="E3" s="29" t="s">
        <v>97</v>
      </c>
      <c r="F3" s="29" t="s">
        <v>99</v>
      </c>
      <c r="G3" s="29" t="s">
        <v>100</v>
      </c>
      <c r="H3" s="29" t="s">
        <v>98</v>
      </c>
      <c r="I3" s="29" t="s">
        <v>101</v>
      </c>
      <c r="J3" s="29" t="s">
        <v>102</v>
      </c>
      <c r="K3" s="30" t="s">
        <v>54</v>
      </c>
      <c r="L3" s="31" t="s">
        <v>54</v>
      </c>
      <c r="M3" s="25" t="s">
        <v>113</v>
      </c>
      <c r="N3" s="25" t="s">
        <v>115</v>
      </c>
      <c r="O3" s="26"/>
    </row>
    <row r="4" spans="1:15" s="74" customFormat="1" ht="15" customHeight="1" x14ac:dyDescent="0.25">
      <c r="A4" s="69">
        <v>1</v>
      </c>
      <c r="B4" s="70" t="s">
        <v>256</v>
      </c>
      <c r="C4" s="65">
        <v>5</v>
      </c>
      <c r="D4" s="65">
        <v>5</v>
      </c>
      <c r="E4" s="65">
        <v>500</v>
      </c>
      <c r="F4" s="65">
        <v>500</v>
      </c>
      <c r="G4" s="65">
        <v>500</v>
      </c>
      <c r="H4" s="65">
        <v>500</v>
      </c>
      <c r="I4" s="65">
        <v>500</v>
      </c>
      <c r="J4" s="65">
        <v>500</v>
      </c>
      <c r="K4" s="71" t="s">
        <v>117</v>
      </c>
      <c r="L4" s="65">
        <v>1</v>
      </c>
      <c r="M4" s="72" t="s">
        <v>117</v>
      </c>
      <c r="N4" s="71"/>
      <c r="O4" s="73"/>
    </row>
    <row r="5" spans="1:15" s="74" customFormat="1" ht="15" customHeight="1" thickBot="1" x14ac:dyDescent="0.3">
      <c r="A5" s="75">
        <v>2</v>
      </c>
      <c r="B5" s="79" t="s">
        <v>257</v>
      </c>
      <c r="C5" s="66">
        <v>1</v>
      </c>
      <c r="D5" s="66">
        <v>1</v>
      </c>
      <c r="E5" s="66">
        <v>22.965699999999998</v>
      </c>
      <c r="F5" s="66">
        <v>189.89230000000001</v>
      </c>
      <c r="G5" s="66">
        <v>490.52010000000001</v>
      </c>
      <c r="H5" s="66">
        <v>52.921199999999999</v>
      </c>
      <c r="I5" s="66">
        <v>47.900399999999998</v>
      </c>
      <c r="J5" s="66">
        <v>433.14530000000002</v>
      </c>
      <c r="K5" s="76" t="s">
        <v>117</v>
      </c>
      <c r="L5" s="66">
        <v>52.921199999999999</v>
      </c>
      <c r="M5" s="77" t="s">
        <v>117</v>
      </c>
      <c r="N5" s="76"/>
      <c r="O5" s="78"/>
    </row>
    <row r="6" spans="1:15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</row>
    <row r="7" spans="1:15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</row>
    <row r="8" spans="1:15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</row>
    <row r="9" spans="1:15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</row>
    <row r="10" spans="1:15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</row>
    <row r="11" spans="1:15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</row>
    <row r="12" spans="1:15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</row>
    <row r="13" spans="1:1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</row>
    <row r="14" spans="1:1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</row>
    <row r="15" spans="1:1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</row>
  </sheetData>
  <sheetProtection sheet="1" objects="1" scenarios="1"/>
  <mergeCells count="2">
    <mergeCell ref="A1:B1"/>
    <mergeCell ref="A2:B2"/>
  </mergeCells>
  <hyperlinks>
    <hyperlink ref="A1" location="'SlewRateCalc'!A1" display="'SlewRateCalc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5.7109375" bestFit="1" customWidth="1"/>
    <col min="3" max="4" width="3.28515625" bestFit="1" customWidth="1"/>
    <col min="5" max="10" width="9" bestFit="1" customWidth="1"/>
    <col min="11" max="11" width="5.7109375" bestFit="1" customWidth="1"/>
    <col min="12" max="12" width="9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59" t="s">
        <v>54</v>
      </c>
      <c r="B1" s="160"/>
      <c r="C1" s="41" t="s">
        <v>118</v>
      </c>
      <c r="D1" s="59" t="s">
        <v>117</v>
      </c>
      <c r="E1" s="68"/>
      <c r="F1" s="68"/>
      <c r="G1" s="68"/>
      <c r="H1" s="68"/>
      <c r="I1" s="68"/>
      <c r="J1" s="68"/>
      <c r="K1" s="68"/>
      <c r="L1" s="68"/>
      <c r="M1" s="39"/>
      <c r="N1" s="39"/>
      <c r="O1" s="40"/>
    </row>
    <row r="2" spans="1:15" ht="60" customHeight="1" x14ac:dyDescent="0.25">
      <c r="A2" s="161" t="s">
        <v>253</v>
      </c>
      <c r="B2" s="162"/>
      <c r="C2" s="44" t="s">
        <v>110</v>
      </c>
      <c r="D2" s="44" t="s">
        <v>110</v>
      </c>
      <c r="E2" s="44" t="s">
        <v>110</v>
      </c>
      <c r="F2" s="44" t="s">
        <v>110</v>
      </c>
      <c r="G2" s="44" t="s">
        <v>110</v>
      </c>
      <c r="H2" s="44" t="s">
        <v>110</v>
      </c>
      <c r="I2" s="44" t="s">
        <v>110</v>
      </c>
      <c r="J2" s="44" t="s">
        <v>110</v>
      </c>
      <c r="K2" s="45" t="s">
        <v>111</v>
      </c>
      <c r="L2" s="24" t="s">
        <v>112</v>
      </c>
      <c r="M2" s="25" t="s">
        <v>24</v>
      </c>
      <c r="N2" s="25" t="s">
        <v>114</v>
      </c>
      <c r="O2" s="26" t="s">
        <v>116</v>
      </c>
    </row>
    <row r="3" spans="1:15" ht="191.25" x14ac:dyDescent="0.25">
      <c r="A3" s="27" t="s">
        <v>108</v>
      </c>
      <c r="B3" s="28" t="s">
        <v>109</v>
      </c>
      <c r="C3" s="29" t="s">
        <v>60</v>
      </c>
      <c r="D3" s="29" t="s">
        <v>58</v>
      </c>
      <c r="E3" s="29" t="s">
        <v>97</v>
      </c>
      <c r="F3" s="29" t="s">
        <v>99</v>
      </c>
      <c r="G3" s="29" t="s">
        <v>100</v>
      </c>
      <c r="H3" s="29" t="s">
        <v>98</v>
      </c>
      <c r="I3" s="29" t="s">
        <v>101</v>
      </c>
      <c r="J3" s="29" t="s">
        <v>102</v>
      </c>
      <c r="K3" s="30" t="s">
        <v>54</v>
      </c>
      <c r="L3" s="31" t="s">
        <v>54</v>
      </c>
      <c r="M3" s="25" t="s">
        <v>113</v>
      </c>
      <c r="N3" s="25" t="s">
        <v>115</v>
      </c>
      <c r="O3" s="26"/>
    </row>
    <row r="4" spans="1:15" x14ac:dyDescent="0.25">
      <c r="A4" s="32">
        <v>1</v>
      </c>
      <c r="B4" s="42" t="s">
        <v>119</v>
      </c>
      <c r="C4" s="57">
        <v>0</v>
      </c>
      <c r="D4" s="57">
        <v>0</v>
      </c>
      <c r="E4" s="57">
        <v>0.1</v>
      </c>
      <c r="F4" s="57">
        <v>0.1</v>
      </c>
      <c r="G4" s="57">
        <v>0.1</v>
      </c>
      <c r="H4" s="57">
        <v>0.1</v>
      </c>
      <c r="I4" s="57">
        <v>0.1</v>
      </c>
      <c r="J4" s="57">
        <v>0.1</v>
      </c>
      <c r="K4" s="33" t="s">
        <v>117</v>
      </c>
      <c r="L4" s="42">
        <v>0.1</v>
      </c>
      <c r="M4" s="46" t="s">
        <v>117</v>
      </c>
      <c r="N4" s="33"/>
      <c r="O4" s="34"/>
    </row>
    <row r="5" spans="1:15" x14ac:dyDescent="0.25">
      <c r="A5" s="32">
        <v>2</v>
      </c>
      <c r="B5" s="42" t="s">
        <v>120</v>
      </c>
      <c r="C5" s="57">
        <v>5</v>
      </c>
      <c r="D5" s="57">
        <v>5</v>
      </c>
      <c r="E5" s="57">
        <v>500</v>
      </c>
      <c r="F5" s="57">
        <v>500</v>
      </c>
      <c r="G5" s="57">
        <v>500</v>
      </c>
      <c r="H5" s="57">
        <v>500</v>
      </c>
      <c r="I5" s="57">
        <v>500</v>
      </c>
      <c r="J5" s="57">
        <v>500</v>
      </c>
      <c r="K5" s="33" t="s">
        <v>117</v>
      </c>
      <c r="L5" s="42">
        <v>1</v>
      </c>
      <c r="M5" s="46" t="s">
        <v>117</v>
      </c>
      <c r="N5" s="33"/>
      <c r="O5" s="34"/>
    </row>
    <row r="6" spans="1:15" x14ac:dyDescent="0.25">
      <c r="A6" s="32">
        <v>3</v>
      </c>
      <c r="B6" s="42" t="s">
        <v>121</v>
      </c>
      <c r="C6" s="57">
        <v>0</v>
      </c>
      <c r="D6" s="42">
        <v>2</v>
      </c>
      <c r="E6" s="42">
        <v>142.59620000000001</v>
      </c>
      <c r="F6" s="42">
        <v>393.4128</v>
      </c>
      <c r="G6" s="42">
        <v>122.242</v>
      </c>
      <c r="H6" s="42">
        <v>37.1432</v>
      </c>
      <c r="I6" s="42">
        <v>165.2647</v>
      </c>
      <c r="J6" s="42">
        <v>103.294</v>
      </c>
      <c r="K6" s="33" t="s">
        <v>117</v>
      </c>
      <c r="L6" s="42">
        <v>37.1432</v>
      </c>
      <c r="M6" s="46" t="s">
        <v>117</v>
      </c>
      <c r="N6" s="33"/>
      <c r="O6" s="34"/>
    </row>
    <row r="7" spans="1:15" x14ac:dyDescent="0.25">
      <c r="A7" s="32">
        <v>4</v>
      </c>
      <c r="B7" s="42" t="s">
        <v>122</v>
      </c>
      <c r="C7" s="57">
        <v>1</v>
      </c>
      <c r="D7" s="42">
        <v>1</v>
      </c>
      <c r="E7" s="42">
        <v>22.965699999999998</v>
      </c>
      <c r="F7" s="42">
        <v>189.89230000000001</v>
      </c>
      <c r="G7" s="42">
        <v>490.52010000000001</v>
      </c>
      <c r="H7" s="42">
        <v>52.921199999999999</v>
      </c>
      <c r="I7" s="42">
        <v>47.900399999999998</v>
      </c>
      <c r="J7" s="42">
        <v>433.14530000000002</v>
      </c>
      <c r="K7" s="33" t="s">
        <v>117</v>
      </c>
      <c r="L7" s="42">
        <v>52.921199999999999</v>
      </c>
      <c r="M7" s="46" t="s">
        <v>117</v>
      </c>
      <c r="N7" s="33"/>
      <c r="O7" s="34"/>
    </row>
    <row r="8" spans="1:15" x14ac:dyDescent="0.25">
      <c r="A8" s="32">
        <v>5</v>
      </c>
      <c r="B8" s="42" t="s">
        <v>123</v>
      </c>
      <c r="C8" s="57">
        <v>2</v>
      </c>
      <c r="D8" s="42">
        <v>3</v>
      </c>
      <c r="E8" s="42">
        <v>148.2526</v>
      </c>
      <c r="F8" s="42">
        <v>145.19319999999999</v>
      </c>
      <c r="G8" s="42">
        <v>30.6129</v>
      </c>
      <c r="H8" s="42">
        <v>166.2457</v>
      </c>
      <c r="I8" s="42">
        <v>295.52710000000002</v>
      </c>
      <c r="J8" s="42">
        <v>294.94409999999999</v>
      </c>
      <c r="K8" s="33" t="s">
        <v>117</v>
      </c>
      <c r="L8" s="42">
        <v>295.52710000000002</v>
      </c>
      <c r="M8" s="46" t="s">
        <v>117</v>
      </c>
      <c r="N8" s="33"/>
      <c r="O8" s="34"/>
    </row>
    <row r="9" spans="1:15" x14ac:dyDescent="0.25">
      <c r="A9" s="32">
        <v>6</v>
      </c>
      <c r="B9" s="42" t="s">
        <v>124</v>
      </c>
      <c r="C9" s="57">
        <v>3</v>
      </c>
      <c r="D9" s="42">
        <v>1</v>
      </c>
      <c r="E9" s="42">
        <v>191.44919999999999</v>
      </c>
      <c r="F9" s="42">
        <v>460.61599999999999</v>
      </c>
      <c r="G9" s="42">
        <v>195.59700000000001</v>
      </c>
      <c r="H9" s="42">
        <v>64.340400000000002</v>
      </c>
      <c r="I9" s="42">
        <v>85.189599999999999</v>
      </c>
      <c r="J9" s="42">
        <v>378.23360000000002</v>
      </c>
      <c r="K9" s="33" t="s">
        <v>117</v>
      </c>
      <c r="L9" s="42">
        <v>64.340400000000002</v>
      </c>
      <c r="M9" s="46" t="s">
        <v>117</v>
      </c>
      <c r="N9" s="33"/>
      <c r="O9" s="34"/>
    </row>
    <row r="10" spans="1:15" x14ac:dyDescent="0.25">
      <c r="A10" s="32">
        <v>7</v>
      </c>
      <c r="B10" s="42" t="s">
        <v>125</v>
      </c>
      <c r="C10" s="57">
        <v>4</v>
      </c>
      <c r="D10" s="42">
        <v>2</v>
      </c>
      <c r="E10" s="42">
        <v>150.8561</v>
      </c>
      <c r="F10" s="42">
        <v>316.53980000000001</v>
      </c>
      <c r="G10" s="42">
        <v>182.92619999999999</v>
      </c>
      <c r="H10" s="42">
        <v>0.2208</v>
      </c>
      <c r="I10" s="42">
        <v>464.74310000000003</v>
      </c>
      <c r="J10" s="42">
        <v>464.8766</v>
      </c>
      <c r="K10" s="33" t="s">
        <v>117</v>
      </c>
      <c r="L10" s="42">
        <v>0.2208</v>
      </c>
      <c r="M10" s="46" t="s">
        <v>117</v>
      </c>
      <c r="N10" s="33"/>
      <c r="O10" s="34"/>
    </row>
    <row r="11" spans="1:15" x14ac:dyDescent="0.25">
      <c r="A11" s="32">
        <v>8</v>
      </c>
      <c r="B11" s="42" t="s">
        <v>126</v>
      </c>
      <c r="C11" s="57">
        <v>5</v>
      </c>
      <c r="D11" s="42">
        <v>3</v>
      </c>
      <c r="E11" s="42">
        <v>148.2526</v>
      </c>
      <c r="F11" s="42">
        <v>145.19319999999999</v>
      </c>
      <c r="G11" s="42">
        <v>30.6129</v>
      </c>
      <c r="H11" s="42">
        <v>166.2457</v>
      </c>
      <c r="I11" s="42">
        <v>295.52710000000002</v>
      </c>
      <c r="J11" s="42">
        <v>294.94409999999999</v>
      </c>
      <c r="K11" s="33" t="s">
        <v>117</v>
      </c>
      <c r="L11" s="42">
        <v>1</v>
      </c>
      <c r="M11" s="46" t="s">
        <v>117</v>
      </c>
      <c r="N11" s="33"/>
      <c r="O11" s="34"/>
    </row>
    <row r="12" spans="1:15" x14ac:dyDescent="0.25">
      <c r="A12" s="32">
        <v>9</v>
      </c>
      <c r="B12" s="42" t="s">
        <v>127</v>
      </c>
      <c r="C12" s="42">
        <v>0</v>
      </c>
      <c r="D12" s="57">
        <v>0</v>
      </c>
      <c r="E12" s="42">
        <v>191.44919999999999</v>
      </c>
      <c r="F12" s="42">
        <v>460.61599999999999</v>
      </c>
      <c r="G12" s="42">
        <v>195.59700000000001</v>
      </c>
      <c r="H12" s="42">
        <v>64.340400000000002</v>
      </c>
      <c r="I12" s="42">
        <v>85.189599999999999</v>
      </c>
      <c r="J12" s="42">
        <v>378.23360000000002</v>
      </c>
      <c r="K12" s="33" t="s">
        <v>117</v>
      </c>
      <c r="L12" s="42">
        <v>64.340400000000002</v>
      </c>
      <c r="M12" s="46" t="s">
        <v>117</v>
      </c>
      <c r="N12" s="33"/>
      <c r="O12" s="34"/>
    </row>
    <row r="13" spans="1:15" x14ac:dyDescent="0.25">
      <c r="A13" s="32">
        <v>10</v>
      </c>
      <c r="B13" s="42" t="s">
        <v>128</v>
      </c>
      <c r="C13" s="42">
        <v>1</v>
      </c>
      <c r="D13" s="57">
        <v>1</v>
      </c>
      <c r="E13" s="42">
        <v>150.8561</v>
      </c>
      <c r="F13" s="42">
        <v>316.53980000000001</v>
      </c>
      <c r="G13" s="42">
        <v>182.92619999999999</v>
      </c>
      <c r="H13" s="42">
        <v>0.2208</v>
      </c>
      <c r="I13" s="42">
        <v>464.74310000000003</v>
      </c>
      <c r="J13" s="42">
        <v>464.8766</v>
      </c>
      <c r="K13" s="33" t="s">
        <v>117</v>
      </c>
      <c r="L13" s="42">
        <v>0.2208</v>
      </c>
      <c r="M13" s="46" t="s">
        <v>117</v>
      </c>
      <c r="N13" s="33"/>
      <c r="O13" s="34"/>
    </row>
    <row r="14" spans="1:15" x14ac:dyDescent="0.25">
      <c r="A14" s="32">
        <v>11</v>
      </c>
      <c r="B14" s="42" t="s">
        <v>129</v>
      </c>
      <c r="C14" s="42">
        <v>2</v>
      </c>
      <c r="D14" s="57">
        <v>2</v>
      </c>
      <c r="E14" s="42">
        <v>475.23930000000001</v>
      </c>
      <c r="F14" s="42">
        <v>314.48590000000002</v>
      </c>
      <c r="G14" s="42">
        <v>245.48830000000001</v>
      </c>
      <c r="H14" s="42">
        <v>268.98009999999999</v>
      </c>
      <c r="I14" s="42">
        <v>49.153100000000002</v>
      </c>
      <c r="J14" s="42">
        <v>165.90639999999999</v>
      </c>
      <c r="K14" s="33" t="s">
        <v>117</v>
      </c>
      <c r="L14" s="42">
        <v>268.98009999999999</v>
      </c>
      <c r="M14" s="46" t="s">
        <v>117</v>
      </c>
      <c r="N14" s="33"/>
      <c r="O14" s="34"/>
    </row>
    <row r="15" spans="1:15" x14ac:dyDescent="0.25">
      <c r="A15" s="32">
        <v>12</v>
      </c>
      <c r="B15" s="42" t="s">
        <v>130</v>
      </c>
      <c r="C15" s="42">
        <v>3</v>
      </c>
      <c r="D15" s="57">
        <v>3</v>
      </c>
      <c r="E15" s="42">
        <v>191.44919999999999</v>
      </c>
      <c r="F15" s="42">
        <v>460.61599999999999</v>
      </c>
      <c r="G15" s="42">
        <v>195.59700000000001</v>
      </c>
      <c r="H15" s="42">
        <v>64.340400000000002</v>
      </c>
      <c r="I15" s="42">
        <v>85.189599999999999</v>
      </c>
      <c r="J15" s="42">
        <v>378.23360000000002</v>
      </c>
      <c r="K15" s="33" t="s">
        <v>117</v>
      </c>
      <c r="L15" s="42">
        <v>64.340400000000002</v>
      </c>
      <c r="M15" s="46" t="s">
        <v>117</v>
      </c>
      <c r="N15" s="33"/>
      <c r="O15" s="34"/>
    </row>
    <row r="16" spans="1:15" x14ac:dyDescent="0.25">
      <c r="A16" s="32">
        <v>13</v>
      </c>
      <c r="B16" s="42" t="s">
        <v>131</v>
      </c>
      <c r="C16" s="42">
        <v>1</v>
      </c>
      <c r="D16" s="57">
        <v>4</v>
      </c>
      <c r="E16" s="42">
        <v>150.8561</v>
      </c>
      <c r="F16" s="42">
        <v>316.53980000000001</v>
      </c>
      <c r="G16" s="42">
        <v>182.92619999999999</v>
      </c>
      <c r="H16" s="42">
        <v>0.2208</v>
      </c>
      <c r="I16" s="42">
        <v>464.74310000000003</v>
      </c>
      <c r="J16" s="42">
        <v>464.8766</v>
      </c>
      <c r="K16" s="33" t="s">
        <v>117</v>
      </c>
      <c r="L16" s="42">
        <v>0.2208</v>
      </c>
      <c r="M16" s="46" t="s">
        <v>117</v>
      </c>
      <c r="N16" s="33"/>
      <c r="O16" s="34"/>
    </row>
    <row r="17" spans="1:15" x14ac:dyDescent="0.25">
      <c r="A17" s="32">
        <v>14</v>
      </c>
      <c r="B17" s="42" t="s">
        <v>132</v>
      </c>
      <c r="C17" s="42">
        <v>0</v>
      </c>
      <c r="D17" s="57">
        <v>5</v>
      </c>
      <c r="E17" s="42">
        <v>475.23930000000001</v>
      </c>
      <c r="F17" s="42">
        <v>314.48590000000002</v>
      </c>
      <c r="G17" s="42">
        <v>245.48830000000001</v>
      </c>
      <c r="H17" s="42">
        <v>268.98009999999999</v>
      </c>
      <c r="I17" s="42">
        <v>49.153100000000002</v>
      </c>
      <c r="J17" s="42">
        <v>165.90639999999999</v>
      </c>
      <c r="K17" s="33" t="s">
        <v>117</v>
      </c>
      <c r="L17" s="42">
        <v>268.98009999999999</v>
      </c>
      <c r="M17" s="46" t="s">
        <v>117</v>
      </c>
      <c r="N17" s="33"/>
      <c r="O17" s="34"/>
    </row>
    <row r="18" spans="1:15" x14ac:dyDescent="0.25">
      <c r="A18" s="32">
        <v>15</v>
      </c>
      <c r="B18" s="42" t="s">
        <v>133</v>
      </c>
      <c r="C18" s="42">
        <v>0</v>
      </c>
      <c r="D18" s="42">
        <v>1</v>
      </c>
      <c r="E18" s="57">
        <v>0.1</v>
      </c>
      <c r="F18" s="42">
        <v>214.71379999999999</v>
      </c>
      <c r="G18" s="42">
        <v>78.071600000000004</v>
      </c>
      <c r="H18" s="42">
        <v>329.21879999999999</v>
      </c>
      <c r="I18" s="42">
        <v>222.4307</v>
      </c>
      <c r="J18" s="42">
        <v>272.05919999999998</v>
      </c>
      <c r="K18" s="33" t="s">
        <v>117</v>
      </c>
      <c r="L18" s="42">
        <v>0.1</v>
      </c>
      <c r="M18" s="46" t="s">
        <v>117</v>
      </c>
      <c r="N18" s="33"/>
      <c r="O18" s="34"/>
    </row>
    <row r="19" spans="1:15" x14ac:dyDescent="0.25">
      <c r="A19" s="32">
        <v>16</v>
      </c>
      <c r="B19" s="42" t="s">
        <v>134</v>
      </c>
      <c r="C19" s="42">
        <v>0</v>
      </c>
      <c r="D19" s="42">
        <v>1</v>
      </c>
      <c r="E19" s="57">
        <v>500</v>
      </c>
      <c r="F19" s="42">
        <v>49.1751</v>
      </c>
      <c r="G19" s="42">
        <v>237.75659999999999</v>
      </c>
      <c r="H19" s="42">
        <v>272.59660000000002</v>
      </c>
      <c r="I19" s="42">
        <v>136.81909999999999</v>
      </c>
      <c r="J19" s="42">
        <v>40.518300000000004</v>
      </c>
      <c r="K19" s="33" t="s">
        <v>117</v>
      </c>
      <c r="L19" s="42">
        <v>500</v>
      </c>
      <c r="M19" s="46" t="s">
        <v>117</v>
      </c>
      <c r="N19" s="33"/>
      <c r="O19" s="34"/>
    </row>
    <row r="20" spans="1:15" x14ac:dyDescent="0.25">
      <c r="A20" s="32">
        <v>17</v>
      </c>
      <c r="B20" s="42" t="s">
        <v>247</v>
      </c>
      <c r="C20" s="42">
        <v>0</v>
      </c>
      <c r="D20" s="42">
        <v>1</v>
      </c>
      <c r="E20" s="57">
        <v>1.5</v>
      </c>
      <c r="F20" s="42">
        <v>281.125</v>
      </c>
      <c r="G20" s="42">
        <v>128.96539999999999</v>
      </c>
      <c r="H20" s="42">
        <v>414.55059999999997</v>
      </c>
      <c r="I20" s="42">
        <v>437.15870000000001</v>
      </c>
      <c r="J20" s="42">
        <v>317.8569</v>
      </c>
      <c r="K20" s="33" t="s">
        <v>117</v>
      </c>
      <c r="L20" s="42">
        <v>1.5</v>
      </c>
      <c r="M20" s="46" t="s">
        <v>117</v>
      </c>
      <c r="N20" s="33"/>
      <c r="O20" s="34"/>
    </row>
    <row r="21" spans="1:15" x14ac:dyDescent="0.25">
      <c r="A21" s="32">
        <v>18</v>
      </c>
      <c r="B21" s="42" t="s">
        <v>135</v>
      </c>
      <c r="C21" s="42">
        <v>1</v>
      </c>
      <c r="D21" s="42">
        <v>0</v>
      </c>
      <c r="E21" s="42">
        <v>80.465199999999996</v>
      </c>
      <c r="F21" s="57">
        <v>0.1</v>
      </c>
      <c r="G21" s="42">
        <v>315.04180000000002</v>
      </c>
      <c r="H21" s="42">
        <v>41.1205</v>
      </c>
      <c r="I21" s="42">
        <v>376.11950000000002</v>
      </c>
      <c r="J21" s="42">
        <v>205.48740000000001</v>
      </c>
      <c r="K21" s="33" t="s">
        <v>117</v>
      </c>
      <c r="L21" s="42">
        <v>0.1</v>
      </c>
      <c r="M21" s="46" t="s">
        <v>117</v>
      </c>
      <c r="N21" s="33"/>
      <c r="O21" s="34"/>
    </row>
    <row r="22" spans="1:15" x14ac:dyDescent="0.25">
      <c r="A22" s="32">
        <v>19</v>
      </c>
      <c r="B22" s="42" t="s">
        <v>136</v>
      </c>
      <c r="C22" s="42">
        <v>2</v>
      </c>
      <c r="D22" s="42">
        <v>0</v>
      </c>
      <c r="E22" s="42">
        <v>81.657300000000006</v>
      </c>
      <c r="F22" s="57">
        <v>500</v>
      </c>
      <c r="G22" s="42">
        <v>271.62299999999999</v>
      </c>
      <c r="H22" s="42">
        <v>96.233999999999995</v>
      </c>
      <c r="I22" s="42">
        <v>136.8168</v>
      </c>
      <c r="J22" s="42">
        <v>481.17579999999998</v>
      </c>
      <c r="K22" s="33" t="s">
        <v>117</v>
      </c>
      <c r="L22" s="42">
        <v>500</v>
      </c>
      <c r="M22" s="46" t="s">
        <v>117</v>
      </c>
      <c r="N22" s="33"/>
      <c r="O22" s="34"/>
    </row>
    <row r="23" spans="1:15" x14ac:dyDescent="0.25">
      <c r="A23" s="32">
        <v>20</v>
      </c>
      <c r="B23" s="42" t="s">
        <v>248</v>
      </c>
      <c r="C23" s="42">
        <v>3</v>
      </c>
      <c r="D23" s="42">
        <v>0</v>
      </c>
      <c r="E23" s="42">
        <v>323.97550000000001</v>
      </c>
      <c r="F23" s="57">
        <v>2</v>
      </c>
      <c r="G23" s="42">
        <v>78.391800000000003</v>
      </c>
      <c r="H23" s="42">
        <v>340.16770000000002</v>
      </c>
      <c r="I23" s="42">
        <v>337.52960000000002</v>
      </c>
      <c r="J23" s="42">
        <v>57.514800000000001</v>
      </c>
      <c r="K23" s="33" t="s">
        <v>117</v>
      </c>
      <c r="L23" s="42">
        <v>2</v>
      </c>
      <c r="M23" s="46" t="s">
        <v>117</v>
      </c>
      <c r="N23" s="33"/>
      <c r="O23" s="34"/>
    </row>
    <row r="24" spans="1:15" x14ac:dyDescent="0.25">
      <c r="A24" s="32">
        <v>21</v>
      </c>
      <c r="B24" s="42" t="s">
        <v>137</v>
      </c>
      <c r="C24" s="42">
        <v>1</v>
      </c>
      <c r="D24" s="42">
        <v>2</v>
      </c>
      <c r="E24" s="42">
        <v>205.50569999999999</v>
      </c>
      <c r="F24" s="42">
        <v>11.435</v>
      </c>
      <c r="G24" s="57">
        <v>0.1</v>
      </c>
      <c r="H24" s="42">
        <v>227.61269999999999</v>
      </c>
      <c r="I24" s="42">
        <v>128.6454</v>
      </c>
      <c r="J24" s="42">
        <v>462.65370000000001</v>
      </c>
      <c r="K24" s="33" t="s">
        <v>117</v>
      </c>
      <c r="L24" s="42">
        <v>0.1</v>
      </c>
      <c r="M24" s="46" t="s">
        <v>117</v>
      </c>
      <c r="N24" s="33"/>
      <c r="O24" s="34"/>
    </row>
    <row r="25" spans="1:15" x14ac:dyDescent="0.25">
      <c r="A25" s="32">
        <v>22</v>
      </c>
      <c r="B25" s="42" t="s">
        <v>138</v>
      </c>
      <c r="C25" s="42">
        <v>1</v>
      </c>
      <c r="D25" s="42">
        <v>2</v>
      </c>
      <c r="E25" s="42">
        <v>206.85489999999999</v>
      </c>
      <c r="F25" s="42">
        <v>272.26929999999999</v>
      </c>
      <c r="G25" s="57">
        <v>500</v>
      </c>
      <c r="H25" s="42">
        <v>178.93289999999999</v>
      </c>
      <c r="I25" s="42">
        <v>45.129199999999997</v>
      </c>
      <c r="J25" s="42">
        <v>310.76299999999998</v>
      </c>
      <c r="K25" s="33" t="s">
        <v>117</v>
      </c>
      <c r="L25" s="42">
        <v>500</v>
      </c>
      <c r="M25" s="46" t="s">
        <v>117</v>
      </c>
      <c r="N25" s="33"/>
      <c r="O25" s="34"/>
    </row>
    <row r="26" spans="1:15" x14ac:dyDescent="0.25">
      <c r="A26" s="32">
        <v>23</v>
      </c>
      <c r="B26" s="42" t="s">
        <v>249</v>
      </c>
      <c r="C26" s="42">
        <v>1</v>
      </c>
      <c r="D26" s="42">
        <v>2</v>
      </c>
      <c r="E26" s="42">
        <v>357.10669999999999</v>
      </c>
      <c r="F26" s="42">
        <v>459.00650000000002</v>
      </c>
      <c r="G26" s="57">
        <v>0.8</v>
      </c>
      <c r="H26" s="42">
        <v>75.225499999999997</v>
      </c>
      <c r="I26" s="42">
        <v>15.603199999999999</v>
      </c>
      <c r="J26" s="42">
        <v>174.27619999999999</v>
      </c>
      <c r="K26" s="33" t="s">
        <v>117</v>
      </c>
      <c r="L26" s="42">
        <v>0.8</v>
      </c>
      <c r="M26" s="46" t="s">
        <v>117</v>
      </c>
      <c r="N26" s="33"/>
      <c r="O26" s="34"/>
    </row>
    <row r="27" spans="1:15" x14ac:dyDescent="0.25">
      <c r="A27" s="32">
        <v>24</v>
      </c>
      <c r="B27" s="42" t="s">
        <v>139</v>
      </c>
      <c r="C27" s="42">
        <v>0</v>
      </c>
      <c r="D27" s="42">
        <v>0</v>
      </c>
      <c r="E27" s="42">
        <v>163.4967</v>
      </c>
      <c r="F27" s="42">
        <v>215.61779999999999</v>
      </c>
      <c r="G27" s="42">
        <v>195.68719999999999</v>
      </c>
      <c r="H27" s="57">
        <v>0.1</v>
      </c>
      <c r="I27" s="42">
        <v>161.74930000000001</v>
      </c>
      <c r="J27" s="42">
        <v>74.857200000000006</v>
      </c>
      <c r="K27" s="33" t="s">
        <v>117</v>
      </c>
      <c r="L27" s="42">
        <v>0.1</v>
      </c>
      <c r="M27" s="46" t="s">
        <v>117</v>
      </c>
      <c r="N27" s="33"/>
      <c r="O27" s="34"/>
    </row>
    <row r="28" spans="1:15" x14ac:dyDescent="0.25">
      <c r="A28" s="32">
        <v>25</v>
      </c>
      <c r="B28" s="42" t="s">
        <v>140</v>
      </c>
      <c r="C28" s="42">
        <v>1</v>
      </c>
      <c r="D28" s="42">
        <v>1</v>
      </c>
      <c r="E28" s="42">
        <v>317.2593</v>
      </c>
      <c r="F28" s="42">
        <v>339.68400000000003</v>
      </c>
      <c r="G28" s="42">
        <v>53.884300000000003</v>
      </c>
      <c r="H28" s="57">
        <v>500</v>
      </c>
      <c r="I28" s="42">
        <v>395.87560000000002</v>
      </c>
      <c r="J28" s="42">
        <v>240.52109999999999</v>
      </c>
      <c r="K28" s="33" t="s">
        <v>117</v>
      </c>
      <c r="L28" s="42">
        <v>500</v>
      </c>
      <c r="M28" s="46" t="s">
        <v>117</v>
      </c>
      <c r="N28" s="33"/>
      <c r="O28" s="34"/>
    </row>
    <row r="29" spans="1:15" x14ac:dyDescent="0.25">
      <c r="A29" s="32">
        <v>26</v>
      </c>
      <c r="B29" s="42" t="s">
        <v>250</v>
      </c>
      <c r="C29" s="42">
        <v>4</v>
      </c>
      <c r="D29" s="42">
        <v>5</v>
      </c>
      <c r="E29" s="42">
        <v>104.06740000000001</v>
      </c>
      <c r="F29" s="42">
        <v>251.7792</v>
      </c>
      <c r="G29" s="42">
        <v>392.8032</v>
      </c>
      <c r="H29" s="57">
        <v>5</v>
      </c>
      <c r="I29" s="42">
        <v>148.9965</v>
      </c>
      <c r="J29" s="42">
        <v>110.002</v>
      </c>
      <c r="K29" s="33" t="s">
        <v>117</v>
      </c>
      <c r="L29" s="42">
        <v>5</v>
      </c>
      <c r="M29" s="46" t="s">
        <v>117</v>
      </c>
      <c r="N29" s="33"/>
      <c r="O29" s="34"/>
    </row>
    <row r="30" spans="1:15" x14ac:dyDescent="0.25">
      <c r="A30" s="32">
        <v>27</v>
      </c>
      <c r="B30" s="42" t="s">
        <v>141</v>
      </c>
      <c r="C30" s="42">
        <v>2</v>
      </c>
      <c r="D30" s="42">
        <v>3</v>
      </c>
      <c r="E30" s="42">
        <v>93.274199999999993</v>
      </c>
      <c r="F30" s="42">
        <v>257.43110000000001</v>
      </c>
      <c r="G30" s="42">
        <v>230.33410000000001</v>
      </c>
      <c r="H30" s="42">
        <v>45.001399999999997</v>
      </c>
      <c r="I30" s="57">
        <v>0.1</v>
      </c>
      <c r="J30" s="42">
        <v>497.86</v>
      </c>
      <c r="K30" s="33" t="s">
        <v>117</v>
      </c>
      <c r="L30" s="42">
        <v>0.1</v>
      </c>
      <c r="M30" s="46" t="s">
        <v>117</v>
      </c>
      <c r="N30" s="33"/>
      <c r="O30" s="34"/>
    </row>
    <row r="31" spans="1:15" x14ac:dyDescent="0.25">
      <c r="A31" s="32">
        <v>28</v>
      </c>
      <c r="B31" s="42" t="s">
        <v>142</v>
      </c>
      <c r="C31" s="42">
        <v>2</v>
      </c>
      <c r="D31" s="42">
        <v>3</v>
      </c>
      <c r="E31" s="42">
        <v>292.30450000000002</v>
      </c>
      <c r="F31" s="42">
        <v>232.0067</v>
      </c>
      <c r="G31" s="42">
        <v>377.62240000000003</v>
      </c>
      <c r="H31" s="42">
        <v>379.64659999999998</v>
      </c>
      <c r="I31" s="57">
        <v>500</v>
      </c>
      <c r="J31" s="42">
        <v>65.427599999999998</v>
      </c>
      <c r="K31" s="33" t="s">
        <v>117</v>
      </c>
      <c r="L31" s="42">
        <v>500</v>
      </c>
      <c r="M31" s="46" t="s">
        <v>117</v>
      </c>
      <c r="N31" s="33"/>
      <c r="O31" s="34"/>
    </row>
    <row r="32" spans="1:15" x14ac:dyDescent="0.25">
      <c r="A32" s="32">
        <v>29</v>
      </c>
      <c r="B32" s="42" t="s">
        <v>251</v>
      </c>
      <c r="C32" s="42">
        <v>2</v>
      </c>
      <c r="D32" s="42">
        <v>3</v>
      </c>
      <c r="E32" s="42">
        <v>40.53</v>
      </c>
      <c r="F32" s="42">
        <v>177.15450000000001</v>
      </c>
      <c r="G32" s="42">
        <v>298.68380000000002</v>
      </c>
      <c r="H32" s="42">
        <v>201.3827</v>
      </c>
      <c r="I32" s="57">
        <v>0.4</v>
      </c>
      <c r="J32" s="42">
        <v>14.568899999999999</v>
      </c>
      <c r="K32" s="33" t="s">
        <v>117</v>
      </c>
      <c r="L32" s="42">
        <v>0.4</v>
      </c>
      <c r="M32" s="46" t="s">
        <v>117</v>
      </c>
      <c r="N32" s="33"/>
      <c r="O32" s="34"/>
    </row>
    <row r="33" spans="1:15" x14ac:dyDescent="0.25">
      <c r="A33" s="32">
        <v>30</v>
      </c>
      <c r="B33" s="42" t="s">
        <v>143</v>
      </c>
      <c r="C33" s="42">
        <v>3</v>
      </c>
      <c r="D33" s="42">
        <v>2</v>
      </c>
      <c r="E33" s="42">
        <v>229.49789999999999</v>
      </c>
      <c r="F33" s="42">
        <v>202.88140000000001</v>
      </c>
      <c r="G33" s="42">
        <v>417.21449999999999</v>
      </c>
      <c r="H33" s="42">
        <v>231.4529</v>
      </c>
      <c r="I33" s="42">
        <v>170.7098</v>
      </c>
      <c r="J33" s="57">
        <v>0.1</v>
      </c>
      <c r="K33" s="33" t="s">
        <v>117</v>
      </c>
      <c r="L33" s="42">
        <v>0.1</v>
      </c>
      <c r="M33" s="46" t="s">
        <v>117</v>
      </c>
      <c r="N33" s="33"/>
      <c r="O33" s="34"/>
    </row>
    <row r="34" spans="1:15" x14ac:dyDescent="0.25">
      <c r="A34" s="32">
        <v>31</v>
      </c>
      <c r="B34" s="42" t="s">
        <v>144</v>
      </c>
      <c r="C34" s="42">
        <v>3</v>
      </c>
      <c r="D34" s="42">
        <v>2</v>
      </c>
      <c r="E34" s="42">
        <v>453.7801</v>
      </c>
      <c r="F34" s="42">
        <v>135.20849999999999</v>
      </c>
      <c r="G34" s="42">
        <v>9.4961000000000002</v>
      </c>
      <c r="H34" s="42">
        <v>246.6258</v>
      </c>
      <c r="I34" s="42">
        <v>22.607399999999998</v>
      </c>
      <c r="J34" s="57">
        <v>500</v>
      </c>
      <c r="K34" s="33" t="s">
        <v>117</v>
      </c>
      <c r="L34" s="42">
        <v>500</v>
      </c>
      <c r="M34" s="46" t="s">
        <v>117</v>
      </c>
      <c r="N34" s="33"/>
      <c r="O34" s="34"/>
    </row>
    <row r="35" spans="1:15" ht="15.75" thickBot="1" x14ac:dyDescent="0.3">
      <c r="A35" s="35">
        <v>32</v>
      </c>
      <c r="B35" s="43" t="s">
        <v>252</v>
      </c>
      <c r="C35" s="43">
        <v>3</v>
      </c>
      <c r="D35" s="43">
        <v>2</v>
      </c>
      <c r="E35" s="43">
        <v>131.01939999999999</v>
      </c>
      <c r="F35" s="43">
        <v>27.9468</v>
      </c>
      <c r="G35" s="43">
        <v>105.4736</v>
      </c>
      <c r="H35" s="43">
        <v>104.1005</v>
      </c>
      <c r="I35" s="43">
        <v>241.7482</v>
      </c>
      <c r="J35" s="58">
        <v>0.5</v>
      </c>
      <c r="K35" s="36" t="s">
        <v>117</v>
      </c>
      <c r="L35" s="43">
        <v>0.5</v>
      </c>
      <c r="M35" s="47" t="s">
        <v>117</v>
      </c>
      <c r="N35" s="36"/>
      <c r="O35" s="37"/>
    </row>
    <row r="36" spans="1:15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</row>
    <row r="37" spans="1:15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</row>
    <row r="38" spans="1:15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</row>
    <row r="39" spans="1:15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</row>
    <row r="40" spans="1:15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</row>
    <row r="41" spans="1:15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</row>
    <row r="42" spans="1:15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</row>
    <row r="43" spans="1:15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</row>
    <row r="44" spans="1:15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</row>
    <row r="45" spans="1:15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</row>
  </sheetData>
  <sheetProtection sheet="1" objects="1" scenarios="1"/>
  <mergeCells count="2">
    <mergeCell ref="A1:B1"/>
    <mergeCell ref="A2:B2"/>
  </mergeCells>
  <hyperlinks>
    <hyperlink ref="A1" location="'SlewRateCalc'!A1" display="'SlewRateCalc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2" t="s">
        <v>36</v>
      </c>
      <c r="B10" s="157">
        <v>0</v>
      </c>
      <c r="C10" s="158"/>
      <c r="D10" s="1"/>
      <c r="E10" s="1"/>
      <c r="F10" s="1"/>
    </row>
    <row r="11" spans="1:6" ht="15.75" thickBot="1" x14ac:dyDescent="0.3">
      <c r="A11" s="12" t="s">
        <v>37</v>
      </c>
      <c r="B11" s="157">
        <v>0</v>
      </c>
      <c r="C11" s="158"/>
      <c r="D11" s="1"/>
      <c r="E11" s="1"/>
      <c r="F11" s="1"/>
    </row>
    <row r="12" spans="1:6" ht="15.75" thickBot="1" x14ac:dyDescent="0.3">
      <c r="A12" s="12" t="s">
        <v>38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1"/>
      <c r="D15" s="152" t="s">
        <v>41</v>
      </c>
      <c r="E15" s="153"/>
      <c r="F15" s="67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 x14ac:dyDescent="0.25">
      <c r="A17" s="48" t="s">
        <v>56</v>
      </c>
      <c r="B17" s="14" t="s">
        <v>103</v>
      </c>
      <c r="C17" s="15">
        <v>2</v>
      </c>
      <c r="D17" s="16" t="s">
        <v>58</v>
      </c>
      <c r="E17" s="17" t="s">
        <v>60</v>
      </c>
      <c r="F17" s="18"/>
    </row>
    <row r="18" spans="1:6" x14ac:dyDescent="0.25">
      <c r="A18" s="48" t="s">
        <v>56</v>
      </c>
      <c r="B18" s="14" t="s">
        <v>107</v>
      </c>
      <c r="C18" s="15">
        <v>20</v>
      </c>
      <c r="D18" s="16" t="s">
        <v>60</v>
      </c>
      <c r="E18" s="17"/>
      <c r="F18" s="18"/>
    </row>
    <row r="19" spans="1:6" x14ac:dyDescent="0.25">
      <c r="A19" s="48" t="s">
        <v>56</v>
      </c>
      <c r="B19" s="14" t="s">
        <v>146</v>
      </c>
      <c r="C19" s="15">
        <v>2</v>
      </c>
      <c r="D19" s="16" t="s">
        <v>61</v>
      </c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PreviousStCalc() M'!A1" display="'PreviousStCalc() M'!A1"/>
    <hyperlink ref="A18" location="'PreviousStCalc() B'!A1" display="'PreviousStCalc() B'!A1"/>
    <hyperlink ref="A19" location="'PreviousStCalc() P'!A1" display="'PreviousStCalc() P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7.7109375" bestFit="1" customWidth="1"/>
    <col min="3" max="6" width="3.28515625" bestFit="1" customWidth="1"/>
    <col min="7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9" t="s">
        <v>56</v>
      </c>
      <c r="B1" s="160"/>
      <c r="C1" s="41" t="s">
        <v>118</v>
      </c>
      <c r="D1" s="59" t="s">
        <v>117</v>
      </c>
      <c r="E1" s="68"/>
      <c r="F1" s="68"/>
      <c r="G1" s="68"/>
      <c r="H1" s="39"/>
      <c r="I1" s="39"/>
      <c r="J1" s="40"/>
    </row>
    <row r="2" spans="1:10" ht="60" customHeight="1" x14ac:dyDescent="0.25">
      <c r="A2" s="161" t="s">
        <v>146</v>
      </c>
      <c r="B2" s="162"/>
      <c r="C2" s="44" t="s">
        <v>110</v>
      </c>
      <c r="D2" s="44" t="s">
        <v>110</v>
      </c>
      <c r="E2" s="44" t="s">
        <v>110</v>
      </c>
      <c r="F2" s="60" t="s">
        <v>147</v>
      </c>
      <c r="G2" s="24" t="s">
        <v>148</v>
      </c>
      <c r="H2" s="25" t="s">
        <v>24</v>
      </c>
      <c r="I2" s="25" t="s">
        <v>114</v>
      </c>
      <c r="J2" s="26" t="s">
        <v>116</v>
      </c>
    </row>
    <row r="3" spans="1:10" ht="213.75" x14ac:dyDescent="0.25">
      <c r="A3" s="27" t="s">
        <v>108</v>
      </c>
      <c r="B3" s="28" t="s">
        <v>109</v>
      </c>
      <c r="C3" s="29" t="s">
        <v>58</v>
      </c>
      <c r="D3" s="29" t="s">
        <v>60</v>
      </c>
      <c r="E3" s="29" t="s">
        <v>61</v>
      </c>
      <c r="F3" s="30" t="s">
        <v>60</v>
      </c>
      <c r="G3" s="31" t="s">
        <v>60</v>
      </c>
      <c r="H3" s="25" t="s">
        <v>113</v>
      </c>
      <c r="I3" s="25" t="s">
        <v>115</v>
      </c>
      <c r="J3" s="26"/>
    </row>
    <row r="4" spans="1:10" x14ac:dyDescent="0.25">
      <c r="A4" s="32">
        <v>1</v>
      </c>
      <c r="B4" s="42" t="s">
        <v>158</v>
      </c>
      <c r="C4" s="42">
        <v>0</v>
      </c>
      <c r="D4" s="42">
        <v>2</v>
      </c>
      <c r="E4" s="42">
        <v>0</v>
      </c>
      <c r="F4" s="33" t="s">
        <v>117</v>
      </c>
      <c r="G4" s="42">
        <v>2</v>
      </c>
      <c r="H4" s="46" t="s">
        <v>117</v>
      </c>
      <c r="I4" s="33"/>
      <c r="J4" s="34"/>
    </row>
    <row r="5" spans="1:10" ht="15.75" thickBot="1" x14ac:dyDescent="0.3">
      <c r="A5" s="35">
        <v>2</v>
      </c>
      <c r="B5" s="43" t="s">
        <v>159</v>
      </c>
      <c r="C5" s="43">
        <v>5</v>
      </c>
      <c r="D5" s="43">
        <v>5</v>
      </c>
      <c r="E5" s="43">
        <v>4</v>
      </c>
      <c r="F5" s="36" t="s">
        <v>117</v>
      </c>
      <c r="G5" s="43">
        <v>4</v>
      </c>
      <c r="H5" s="47" t="s">
        <v>117</v>
      </c>
      <c r="I5" s="36"/>
      <c r="J5" s="37"/>
    </row>
    <row r="6" spans="1:10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</row>
    <row r="7" spans="1:10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</row>
    <row r="8" spans="1:10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</row>
    <row r="9" spans="1:10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</row>
    <row r="10" spans="1:10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</row>
    <row r="11" spans="1:10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</row>
    <row r="12" spans="1:10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</row>
    <row r="13" spans="1:10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</row>
    <row r="14" spans="1:10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</row>
    <row r="15" spans="1:10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</row>
  </sheetData>
  <sheetProtection sheet="1" objects="1" scenarios="1"/>
  <mergeCells count="2">
    <mergeCell ref="A1:B1"/>
    <mergeCell ref="A2:B2"/>
  </mergeCells>
  <hyperlinks>
    <hyperlink ref="A1" location="'PreviousStCalc'!A1" display="'PreviousStCalc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9.85546875" bestFit="1" customWidth="1"/>
    <col min="3" max="6" width="3.28515625" bestFit="1" customWidth="1"/>
    <col min="7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9" t="s">
        <v>56</v>
      </c>
      <c r="B1" s="160"/>
      <c r="C1" s="41" t="s">
        <v>118</v>
      </c>
      <c r="D1" s="59" t="s">
        <v>117</v>
      </c>
      <c r="E1" s="68"/>
      <c r="F1" s="68"/>
      <c r="G1" s="68"/>
      <c r="H1" s="39"/>
      <c r="I1" s="39"/>
      <c r="J1" s="40"/>
    </row>
    <row r="2" spans="1:10" ht="60" customHeight="1" x14ac:dyDescent="0.25">
      <c r="A2" s="161" t="s">
        <v>107</v>
      </c>
      <c r="B2" s="162"/>
      <c r="C2" s="44" t="s">
        <v>110</v>
      </c>
      <c r="D2" s="44" t="s">
        <v>110</v>
      </c>
      <c r="E2" s="44" t="s">
        <v>110</v>
      </c>
      <c r="F2" s="60" t="s">
        <v>147</v>
      </c>
      <c r="G2" s="24" t="s">
        <v>148</v>
      </c>
      <c r="H2" s="25" t="s">
        <v>24</v>
      </c>
      <c r="I2" s="25" t="s">
        <v>114</v>
      </c>
      <c r="J2" s="26" t="s">
        <v>116</v>
      </c>
    </row>
    <row r="3" spans="1:10" ht="213.75" x14ac:dyDescent="0.25">
      <c r="A3" s="27" t="s">
        <v>108</v>
      </c>
      <c r="B3" s="28" t="s">
        <v>109</v>
      </c>
      <c r="C3" s="29" t="s">
        <v>58</v>
      </c>
      <c r="D3" s="29" t="s">
        <v>60</v>
      </c>
      <c r="E3" s="29" t="s">
        <v>61</v>
      </c>
      <c r="F3" s="30" t="s">
        <v>60</v>
      </c>
      <c r="G3" s="31" t="s">
        <v>60</v>
      </c>
      <c r="H3" s="25" t="s">
        <v>113</v>
      </c>
      <c r="I3" s="25" t="s">
        <v>115</v>
      </c>
      <c r="J3" s="26"/>
    </row>
    <row r="4" spans="1:10" x14ac:dyDescent="0.25">
      <c r="A4" s="32">
        <v>1</v>
      </c>
      <c r="B4" s="42" t="s">
        <v>119</v>
      </c>
      <c r="C4" s="42">
        <v>0</v>
      </c>
      <c r="D4" s="42">
        <v>0</v>
      </c>
      <c r="E4" s="42">
        <v>0</v>
      </c>
      <c r="F4" s="33" t="s">
        <v>117</v>
      </c>
      <c r="G4" s="42">
        <v>0</v>
      </c>
      <c r="H4" s="46" t="s">
        <v>117</v>
      </c>
      <c r="I4" s="33"/>
      <c r="J4" s="34"/>
    </row>
    <row r="5" spans="1:10" x14ac:dyDescent="0.25">
      <c r="A5" s="32">
        <v>2</v>
      </c>
      <c r="B5" s="42" t="s">
        <v>120</v>
      </c>
      <c r="C5" s="42">
        <v>5</v>
      </c>
      <c r="D5" s="42">
        <v>5</v>
      </c>
      <c r="E5" s="42">
        <v>5</v>
      </c>
      <c r="F5" s="33" t="s">
        <v>117</v>
      </c>
      <c r="G5" s="42">
        <v>5</v>
      </c>
      <c r="H5" s="46" t="s">
        <v>117</v>
      </c>
      <c r="I5" s="33"/>
      <c r="J5" s="34"/>
    </row>
    <row r="6" spans="1:10" x14ac:dyDescent="0.25">
      <c r="A6" s="32">
        <v>3</v>
      </c>
      <c r="B6" s="42" t="s">
        <v>127</v>
      </c>
      <c r="C6" s="57">
        <v>0</v>
      </c>
      <c r="D6" s="42">
        <v>2</v>
      </c>
      <c r="E6" s="42">
        <v>0</v>
      </c>
      <c r="F6" s="33" t="s">
        <v>117</v>
      </c>
      <c r="G6" s="42">
        <v>2</v>
      </c>
      <c r="H6" s="46" t="s">
        <v>117</v>
      </c>
      <c r="I6" s="33"/>
      <c r="J6" s="34"/>
    </row>
    <row r="7" spans="1:10" x14ac:dyDescent="0.25">
      <c r="A7" s="32">
        <v>4</v>
      </c>
      <c r="B7" s="42" t="s">
        <v>128</v>
      </c>
      <c r="C7" s="57">
        <v>1</v>
      </c>
      <c r="D7" s="42">
        <v>1</v>
      </c>
      <c r="E7" s="42">
        <v>5</v>
      </c>
      <c r="F7" s="33" t="s">
        <v>117</v>
      </c>
      <c r="G7" s="42">
        <v>5</v>
      </c>
      <c r="H7" s="46" t="s">
        <v>117</v>
      </c>
      <c r="I7" s="33"/>
      <c r="J7" s="34"/>
    </row>
    <row r="8" spans="1:10" x14ac:dyDescent="0.25">
      <c r="A8" s="32">
        <v>5</v>
      </c>
      <c r="B8" s="42" t="s">
        <v>129</v>
      </c>
      <c r="C8" s="57">
        <v>2</v>
      </c>
      <c r="D8" s="42">
        <v>3</v>
      </c>
      <c r="E8" s="42">
        <v>2</v>
      </c>
      <c r="F8" s="33" t="s">
        <v>117</v>
      </c>
      <c r="G8" s="42">
        <v>3</v>
      </c>
      <c r="H8" s="46" t="s">
        <v>117</v>
      </c>
      <c r="I8" s="33"/>
      <c r="J8" s="34"/>
    </row>
    <row r="9" spans="1:10" x14ac:dyDescent="0.25">
      <c r="A9" s="32">
        <v>6</v>
      </c>
      <c r="B9" s="42" t="s">
        <v>130</v>
      </c>
      <c r="C9" s="57">
        <v>3</v>
      </c>
      <c r="D9" s="42">
        <v>1</v>
      </c>
      <c r="E9" s="42">
        <v>1</v>
      </c>
      <c r="F9" s="33" t="s">
        <v>117</v>
      </c>
      <c r="G9" s="42">
        <v>1</v>
      </c>
      <c r="H9" s="46" t="s">
        <v>117</v>
      </c>
      <c r="I9" s="33"/>
      <c r="J9" s="34"/>
    </row>
    <row r="10" spans="1:10" x14ac:dyDescent="0.25">
      <c r="A10" s="32">
        <v>7</v>
      </c>
      <c r="B10" s="42" t="s">
        <v>131</v>
      </c>
      <c r="C10" s="57">
        <v>4</v>
      </c>
      <c r="D10" s="42">
        <v>2</v>
      </c>
      <c r="E10" s="42">
        <v>2</v>
      </c>
      <c r="F10" s="33" t="s">
        <v>117</v>
      </c>
      <c r="G10" s="42">
        <v>2</v>
      </c>
      <c r="H10" s="46" t="s">
        <v>117</v>
      </c>
      <c r="I10" s="33"/>
      <c r="J10" s="34"/>
    </row>
    <row r="11" spans="1:10" x14ac:dyDescent="0.25">
      <c r="A11" s="32">
        <v>8</v>
      </c>
      <c r="B11" s="42" t="s">
        <v>132</v>
      </c>
      <c r="C11" s="57">
        <v>5</v>
      </c>
      <c r="D11" s="42">
        <v>3</v>
      </c>
      <c r="E11" s="42">
        <v>1</v>
      </c>
      <c r="F11" s="33" t="s">
        <v>117</v>
      </c>
      <c r="G11" s="42">
        <v>3</v>
      </c>
      <c r="H11" s="46" t="s">
        <v>117</v>
      </c>
      <c r="I11" s="33"/>
      <c r="J11" s="34"/>
    </row>
    <row r="12" spans="1:10" x14ac:dyDescent="0.25">
      <c r="A12" s="32">
        <v>9</v>
      </c>
      <c r="B12" s="42" t="s">
        <v>121</v>
      </c>
      <c r="C12" s="42">
        <v>0</v>
      </c>
      <c r="D12" s="57">
        <v>0</v>
      </c>
      <c r="E12" s="42">
        <v>5</v>
      </c>
      <c r="F12" s="33" t="s">
        <v>117</v>
      </c>
      <c r="G12" s="42">
        <v>5</v>
      </c>
      <c r="H12" s="46" t="s">
        <v>117</v>
      </c>
      <c r="I12" s="33"/>
      <c r="J12" s="34"/>
    </row>
    <row r="13" spans="1:10" x14ac:dyDescent="0.25">
      <c r="A13" s="32">
        <v>10</v>
      </c>
      <c r="B13" s="42" t="s">
        <v>122</v>
      </c>
      <c r="C13" s="42">
        <v>1</v>
      </c>
      <c r="D13" s="57">
        <v>1</v>
      </c>
      <c r="E13" s="42">
        <v>5</v>
      </c>
      <c r="F13" s="33" t="s">
        <v>117</v>
      </c>
      <c r="G13" s="42">
        <v>5</v>
      </c>
      <c r="H13" s="46" t="s">
        <v>117</v>
      </c>
      <c r="I13" s="33"/>
      <c r="J13" s="34"/>
    </row>
    <row r="14" spans="1:10" x14ac:dyDescent="0.25">
      <c r="A14" s="32">
        <v>11</v>
      </c>
      <c r="B14" s="42" t="s">
        <v>123</v>
      </c>
      <c r="C14" s="42">
        <v>2</v>
      </c>
      <c r="D14" s="57">
        <v>2</v>
      </c>
      <c r="E14" s="42">
        <v>4</v>
      </c>
      <c r="F14" s="33" t="s">
        <v>117</v>
      </c>
      <c r="G14" s="42">
        <v>4</v>
      </c>
      <c r="H14" s="46" t="s">
        <v>117</v>
      </c>
      <c r="I14" s="33"/>
      <c r="J14" s="34"/>
    </row>
    <row r="15" spans="1:10" x14ac:dyDescent="0.25">
      <c r="A15" s="32">
        <v>12</v>
      </c>
      <c r="B15" s="42" t="s">
        <v>124</v>
      </c>
      <c r="C15" s="42">
        <v>3</v>
      </c>
      <c r="D15" s="57">
        <v>3</v>
      </c>
      <c r="E15" s="42">
        <v>2</v>
      </c>
      <c r="F15" s="33" t="s">
        <v>117</v>
      </c>
      <c r="G15" s="42">
        <v>2</v>
      </c>
      <c r="H15" s="46" t="s">
        <v>117</v>
      </c>
      <c r="I15" s="33"/>
      <c r="J15" s="34"/>
    </row>
    <row r="16" spans="1:10" x14ac:dyDescent="0.25">
      <c r="A16" s="32">
        <v>13</v>
      </c>
      <c r="B16" s="42" t="s">
        <v>125</v>
      </c>
      <c r="C16" s="42">
        <v>1</v>
      </c>
      <c r="D16" s="57">
        <v>4</v>
      </c>
      <c r="E16" s="42">
        <v>2</v>
      </c>
      <c r="F16" s="33" t="s">
        <v>117</v>
      </c>
      <c r="G16" s="42">
        <v>4</v>
      </c>
      <c r="H16" s="46" t="s">
        <v>117</v>
      </c>
      <c r="I16" s="33"/>
      <c r="J16" s="34"/>
    </row>
    <row r="17" spans="1:10" x14ac:dyDescent="0.25">
      <c r="A17" s="32">
        <v>14</v>
      </c>
      <c r="B17" s="42" t="s">
        <v>126</v>
      </c>
      <c r="C17" s="42">
        <v>0</v>
      </c>
      <c r="D17" s="57">
        <v>5</v>
      </c>
      <c r="E17" s="42">
        <v>0</v>
      </c>
      <c r="F17" s="33" t="s">
        <v>117</v>
      </c>
      <c r="G17" s="42">
        <v>5</v>
      </c>
      <c r="H17" s="46" t="s">
        <v>117</v>
      </c>
      <c r="I17" s="33"/>
      <c r="J17" s="34"/>
    </row>
    <row r="18" spans="1:10" x14ac:dyDescent="0.25">
      <c r="A18" s="32">
        <v>15</v>
      </c>
      <c r="B18" s="42" t="s">
        <v>157</v>
      </c>
      <c r="C18" s="42">
        <v>0</v>
      </c>
      <c r="D18" s="42">
        <v>1</v>
      </c>
      <c r="E18" s="57">
        <v>0</v>
      </c>
      <c r="F18" s="33" t="s">
        <v>117</v>
      </c>
      <c r="G18" s="42">
        <v>1</v>
      </c>
      <c r="H18" s="46" t="s">
        <v>117</v>
      </c>
      <c r="I18" s="33"/>
      <c r="J18" s="34"/>
    </row>
    <row r="19" spans="1:10" x14ac:dyDescent="0.25">
      <c r="A19" s="32">
        <v>16</v>
      </c>
      <c r="B19" s="42" t="s">
        <v>152</v>
      </c>
      <c r="C19" s="42">
        <v>1</v>
      </c>
      <c r="D19" s="42">
        <v>2</v>
      </c>
      <c r="E19" s="57">
        <v>1</v>
      </c>
      <c r="F19" s="33" t="s">
        <v>117</v>
      </c>
      <c r="G19" s="42">
        <v>2</v>
      </c>
      <c r="H19" s="46" t="s">
        <v>117</v>
      </c>
      <c r="I19" s="33"/>
      <c r="J19" s="34"/>
    </row>
    <row r="20" spans="1:10" x14ac:dyDescent="0.25">
      <c r="A20" s="32">
        <v>17</v>
      </c>
      <c r="B20" s="42" t="s">
        <v>153</v>
      </c>
      <c r="C20" s="42">
        <v>2</v>
      </c>
      <c r="D20" s="42">
        <v>3</v>
      </c>
      <c r="E20" s="57">
        <v>2</v>
      </c>
      <c r="F20" s="33" t="s">
        <v>117</v>
      </c>
      <c r="G20" s="42">
        <v>3</v>
      </c>
      <c r="H20" s="46" t="s">
        <v>117</v>
      </c>
      <c r="I20" s="33"/>
      <c r="J20" s="34"/>
    </row>
    <row r="21" spans="1:10" x14ac:dyDescent="0.25">
      <c r="A21" s="32">
        <v>18</v>
      </c>
      <c r="B21" s="42" t="s">
        <v>154</v>
      </c>
      <c r="C21" s="42">
        <v>3</v>
      </c>
      <c r="D21" s="42">
        <v>5</v>
      </c>
      <c r="E21" s="57">
        <v>3</v>
      </c>
      <c r="F21" s="33" t="s">
        <v>117</v>
      </c>
      <c r="G21" s="42">
        <v>5</v>
      </c>
      <c r="H21" s="46" t="s">
        <v>117</v>
      </c>
      <c r="I21" s="33"/>
      <c r="J21" s="34"/>
    </row>
    <row r="22" spans="1:10" x14ac:dyDescent="0.25">
      <c r="A22" s="32">
        <v>19</v>
      </c>
      <c r="B22" s="42" t="s">
        <v>155</v>
      </c>
      <c r="C22" s="42">
        <v>4</v>
      </c>
      <c r="D22" s="42">
        <v>4</v>
      </c>
      <c r="E22" s="57">
        <v>4</v>
      </c>
      <c r="F22" s="33" t="s">
        <v>117</v>
      </c>
      <c r="G22" s="42">
        <v>4</v>
      </c>
      <c r="H22" s="46" t="s">
        <v>117</v>
      </c>
      <c r="I22" s="33"/>
      <c r="J22" s="34"/>
    </row>
    <row r="23" spans="1:10" ht="15.75" thickBot="1" x14ac:dyDescent="0.3">
      <c r="A23" s="35">
        <v>20</v>
      </c>
      <c r="B23" s="43" t="s">
        <v>156</v>
      </c>
      <c r="C23" s="43">
        <v>5</v>
      </c>
      <c r="D23" s="43">
        <v>0</v>
      </c>
      <c r="E23" s="58">
        <v>5</v>
      </c>
      <c r="F23" s="36" t="s">
        <v>117</v>
      </c>
      <c r="G23" s="43">
        <v>0</v>
      </c>
      <c r="H23" s="47" t="s">
        <v>117</v>
      </c>
      <c r="I23" s="36"/>
      <c r="J23" s="37"/>
    </row>
    <row r="24" spans="1:10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</row>
    <row r="25" spans="1:10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</row>
    <row r="26" spans="1:10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</row>
    <row r="27" spans="1:10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</row>
    <row r="28" spans="1:10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</row>
    <row r="29" spans="1:10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</row>
    <row r="30" spans="1:1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</row>
    <row r="31" spans="1:10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</row>
    <row r="32" spans="1:10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</row>
    <row r="33" spans="1:10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</row>
  </sheetData>
  <sheetProtection sheet="1" objects="1" scenarios="1"/>
  <mergeCells count="2">
    <mergeCell ref="A1:B1"/>
    <mergeCell ref="A2:B2"/>
  </mergeCells>
  <hyperlinks>
    <hyperlink ref="A1" location="'PreviousStCalc'!A1" display="'PreviousStCalc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6" width="3.28515625" bestFit="1" customWidth="1"/>
    <col min="7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9" t="s">
        <v>56</v>
      </c>
      <c r="B1" s="160"/>
      <c r="C1" s="41" t="s">
        <v>118</v>
      </c>
      <c r="D1" s="59" t="s">
        <v>117</v>
      </c>
      <c r="E1" s="68"/>
      <c r="F1" s="68"/>
      <c r="G1" s="68"/>
      <c r="H1" s="39"/>
      <c r="I1" s="39"/>
      <c r="J1" s="40"/>
    </row>
    <row r="2" spans="1:10" ht="60" customHeight="1" x14ac:dyDescent="0.25">
      <c r="A2" s="161" t="s">
        <v>103</v>
      </c>
      <c r="B2" s="162"/>
      <c r="C2" s="44" t="s">
        <v>110</v>
      </c>
      <c r="D2" s="44" t="s">
        <v>110</v>
      </c>
      <c r="E2" s="44" t="s">
        <v>110</v>
      </c>
      <c r="F2" s="60" t="s">
        <v>147</v>
      </c>
      <c r="G2" s="24" t="s">
        <v>148</v>
      </c>
      <c r="H2" s="25" t="s">
        <v>24</v>
      </c>
      <c r="I2" s="25" t="s">
        <v>114</v>
      </c>
      <c r="J2" s="26" t="s">
        <v>116</v>
      </c>
    </row>
    <row r="3" spans="1:10" ht="213.75" x14ac:dyDescent="0.25">
      <c r="A3" s="27" t="s">
        <v>108</v>
      </c>
      <c r="B3" s="28" t="s">
        <v>109</v>
      </c>
      <c r="C3" s="29" t="s">
        <v>58</v>
      </c>
      <c r="D3" s="29" t="s">
        <v>60</v>
      </c>
      <c r="E3" s="29" t="s">
        <v>61</v>
      </c>
      <c r="F3" s="30" t="s">
        <v>60</v>
      </c>
      <c r="G3" s="31" t="s">
        <v>60</v>
      </c>
      <c r="H3" s="25" t="s">
        <v>113</v>
      </c>
      <c r="I3" s="25" t="s">
        <v>115</v>
      </c>
      <c r="J3" s="26"/>
    </row>
    <row r="4" spans="1:10" ht="20.100000000000001" customHeight="1" x14ac:dyDescent="0.25">
      <c r="A4" s="32">
        <v>1</v>
      </c>
      <c r="B4" s="61" t="s">
        <v>160</v>
      </c>
      <c r="C4" s="42">
        <v>0</v>
      </c>
      <c r="D4" s="42">
        <v>2</v>
      </c>
      <c r="E4" s="42">
        <v>0</v>
      </c>
      <c r="F4" s="33" t="s">
        <v>117</v>
      </c>
      <c r="G4" s="42">
        <v>2</v>
      </c>
      <c r="H4" s="46" t="s">
        <v>117</v>
      </c>
      <c r="I4" s="33"/>
      <c r="J4" s="34"/>
    </row>
    <row r="5" spans="1:10" ht="20.100000000000001" customHeight="1" thickBot="1" x14ac:dyDescent="0.3">
      <c r="A5" s="35">
        <v>2</v>
      </c>
      <c r="B5" s="62" t="s">
        <v>161</v>
      </c>
      <c r="C5" s="43">
        <v>5</v>
      </c>
      <c r="D5" s="43">
        <v>5</v>
      </c>
      <c r="E5" s="43">
        <v>4</v>
      </c>
      <c r="F5" s="36" t="s">
        <v>117</v>
      </c>
      <c r="G5" s="43">
        <v>4</v>
      </c>
      <c r="H5" s="47" t="s">
        <v>117</v>
      </c>
      <c r="I5" s="36"/>
      <c r="J5" s="37"/>
    </row>
    <row r="6" spans="1:10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</row>
    <row r="7" spans="1:10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</row>
    <row r="8" spans="1:10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</row>
    <row r="9" spans="1:10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</row>
    <row r="10" spans="1:10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</row>
    <row r="11" spans="1:10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</row>
    <row r="12" spans="1:10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</row>
    <row r="13" spans="1:10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</row>
    <row r="14" spans="1:10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</row>
    <row r="15" spans="1:10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</row>
  </sheetData>
  <sheetProtection sheet="1" objects="1" scenarios="1"/>
  <mergeCells count="2">
    <mergeCell ref="A1:B1"/>
    <mergeCell ref="A2:B2"/>
  </mergeCells>
  <hyperlinks>
    <hyperlink ref="A1" location="'PreviousStCalc'!A1" display="'PreviousStCalc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2" t="s">
        <v>36</v>
      </c>
      <c r="B10" s="157">
        <v>0</v>
      </c>
      <c r="C10" s="158"/>
      <c r="D10" s="1"/>
      <c r="E10" s="1"/>
      <c r="F10" s="1"/>
    </row>
    <row r="11" spans="1:6" ht="15.75" thickBot="1" x14ac:dyDescent="0.3">
      <c r="A11" s="12" t="s">
        <v>37</v>
      </c>
      <c r="B11" s="157">
        <v>0</v>
      </c>
      <c r="C11" s="158"/>
      <c r="D11" s="1"/>
      <c r="E11" s="1"/>
      <c r="F11" s="1"/>
    </row>
    <row r="12" spans="1:6" ht="15.75" thickBot="1" x14ac:dyDescent="0.3">
      <c r="A12" s="12" t="s">
        <v>38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1"/>
      <c r="D15" s="152" t="s">
        <v>41</v>
      </c>
      <c r="E15" s="153"/>
      <c r="F15" s="67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 x14ac:dyDescent="0.25">
      <c r="A17" s="48" t="s">
        <v>53</v>
      </c>
      <c r="B17" s="14" t="s">
        <v>103</v>
      </c>
      <c r="C17" s="15">
        <v>2</v>
      </c>
      <c r="D17" s="81" t="s">
        <v>68</v>
      </c>
      <c r="E17" s="80" t="s">
        <v>58</v>
      </c>
      <c r="F17" s="18" t="s">
        <v>85</v>
      </c>
    </row>
    <row r="18" spans="1:6" x14ac:dyDescent="0.25">
      <c r="A18" s="48" t="s">
        <v>53</v>
      </c>
      <c r="B18" s="14" t="s">
        <v>253</v>
      </c>
      <c r="C18" s="15">
        <v>90</v>
      </c>
      <c r="D18" s="81" t="s">
        <v>70</v>
      </c>
      <c r="E18" s="80" t="s">
        <v>66</v>
      </c>
      <c r="F18" s="18" t="s">
        <v>84</v>
      </c>
    </row>
    <row r="19" spans="1:6" x14ac:dyDescent="0.25">
      <c r="A19" s="48" t="s">
        <v>53</v>
      </c>
      <c r="B19" s="14" t="s">
        <v>146</v>
      </c>
      <c r="C19" s="15">
        <v>25</v>
      </c>
      <c r="D19" s="81" t="s">
        <v>71</v>
      </c>
      <c r="E19" s="80" t="s">
        <v>60</v>
      </c>
      <c r="F19" s="18"/>
    </row>
    <row r="20" spans="1:6" x14ac:dyDescent="0.25">
      <c r="A20" s="14"/>
      <c r="B20" s="14"/>
      <c r="C20" s="15"/>
      <c r="D20" s="81" t="s">
        <v>72</v>
      </c>
      <c r="E20" s="80" t="s">
        <v>65</v>
      </c>
      <c r="F20" s="18"/>
    </row>
    <row r="21" spans="1:6" x14ac:dyDescent="0.25">
      <c r="A21" s="14"/>
      <c r="B21" s="14"/>
      <c r="C21" s="15"/>
      <c r="D21" s="81" t="s">
        <v>73</v>
      </c>
      <c r="E21" s="80" t="s">
        <v>76</v>
      </c>
      <c r="F21" s="18"/>
    </row>
    <row r="22" spans="1:6" x14ac:dyDescent="0.25">
      <c r="A22" s="14"/>
      <c r="B22" s="14"/>
      <c r="C22" s="15"/>
      <c r="D22" s="81" t="s">
        <v>74</v>
      </c>
      <c r="E22" s="80" t="s">
        <v>77</v>
      </c>
      <c r="F22" s="18"/>
    </row>
    <row r="23" spans="1:6" x14ac:dyDescent="0.25">
      <c r="A23" s="14"/>
      <c r="B23" s="14"/>
      <c r="C23" s="15"/>
      <c r="D23" s="81" t="s">
        <v>58</v>
      </c>
      <c r="E23" s="80" t="s">
        <v>78</v>
      </c>
      <c r="F23" s="18"/>
    </row>
    <row r="24" spans="1:6" x14ac:dyDescent="0.25">
      <c r="A24" s="14"/>
      <c r="B24" s="14"/>
      <c r="C24" s="15"/>
      <c r="D24" s="81" t="s">
        <v>60</v>
      </c>
      <c r="E24" s="80" t="s">
        <v>62</v>
      </c>
      <c r="F24" s="18"/>
    </row>
    <row r="25" spans="1:6" x14ac:dyDescent="0.25">
      <c r="A25" s="14"/>
      <c r="B25" s="14"/>
      <c r="C25" s="15"/>
      <c r="D25" s="81" t="s">
        <v>61</v>
      </c>
      <c r="E25" s="80" t="s">
        <v>64</v>
      </c>
      <c r="F25" s="18"/>
    </row>
    <row r="26" spans="1:6" x14ac:dyDescent="0.25">
      <c r="A26" s="14"/>
      <c r="B26" s="14"/>
      <c r="C26" s="15"/>
      <c r="D26" s="81" t="s">
        <v>66</v>
      </c>
      <c r="E26" s="80" t="s">
        <v>61</v>
      </c>
      <c r="F26" s="18"/>
    </row>
    <row r="27" spans="1:6" x14ac:dyDescent="0.25">
      <c r="A27" s="14"/>
      <c r="B27" s="14"/>
      <c r="C27" s="15"/>
      <c r="D27" s="81" t="s">
        <v>65</v>
      </c>
      <c r="E27" s="80"/>
      <c r="F27" s="18"/>
    </row>
    <row r="28" spans="1:6" x14ac:dyDescent="0.25">
      <c r="A28" s="14"/>
      <c r="B28" s="14"/>
      <c r="C28" s="15"/>
      <c r="D28" s="81" t="s">
        <v>79</v>
      </c>
      <c r="E28" s="80"/>
      <c r="F28" s="18"/>
    </row>
    <row r="29" spans="1:6" x14ac:dyDescent="0.25">
      <c r="A29" s="14"/>
      <c r="B29" s="14"/>
      <c r="C29" s="15"/>
      <c r="D29" s="81" t="s">
        <v>80</v>
      </c>
      <c r="E29" s="80"/>
      <c r="F29" s="18"/>
    </row>
    <row r="30" spans="1:6" x14ac:dyDescent="0.25">
      <c r="A30" s="14"/>
      <c r="B30" s="14"/>
      <c r="C30" s="15"/>
      <c r="D30" s="81" t="s">
        <v>81</v>
      </c>
      <c r="E30" s="80"/>
      <c r="F30" s="18"/>
    </row>
    <row r="31" spans="1:6" x14ac:dyDescent="0.25">
      <c r="A31" s="14"/>
      <c r="B31" s="14"/>
      <c r="C31" s="15"/>
      <c r="D31" s="81" t="s">
        <v>82</v>
      </c>
      <c r="E31" s="80"/>
      <c r="F31" s="18"/>
    </row>
    <row r="32" spans="1:6" x14ac:dyDescent="0.25">
      <c r="A32" s="14"/>
      <c r="B32" s="14"/>
      <c r="C32" s="15"/>
      <c r="D32" s="81" t="s">
        <v>83</v>
      </c>
      <c r="E32" s="80"/>
      <c r="F32" s="18"/>
    </row>
    <row r="33" spans="1:6" x14ac:dyDescent="0.25">
      <c r="A33" s="14"/>
      <c r="B33" s="14"/>
      <c r="C33" s="15"/>
      <c r="D33" s="81" t="s">
        <v>86</v>
      </c>
      <c r="E33" s="80"/>
      <c r="F33" s="18"/>
    </row>
    <row r="34" spans="1:6" x14ac:dyDescent="0.25">
      <c r="A34" s="14"/>
      <c r="B34" s="14"/>
      <c r="C34" s="15"/>
      <c r="D34" s="81" t="s">
        <v>87</v>
      </c>
      <c r="E34" s="80"/>
      <c r="F34" s="18"/>
    </row>
    <row r="35" spans="1:6" x14ac:dyDescent="0.25">
      <c r="A35" s="14"/>
      <c r="B35" s="14"/>
      <c r="C35" s="15"/>
      <c r="D35" s="81" t="s">
        <v>88</v>
      </c>
      <c r="E35" s="80"/>
      <c r="F35" s="18"/>
    </row>
    <row r="36" spans="1:6" x14ac:dyDescent="0.25">
      <c r="A36" s="14"/>
      <c r="B36" s="14"/>
      <c r="C36" s="15"/>
      <c r="D36" s="81" t="s">
        <v>89</v>
      </c>
      <c r="E36" s="80"/>
      <c r="F36" s="18"/>
    </row>
    <row r="37" spans="1:6" x14ac:dyDescent="0.25">
      <c r="A37" s="14"/>
      <c r="B37" s="14"/>
      <c r="C37" s="15"/>
      <c r="D37" s="81" t="s">
        <v>90</v>
      </c>
      <c r="E37" s="80"/>
      <c r="F37" s="18"/>
    </row>
    <row r="38" spans="1:6" x14ac:dyDescent="0.25">
      <c r="A38" s="14"/>
      <c r="B38" s="14"/>
      <c r="C38" s="15"/>
      <c r="D38" s="81" t="s">
        <v>91</v>
      </c>
      <c r="E38" s="80"/>
      <c r="F38" s="18"/>
    </row>
    <row r="39" spans="1:6" x14ac:dyDescent="0.25">
      <c r="A39" s="14"/>
      <c r="B39" s="14"/>
      <c r="C39" s="15"/>
      <c r="D39" s="81" t="s">
        <v>92</v>
      </c>
      <c r="E39" s="80"/>
      <c r="F39" s="18"/>
    </row>
    <row r="40" spans="1:6" x14ac:dyDescent="0.25">
      <c r="A40" s="14"/>
      <c r="B40" s="14"/>
      <c r="C40" s="15"/>
      <c r="D40" s="81" t="s">
        <v>93</v>
      </c>
      <c r="E40" s="80"/>
      <c r="F40" s="18"/>
    </row>
    <row r="41" spans="1:6" x14ac:dyDescent="0.25">
      <c r="A41" s="14"/>
      <c r="B41" s="14"/>
      <c r="C41" s="15"/>
      <c r="D41" s="81" t="s">
        <v>94</v>
      </c>
      <c r="E41" s="80"/>
      <c r="F41" s="18"/>
    </row>
    <row r="42" spans="1:6" x14ac:dyDescent="0.25">
      <c r="A42" s="14"/>
      <c r="B42" s="14"/>
      <c r="C42" s="15"/>
      <c r="D42" s="81" t="s">
        <v>95</v>
      </c>
      <c r="E42" s="80"/>
      <c r="F42" s="18"/>
    </row>
    <row r="43" spans="1:6" x14ac:dyDescent="0.25">
      <c r="A43" s="14"/>
      <c r="B43" s="14"/>
      <c r="C43" s="15"/>
      <c r="D43" s="81" t="s">
        <v>96</v>
      </c>
      <c r="E43" s="80"/>
      <c r="F43" s="18"/>
    </row>
    <row r="44" spans="1:6" x14ac:dyDescent="0.25">
      <c r="A44" s="14"/>
      <c r="B44" s="14"/>
      <c r="C44" s="15"/>
      <c r="D44" s="81" t="s">
        <v>106</v>
      </c>
      <c r="E44" s="80"/>
      <c r="F44" s="18"/>
    </row>
    <row r="45" spans="1:6" x14ac:dyDescent="0.25">
      <c r="A45" s="14"/>
      <c r="B45" s="14"/>
      <c r="C45" s="15"/>
      <c r="D45" s="81" t="s">
        <v>98</v>
      </c>
      <c r="E45" s="80"/>
      <c r="F45" s="18"/>
    </row>
    <row r="46" spans="1:6" x14ac:dyDescent="0.25">
      <c r="A46" s="14"/>
      <c r="B46" s="14"/>
      <c r="C46" s="15"/>
      <c r="D46" s="81" t="s">
        <v>99</v>
      </c>
      <c r="E46" s="80"/>
      <c r="F46" s="18"/>
    </row>
    <row r="47" spans="1:6" x14ac:dyDescent="0.25">
      <c r="A47" s="14"/>
      <c r="B47" s="14"/>
      <c r="C47" s="15"/>
      <c r="D47" s="81" t="s">
        <v>100</v>
      </c>
      <c r="E47" s="80"/>
      <c r="F47" s="18"/>
    </row>
    <row r="48" spans="1:6" x14ac:dyDescent="0.25">
      <c r="A48" s="14"/>
      <c r="B48" s="14"/>
      <c r="C48" s="15"/>
      <c r="D48" s="81" t="s">
        <v>101</v>
      </c>
      <c r="E48" s="80"/>
      <c r="F48" s="18"/>
    </row>
    <row r="49" spans="1:6" x14ac:dyDescent="0.25">
      <c r="A49" s="14"/>
      <c r="B49" s="14"/>
      <c r="C49" s="15"/>
      <c r="D49" s="81" t="s">
        <v>102</v>
      </c>
      <c r="E49" s="80"/>
      <c r="F49" s="18"/>
    </row>
    <row r="50" spans="1:6" x14ac:dyDescent="0.25">
      <c r="A50" s="14"/>
      <c r="B50" s="14"/>
      <c r="C50" s="15"/>
      <c r="D50" s="81" t="s">
        <v>97</v>
      </c>
      <c r="E50" s="80"/>
      <c r="F50" s="18"/>
    </row>
    <row r="51" spans="1:6" x14ac:dyDescent="0.25">
      <c r="A51" s="14"/>
      <c r="B51" s="14"/>
      <c r="C51" s="15"/>
      <c r="D51" s="81" t="s">
        <v>62</v>
      </c>
      <c r="E51" s="80"/>
      <c r="F51" s="18"/>
    </row>
    <row r="52" spans="1:6" x14ac:dyDescent="0.25">
      <c r="A52" s="14"/>
      <c r="B52" s="14"/>
      <c r="C52" s="15"/>
      <c r="D52" s="81" t="s">
        <v>64</v>
      </c>
      <c r="E52" s="80"/>
      <c r="F52" s="18"/>
    </row>
    <row r="53" spans="1:6" x14ac:dyDescent="0.25">
      <c r="A53" s="14"/>
      <c r="B53" s="14"/>
      <c r="C53" s="15"/>
      <c r="D53" s="81"/>
      <c r="E53" s="80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StrtStop_Per1() M'!A1" display="'StrtStop_Per1() M'!A1"/>
    <hyperlink ref="A18" location="'StrtStop_Per1() R'!A1" display="'StrtStop_Per1() R'!A1"/>
    <hyperlink ref="A19" location="'StrtStop_Per1() P'!A1" display="'StrtStop_Per1() P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O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7.85546875" bestFit="1" customWidth="1"/>
    <col min="3" max="3" width="3.28515625" bestFit="1" customWidth="1"/>
    <col min="4" max="4" width="11" bestFit="1" customWidth="1"/>
    <col min="5" max="5" width="8.7109375" bestFit="1" customWidth="1"/>
    <col min="6" max="6" width="7.7109375" bestFit="1" customWidth="1"/>
    <col min="7" max="7" width="3.28515625" bestFit="1" customWidth="1"/>
    <col min="8" max="8" width="9" bestFit="1" customWidth="1"/>
    <col min="9" max="11" width="3.28515625" bestFit="1" customWidth="1"/>
    <col min="12" max="12" width="7" bestFit="1" customWidth="1"/>
    <col min="13" max="13" width="9" bestFit="1" customWidth="1"/>
    <col min="14" max="14" width="3.28515625" bestFit="1" customWidth="1"/>
    <col min="15" max="15" width="11" bestFit="1" customWidth="1"/>
    <col min="16" max="16" width="9" bestFit="1" customWidth="1"/>
    <col min="17" max="17" width="7" bestFit="1" customWidth="1"/>
    <col min="18" max="18" width="11" bestFit="1" customWidth="1"/>
    <col min="19" max="20" width="9" bestFit="1" customWidth="1"/>
    <col min="21" max="22" width="7" bestFit="1" customWidth="1"/>
    <col min="23" max="23" width="9" bestFit="1" customWidth="1"/>
    <col min="24" max="24" width="7" bestFit="1" customWidth="1"/>
    <col min="25" max="27" width="9" bestFit="1" customWidth="1"/>
    <col min="28" max="28" width="7" bestFit="1" customWidth="1"/>
    <col min="29" max="30" width="3.28515625" bestFit="1" customWidth="1"/>
    <col min="31" max="36" width="9" bestFit="1" customWidth="1"/>
    <col min="37" max="40" width="11" bestFit="1" customWidth="1"/>
    <col min="41" max="50" width="3.28515625" bestFit="1" customWidth="1"/>
    <col min="51" max="53" width="5.7109375" bestFit="1" customWidth="1"/>
    <col min="54" max="54" width="7" bestFit="1" customWidth="1"/>
    <col min="55" max="55" width="5.7109375" bestFit="1" customWidth="1"/>
    <col min="56" max="56" width="9" bestFit="1" customWidth="1"/>
    <col min="57" max="57" width="7" bestFit="1" customWidth="1"/>
    <col min="58" max="58" width="9" bestFit="1" customWidth="1"/>
    <col min="59" max="59" width="5.7109375" bestFit="1" customWidth="1"/>
    <col min="60" max="61" width="11" bestFit="1" customWidth="1"/>
    <col min="62" max="64" width="5.7109375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59" t="s">
        <v>53</v>
      </c>
      <c r="B1" s="160"/>
      <c r="C1" s="41" t="s">
        <v>118</v>
      </c>
      <c r="D1" s="59" t="s">
        <v>117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39"/>
      <c r="BN1" s="39"/>
      <c r="BO1" s="40"/>
    </row>
    <row r="2" spans="1:67" ht="60" customHeight="1" x14ac:dyDescent="0.25">
      <c r="A2" s="161" t="s">
        <v>146</v>
      </c>
      <c r="B2" s="162"/>
      <c r="C2" s="44" t="s">
        <v>110</v>
      </c>
      <c r="D2" s="44" t="s">
        <v>110</v>
      </c>
      <c r="E2" s="44" t="s">
        <v>110</v>
      </c>
      <c r="F2" s="44" t="s">
        <v>110</v>
      </c>
      <c r="G2" s="44" t="s">
        <v>110</v>
      </c>
      <c r="H2" s="44" t="s">
        <v>110</v>
      </c>
      <c r="I2" s="44" t="s">
        <v>110</v>
      </c>
      <c r="J2" s="44" t="s">
        <v>110</v>
      </c>
      <c r="K2" s="44" t="s">
        <v>110</v>
      </c>
      <c r="L2" s="44" t="s">
        <v>110</v>
      </c>
      <c r="M2" s="44" t="s">
        <v>110</v>
      </c>
      <c r="N2" s="44" t="s">
        <v>110</v>
      </c>
      <c r="O2" s="44" t="s">
        <v>110</v>
      </c>
      <c r="P2" s="44" t="s">
        <v>110</v>
      </c>
      <c r="Q2" s="44" t="s">
        <v>110</v>
      </c>
      <c r="R2" s="44" t="s">
        <v>110</v>
      </c>
      <c r="S2" s="44" t="s">
        <v>110</v>
      </c>
      <c r="T2" s="44" t="s">
        <v>110</v>
      </c>
      <c r="U2" s="44" t="s">
        <v>110</v>
      </c>
      <c r="V2" s="44" t="s">
        <v>110</v>
      </c>
      <c r="W2" s="44" t="s">
        <v>110</v>
      </c>
      <c r="X2" s="44" t="s">
        <v>110</v>
      </c>
      <c r="Y2" s="44" t="s">
        <v>110</v>
      </c>
      <c r="Z2" s="44" t="s">
        <v>110</v>
      </c>
      <c r="AA2" s="44" t="s">
        <v>110</v>
      </c>
      <c r="AB2" s="44" t="s">
        <v>110</v>
      </c>
      <c r="AC2" s="44" t="s">
        <v>110</v>
      </c>
      <c r="AD2" s="44" t="s">
        <v>110</v>
      </c>
      <c r="AE2" s="44" t="s">
        <v>110</v>
      </c>
      <c r="AF2" s="44" t="s">
        <v>110</v>
      </c>
      <c r="AG2" s="44" t="s">
        <v>110</v>
      </c>
      <c r="AH2" s="44" t="s">
        <v>110</v>
      </c>
      <c r="AI2" s="44" t="s">
        <v>110</v>
      </c>
      <c r="AJ2" s="44" t="s">
        <v>110</v>
      </c>
      <c r="AK2" s="44" t="s">
        <v>110</v>
      </c>
      <c r="AL2" s="44" t="s">
        <v>110</v>
      </c>
      <c r="AM2" s="64" t="s">
        <v>162</v>
      </c>
      <c r="AN2" s="64" t="s">
        <v>162</v>
      </c>
      <c r="AO2" s="45" t="s">
        <v>147</v>
      </c>
      <c r="AP2" s="63" t="s">
        <v>147</v>
      </c>
      <c r="AQ2" s="63" t="s">
        <v>147</v>
      </c>
      <c r="AR2" s="63" t="s">
        <v>147</v>
      </c>
      <c r="AS2" s="63" t="s">
        <v>147</v>
      </c>
      <c r="AT2" s="63" t="s">
        <v>147</v>
      </c>
      <c r="AU2" s="63" t="s">
        <v>147</v>
      </c>
      <c r="AV2" s="63" t="s">
        <v>147</v>
      </c>
      <c r="AW2" s="63" t="s">
        <v>147</v>
      </c>
      <c r="AX2" s="63" t="s">
        <v>147</v>
      </c>
      <c r="AY2" s="63" t="s">
        <v>163</v>
      </c>
      <c r="AZ2" s="63" t="s">
        <v>163</v>
      </c>
      <c r="BA2" s="24" t="s">
        <v>148</v>
      </c>
      <c r="BB2" s="24" t="s">
        <v>148</v>
      </c>
      <c r="BC2" s="24" t="s">
        <v>148</v>
      </c>
      <c r="BD2" s="24" t="s">
        <v>148</v>
      </c>
      <c r="BE2" s="24" t="s">
        <v>148</v>
      </c>
      <c r="BF2" s="24" t="s">
        <v>148</v>
      </c>
      <c r="BG2" s="24" t="s">
        <v>148</v>
      </c>
      <c r="BH2" s="24" t="s">
        <v>148</v>
      </c>
      <c r="BI2" s="24" t="s">
        <v>148</v>
      </c>
      <c r="BJ2" s="24" t="s">
        <v>148</v>
      </c>
      <c r="BK2" s="24" t="s">
        <v>164</v>
      </c>
      <c r="BL2" s="24" t="s">
        <v>164</v>
      </c>
      <c r="BM2" s="25" t="s">
        <v>24</v>
      </c>
      <c r="BN2" s="25" t="s">
        <v>114</v>
      </c>
      <c r="BO2" s="26" t="s">
        <v>116</v>
      </c>
    </row>
    <row r="3" spans="1:67" ht="234.75" x14ac:dyDescent="0.25">
      <c r="A3" s="27" t="s">
        <v>108</v>
      </c>
      <c r="B3" s="28" t="s">
        <v>109</v>
      </c>
      <c r="C3" s="29" t="s">
        <v>68</v>
      </c>
      <c r="D3" s="29" t="s">
        <v>70</v>
      </c>
      <c r="E3" s="29" t="s">
        <v>71</v>
      </c>
      <c r="F3" s="29" t="s">
        <v>72</v>
      </c>
      <c r="G3" s="29" t="s">
        <v>73</v>
      </c>
      <c r="H3" s="29" t="s">
        <v>74</v>
      </c>
      <c r="I3" s="29" t="s">
        <v>58</v>
      </c>
      <c r="J3" s="29" t="s">
        <v>60</v>
      </c>
      <c r="K3" s="29" t="s">
        <v>61</v>
      </c>
      <c r="L3" s="29" t="s">
        <v>66</v>
      </c>
      <c r="M3" s="29" t="s">
        <v>65</v>
      </c>
      <c r="N3" s="29" t="s">
        <v>79</v>
      </c>
      <c r="O3" s="29" t="s">
        <v>80</v>
      </c>
      <c r="P3" s="29" t="s">
        <v>81</v>
      </c>
      <c r="Q3" s="29" t="s">
        <v>82</v>
      </c>
      <c r="R3" s="29" t="s">
        <v>83</v>
      </c>
      <c r="S3" s="29" t="s">
        <v>86</v>
      </c>
      <c r="T3" s="29" t="s">
        <v>87</v>
      </c>
      <c r="U3" s="29" t="s">
        <v>88</v>
      </c>
      <c r="V3" s="29" t="s">
        <v>89</v>
      </c>
      <c r="W3" s="29" t="s">
        <v>90</v>
      </c>
      <c r="X3" s="29" t="s">
        <v>91</v>
      </c>
      <c r="Y3" s="29" t="s">
        <v>92</v>
      </c>
      <c r="Z3" s="29" t="s">
        <v>93</v>
      </c>
      <c r="AA3" s="29" t="s">
        <v>94</v>
      </c>
      <c r="AB3" s="29" t="s">
        <v>95</v>
      </c>
      <c r="AC3" s="29" t="s">
        <v>96</v>
      </c>
      <c r="AD3" s="29" t="s">
        <v>106</v>
      </c>
      <c r="AE3" s="29" t="s">
        <v>98</v>
      </c>
      <c r="AF3" s="29" t="s">
        <v>99</v>
      </c>
      <c r="AG3" s="29" t="s">
        <v>100</v>
      </c>
      <c r="AH3" s="29" t="s">
        <v>101</v>
      </c>
      <c r="AI3" s="29" t="s">
        <v>102</v>
      </c>
      <c r="AJ3" s="29" t="s">
        <v>97</v>
      </c>
      <c r="AK3" s="29" t="s">
        <v>62</v>
      </c>
      <c r="AL3" s="29" t="s">
        <v>64</v>
      </c>
      <c r="AM3" s="29" t="s">
        <v>85</v>
      </c>
      <c r="AN3" s="29" t="s">
        <v>84</v>
      </c>
      <c r="AO3" s="30" t="s">
        <v>58</v>
      </c>
      <c r="AP3" s="30" t="s">
        <v>66</v>
      </c>
      <c r="AQ3" s="30" t="s">
        <v>60</v>
      </c>
      <c r="AR3" s="30" t="s">
        <v>65</v>
      </c>
      <c r="AS3" s="30" t="s">
        <v>76</v>
      </c>
      <c r="AT3" s="30" t="s">
        <v>77</v>
      </c>
      <c r="AU3" s="30" t="s">
        <v>78</v>
      </c>
      <c r="AV3" s="30" t="s">
        <v>62</v>
      </c>
      <c r="AW3" s="30" t="s">
        <v>64</v>
      </c>
      <c r="AX3" s="30" t="s">
        <v>61</v>
      </c>
      <c r="AY3" s="30" t="s">
        <v>85</v>
      </c>
      <c r="AZ3" s="30" t="s">
        <v>84</v>
      </c>
      <c r="BA3" s="31" t="s">
        <v>58</v>
      </c>
      <c r="BB3" s="31" t="s">
        <v>66</v>
      </c>
      <c r="BC3" s="31" t="s">
        <v>60</v>
      </c>
      <c r="BD3" s="31" t="s">
        <v>65</v>
      </c>
      <c r="BE3" s="31" t="s">
        <v>76</v>
      </c>
      <c r="BF3" s="31" t="s">
        <v>77</v>
      </c>
      <c r="BG3" s="31" t="s">
        <v>78</v>
      </c>
      <c r="BH3" s="31" t="s">
        <v>62</v>
      </c>
      <c r="BI3" s="31" t="s">
        <v>64</v>
      </c>
      <c r="BJ3" s="31" t="s">
        <v>61</v>
      </c>
      <c r="BK3" s="31" t="s">
        <v>85</v>
      </c>
      <c r="BL3" s="31" t="s">
        <v>84</v>
      </c>
      <c r="BM3" s="25" t="s">
        <v>113</v>
      </c>
      <c r="BN3" s="25" t="s">
        <v>115</v>
      </c>
      <c r="BO3" s="26"/>
    </row>
    <row r="4" spans="1:67" s="74" customFormat="1" ht="15" customHeight="1" x14ac:dyDescent="0.25">
      <c r="A4" s="69">
        <v>1</v>
      </c>
      <c r="B4" s="70" t="s">
        <v>333</v>
      </c>
      <c r="C4" s="65">
        <v>0</v>
      </c>
      <c r="D4" s="65">
        <v>0</v>
      </c>
      <c r="E4" s="65">
        <v>-100</v>
      </c>
      <c r="F4" s="65">
        <v>-10</v>
      </c>
      <c r="G4" s="65">
        <v>0</v>
      </c>
      <c r="H4" s="65">
        <v>0</v>
      </c>
      <c r="I4" s="65">
        <v>0</v>
      </c>
      <c r="J4" s="65">
        <v>0</v>
      </c>
      <c r="K4" s="65">
        <v>0</v>
      </c>
      <c r="L4" s="65">
        <v>0</v>
      </c>
      <c r="M4" s="65">
        <v>0.1</v>
      </c>
      <c r="N4" s="65">
        <v>0</v>
      </c>
      <c r="O4" s="65">
        <v>0</v>
      </c>
      <c r="P4" s="65">
        <v>0</v>
      </c>
      <c r="Q4" s="65">
        <v>1.1000000000000001E-3</v>
      </c>
      <c r="R4" s="65">
        <v>0</v>
      </c>
      <c r="S4" s="65">
        <v>0</v>
      </c>
      <c r="T4" s="65">
        <v>0</v>
      </c>
      <c r="U4" s="65">
        <v>0</v>
      </c>
      <c r="V4" s="65">
        <v>0</v>
      </c>
      <c r="W4" s="65">
        <v>0</v>
      </c>
      <c r="X4" s="65">
        <v>1.1000000000000001E-3</v>
      </c>
      <c r="Y4" s="65">
        <v>0</v>
      </c>
      <c r="Z4" s="65">
        <v>0</v>
      </c>
      <c r="AA4" s="65">
        <v>0</v>
      </c>
      <c r="AB4" s="65">
        <v>0</v>
      </c>
      <c r="AC4" s="65">
        <v>0</v>
      </c>
      <c r="AD4" s="65">
        <v>0</v>
      </c>
      <c r="AE4" s="65">
        <v>0.1</v>
      </c>
      <c r="AF4" s="65">
        <v>0.1</v>
      </c>
      <c r="AG4" s="65">
        <v>0.1</v>
      </c>
      <c r="AH4" s="65">
        <v>0.1</v>
      </c>
      <c r="AI4" s="65">
        <v>0.1</v>
      </c>
      <c r="AJ4" s="65">
        <v>0.1</v>
      </c>
      <c r="AK4" s="65">
        <v>0</v>
      </c>
      <c r="AL4" s="65">
        <v>0</v>
      </c>
      <c r="AM4" s="65">
        <v>0</v>
      </c>
      <c r="AN4" s="65">
        <v>0</v>
      </c>
      <c r="AO4" s="71" t="s">
        <v>117</v>
      </c>
      <c r="AP4" s="71" t="s">
        <v>117</v>
      </c>
      <c r="AQ4" s="71" t="s">
        <v>117</v>
      </c>
      <c r="AR4" s="71" t="s">
        <v>117</v>
      </c>
      <c r="AS4" s="71" t="s">
        <v>117</v>
      </c>
      <c r="AT4" s="71" t="s">
        <v>117</v>
      </c>
      <c r="AU4" s="71" t="s">
        <v>117</v>
      </c>
      <c r="AV4" s="71" t="s">
        <v>117</v>
      </c>
      <c r="AW4" s="71" t="s">
        <v>117</v>
      </c>
      <c r="AX4" s="71" t="s">
        <v>117</v>
      </c>
      <c r="AY4" s="71" t="s">
        <v>117</v>
      </c>
      <c r="AZ4" s="71" t="s">
        <v>117</v>
      </c>
      <c r="BA4" s="65">
        <v>5</v>
      </c>
      <c r="BB4" s="65">
        <v>1</v>
      </c>
      <c r="BC4" s="65">
        <v>5</v>
      </c>
      <c r="BD4" s="65">
        <v>0.1</v>
      </c>
      <c r="BE4" s="65">
        <v>1</v>
      </c>
      <c r="BF4" s="65">
        <v>0.1</v>
      </c>
      <c r="BG4" s="65">
        <v>5</v>
      </c>
      <c r="BH4" s="65">
        <v>0</v>
      </c>
      <c r="BI4" s="65">
        <v>0</v>
      </c>
      <c r="BJ4" s="65">
        <v>0</v>
      </c>
      <c r="BK4" s="65">
        <v>0</v>
      </c>
      <c r="BL4" s="65">
        <v>0</v>
      </c>
      <c r="BM4" s="72" t="s">
        <v>117</v>
      </c>
      <c r="BN4" s="71"/>
      <c r="BO4" s="73"/>
    </row>
    <row r="5" spans="1:67" s="74" customFormat="1" ht="15" customHeight="1" x14ac:dyDescent="0.25">
      <c r="A5" s="69">
        <v>2</v>
      </c>
      <c r="B5" s="65" t="s">
        <v>334</v>
      </c>
      <c r="C5" s="65">
        <v>4</v>
      </c>
      <c r="D5" s="65">
        <v>16383.75</v>
      </c>
      <c r="E5" s="65">
        <v>100</v>
      </c>
      <c r="F5" s="65">
        <v>10</v>
      </c>
      <c r="G5" s="65">
        <v>1</v>
      </c>
      <c r="H5" s="65">
        <v>200</v>
      </c>
      <c r="I5" s="65">
        <v>5</v>
      </c>
      <c r="J5" s="65">
        <v>5</v>
      </c>
      <c r="K5" s="65">
        <v>5</v>
      </c>
      <c r="L5" s="65">
        <v>1</v>
      </c>
      <c r="M5" s="65">
        <v>500</v>
      </c>
      <c r="N5" s="65">
        <v>1</v>
      </c>
      <c r="O5" s="65">
        <v>16383.75</v>
      </c>
      <c r="P5" s="65">
        <v>200</v>
      </c>
      <c r="Q5" s="65">
        <v>1</v>
      </c>
      <c r="R5" s="65">
        <v>16383.75</v>
      </c>
      <c r="S5" s="65">
        <v>200</v>
      </c>
      <c r="T5" s="65">
        <v>250</v>
      </c>
      <c r="U5" s="65">
        <v>10</v>
      </c>
      <c r="V5" s="65">
        <v>1</v>
      </c>
      <c r="W5" s="65">
        <v>200</v>
      </c>
      <c r="X5" s="65">
        <v>1</v>
      </c>
      <c r="Y5" s="65">
        <v>200</v>
      </c>
      <c r="Z5" s="65">
        <v>200</v>
      </c>
      <c r="AA5" s="65">
        <v>250</v>
      </c>
      <c r="AB5" s="65">
        <v>10</v>
      </c>
      <c r="AC5" s="65">
        <v>5</v>
      </c>
      <c r="AD5" s="65">
        <v>5</v>
      </c>
      <c r="AE5" s="65">
        <v>500</v>
      </c>
      <c r="AF5" s="65">
        <v>500</v>
      </c>
      <c r="AG5" s="65">
        <v>500</v>
      </c>
      <c r="AH5" s="65">
        <v>500</v>
      </c>
      <c r="AI5" s="65">
        <v>500</v>
      </c>
      <c r="AJ5" s="65">
        <v>500</v>
      </c>
      <c r="AK5" s="65">
        <v>4294967295</v>
      </c>
      <c r="AL5" s="65">
        <v>4294967295</v>
      </c>
      <c r="AM5" s="65">
        <v>4294967295</v>
      </c>
      <c r="AN5" s="65">
        <v>4294967295</v>
      </c>
      <c r="AO5" s="71" t="s">
        <v>117</v>
      </c>
      <c r="AP5" s="71" t="s">
        <v>117</v>
      </c>
      <c r="AQ5" s="71" t="s">
        <v>117</v>
      </c>
      <c r="AR5" s="71" t="s">
        <v>117</v>
      </c>
      <c r="AS5" s="71" t="s">
        <v>117</v>
      </c>
      <c r="AT5" s="71" t="s">
        <v>117</v>
      </c>
      <c r="AU5" s="71" t="s">
        <v>117</v>
      </c>
      <c r="AV5" s="71" t="s">
        <v>117</v>
      </c>
      <c r="AW5" s="71" t="s">
        <v>117</v>
      </c>
      <c r="AX5" s="71" t="s">
        <v>117</v>
      </c>
      <c r="AY5" s="71" t="s">
        <v>117</v>
      </c>
      <c r="AZ5" s="71" t="s">
        <v>117</v>
      </c>
      <c r="BA5" s="65">
        <v>4</v>
      </c>
      <c r="BB5" s="65">
        <v>1</v>
      </c>
      <c r="BC5" s="65">
        <v>4</v>
      </c>
      <c r="BD5" s="65">
        <v>1</v>
      </c>
      <c r="BE5" s="65">
        <v>1</v>
      </c>
      <c r="BF5" s="65">
        <v>1</v>
      </c>
      <c r="BG5" s="65">
        <v>4</v>
      </c>
      <c r="BH5" s="65">
        <v>4294967295</v>
      </c>
      <c r="BI5" s="65">
        <v>4294967295</v>
      </c>
      <c r="BJ5" s="65">
        <v>5</v>
      </c>
      <c r="BK5" s="65">
        <v>0</v>
      </c>
      <c r="BL5" s="65">
        <v>0</v>
      </c>
      <c r="BM5" s="72" t="s">
        <v>117</v>
      </c>
      <c r="BN5" s="71"/>
      <c r="BO5" s="73"/>
    </row>
    <row r="6" spans="1:67" s="74" customFormat="1" ht="15" customHeight="1" x14ac:dyDescent="0.25">
      <c r="A6" s="69">
        <v>3</v>
      </c>
      <c r="B6" s="65" t="s">
        <v>335</v>
      </c>
      <c r="C6" s="65">
        <v>1</v>
      </c>
      <c r="D6" s="65">
        <v>3446.8375000000001</v>
      </c>
      <c r="E6" s="65">
        <v>-23.6995</v>
      </c>
      <c r="F6" s="65">
        <v>7.0430000000000001</v>
      </c>
      <c r="G6" s="65">
        <v>0</v>
      </c>
      <c r="H6" s="65">
        <v>47.621000000000002</v>
      </c>
      <c r="I6" s="65">
        <v>2</v>
      </c>
      <c r="J6" s="65">
        <v>4</v>
      </c>
      <c r="K6" s="65">
        <v>0</v>
      </c>
      <c r="L6" s="65">
        <v>1</v>
      </c>
      <c r="M6" s="65">
        <v>76.465999999999994</v>
      </c>
      <c r="N6" s="65">
        <v>1</v>
      </c>
      <c r="O6" s="65">
        <v>10812.7469</v>
      </c>
      <c r="P6" s="65">
        <v>171.3297</v>
      </c>
      <c r="Q6" s="65">
        <v>9.8299999999999998E-2</v>
      </c>
      <c r="R6" s="65">
        <v>13478.097400000001</v>
      </c>
      <c r="S6" s="65">
        <v>62.701599999999999</v>
      </c>
      <c r="T6" s="65">
        <v>146.7987</v>
      </c>
      <c r="U6" s="65">
        <v>9.5694999999999997</v>
      </c>
      <c r="V6" s="65">
        <v>1</v>
      </c>
      <c r="W6" s="65">
        <v>123.8943</v>
      </c>
      <c r="X6" s="65">
        <v>1</v>
      </c>
      <c r="Y6" s="65">
        <v>43.317</v>
      </c>
      <c r="Z6" s="65">
        <v>83.760599999999997</v>
      </c>
      <c r="AA6" s="65">
        <v>162.88239999999999</v>
      </c>
      <c r="AB6" s="65">
        <v>1.7224999999999999</v>
      </c>
      <c r="AC6" s="65">
        <v>0</v>
      </c>
      <c r="AD6" s="65">
        <v>5</v>
      </c>
      <c r="AE6" s="65">
        <v>282.30250000000001</v>
      </c>
      <c r="AF6" s="65">
        <v>179.50239999999999</v>
      </c>
      <c r="AG6" s="65">
        <v>8.3483000000000001</v>
      </c>
      <c r="AH6" s="65">
        <v>350.29509999999999</v>
      </c>
      <c r="AI6" s="65">
        <v>46.029299999999999</v>
      </c>
      <c r="AJ6" s="65">
        <v>417.65530000000001</v>
      </c>
      <c r="AK6" s="65">
        <v>1334609408</v>
      </c>
      <c r="AL6" s="65">
        <v>128181248</v>
      </c>
      <c r="AM6" s="65">
        <v>1450</v>
      </c>
      <c r="AN6" s="65">
        <v>7500</v>
      </c>
      <c r="AO6" s="71" t="s">
        <v>117</v>
      </c>
      <c r="AP6" s="71" t="s">
        <v>117</v>
      </c>
      <c r="AQ6" s="71" t="s">
        <v>117</v>
      </c>
      <c r="AR6" s="71" t="s">
        <v>117</v>
      </c>
      <c r="AS6" s="71" t="s">
        <v>117</v>
      </c>
      <c r="AT6" s="71" t="s">
        <v>117</v>
      </c>
      <c r="AU6" s="71" t="s">
        <v>117</v>
      </c>
      <c r="AV6" s="71" t="s">
        <v>117</v>
      </c>
      <c r="AW6" s="71" t="s">
        <v>117</v>
      </c>
      <c r="AX6" s="71" t="s">
        <v>117</v>
      </c>
      <c r="AY6" s="71" t="s">
        <v>117</v>
      </c>
      <c r="AZ6" s="71" t="s">
        <v>117</v>
      </c>
      <c r="BA6" s="65">
        <v>2</v>
      </c>
      <c r="BB6" s="65">
        <v>1</v>
      </c>
      <c r="BC6" s="65">
        <v>2</v>
      </c>
      <c r="BD6" s="65">
        <v>282.30250000000001</v>
      </c>
      <c r="BE6" s="65">
        <v>1</v>
      </c>
      <c r="BF6" s="65">
        <v>282.30250000000001</v>
      </c>
      <c r="BG6" s="65">
        <v>2</v>
      </c>
      <c r="BH6" s="65">
        <v>1334609408</v>
      </c>
      <c r="BI6" s="65">
        <v>128181248</v>
      </c>
      <c r="BJ6" s="65">
        <v>4</v>
      </c>
      <c r="BK6" s="65">
        <v>0</v>
      </c>
      <c r="BL6" s="65">
        <v>0</v>
      </c>
      <c r="BM6" s="72" t="s">
        <v>117</v>
      </c>
      <c r="BN6" s="71"/>
      <c r="BO6" s="73"/>
    </row>
    <row r="7" spans="1:67" s="74" customFormat="1" ht="15" customHeight="1" x14ac:dyDescent="0.25">
      <c r="A7" s="69">
        <v>4</v>
      </c>
      <c r="B7" s="70" t="s">
        <v>336</v>
      </c>
      <c r="C7" s="65">
        <v>2</v>
      </c>
      <c r="D7" s="65">
        <v>1211.7067999999999</v>
      </c>
      <c r="E7" s="65">
        <v>-6.8196000000000003</v>
      </c>
      <c r="F7" s="65">
        <v>5.5773999999999999</v>
      </c>
      <c r="G7" s="65">
        <v>1</v>
      </c>
      <c r="H7" s="65">
        <v>186.01560000000001</v>
      </c>
      <c r="I7" s="65">
        <v>2</v>
      </c>
      <c r="J7" s="65">
        <v>2</v>
      </c>
      <c r="K7" s="65">
        <v>1</v>
      </c>
      <c r="L7" s="65">
        <v>0.52580000000000005</v>
      </c>
      <c r="M7" s="65">
        <v>453.7989</v>
      </c>
      <c r="N7" s="65">
        <v>1</v>
      </c>
      <c r="O7" s="65">
        <v>12757.5185</v>
      </c>
      <c r="P7" s="65">
        <v>110.69710000000001</v>
      </c>
      <c r="Q7" s="65">
        <v>1</v>
      </c>
      <c r="R7" s="65">
        <v>5795.5142999999998</v>
      </c>
      <c r="S7" s="65">
        <v>135.0076</v>
      </c>
      <c r="T7" s="65">
        <v>224.35679999999999</v>
      </c>
      <c r="U7" s="65">
        <v>9.0917999999999992</v>
      </c>
      <c r="V7" s="65">
        <v>1</v>
      </c>
      <c r="W7" s="65">
        <v>188.05619999999999</v>
      </c>
      <c r="X7" s="65">
        <v>1</v>
      </c>
      <c r="Y7" s="65">
        <v>38.927399999999999</v>
      </c>
      <c r="Z7" s="65">
        <v>87.165899999999993</v>
      </c>
      <c r="AA7" s="65">
        <v>211.67840000000001</v>
      </c>
      <c r="AB7" s="65">
        <v>4.0598999999999998</v>
      </c>
      <c r="AC7" s="65">
        <v>4</v>
      </c>
      <c r="AD7" s="65">
        <v>3</v>
      </c>
      <c r="AE7" s="65">
        <v>217.22300000000001</v>
      </c>
      <c r="AF7" s="65">
        <v>207.60810000000001</v>
      </c>
      <c r="AG7" s="65">
        <v>417.2407</v>
      </c>
      <c r="AH7" s="65">
        <v>130.9494</v>
      </c>
      <c r="AI7" s="65">
        <v>5.1985999999999999</v>
      </c>
      <c r="AJ7" s="65">
        <v>170.88079999999999</v>
      </c>
      <c r="AK7" s="65">
        <v>2526097664</v>
      </c>
      <c r="AL7" s="65">
        <v>2302875392</v>
      </c>
      <c r="AM7" s="65">
        <v>2800</v>
      </c>
      <c r="AN7" s="65">
        <v>12650</v>
      </c>
      <c r="AO7" s="71" t="s">
        <v>117</v>
      </c>
      <c r="AP7" s="71" t="s">
        <v>117</v>
      </c>
      <c r="AQ7" s="71" t="s">
        <v>117</v>
      </c>
      <c r="AR7" s="71" t="s">
        <v>117</v>
      </c>
      <c r="AS7" s="71" t="s">
        <v>117</v>
      </c>
      <c r="AT7" s="71" t="s">
        <v>117</v>
      </c>
      <c r="AU7" s="71" t="s">
        <v>117</v>
      </c>
      <c r="AV7" s="71" t="s">
        <v>117</v>
      </c>
      <c r="AW7" s="71" t="s">
        <v>117</v>
      </c>
      <c r="AX7" s="71" t="s">
        <v>117</v>
      </c>
      <c r="AY7" s="71" t="s">
        <v>117</v>
      </c>
      <c r="AZ7" s="71" t="s">
        <v>117</v>
      </c>
      <c r="BA7" s="65">
        <v>4</v>
      </c>
      <c r="BB7" s="65">
        <v>1</v>
      </c>
      <c r="BC7" s="65">
        <v>4</v>
      </c>
      <c r="BD7" s="65">
        <v>453.7989</v>
      </c>
      <c r="BE7" s="65">
        <v>1</v>
      </c>
      <c r="BF7" s="65">
        <v>453.7989</v>
      </c>
      <c r="BG7" s="65">
        <v>4</v>
      </c>
      <c r="BH7" s="65">
        <v>2526097664</v>
      </c>
      <c r="BI7" s="65">
        <v>2302875392</v>
      </c>
      <c r="BJ7" s="65">
        <v>2</v>
      </c>
      <c r="BK7" s="65">
        <v>0</v>
      </c>
      <c r="BL7" s="65">
        <v>0</v>
      </c>
      <c r="BM7" s="72" t="s">
        <v>117</v>
      </c>
      <c r="BN7" s="71"/>
      <c r="BO7" s="73"/>
    </row>
    <row r="8" spans="1:67" s="74" customFormat="1" ht="15" customHeight="1" x14ac:dyDescent="0.25">
      <c r="A8" s="69">
        <v>5</v>
      </c>
      <c r="B8" s="70" t="s">
        <v>337</v>
      </c>
      <c r="C8" s="65">
        <v>0</v>
      </c>
      <c r="D8" s="65">
        <v>0</v>
      </c>
      <c r="E8" s="65">
        <v>-75.971699999999998</v>
      </c>
      <c r="F8" s="65">
        <v>-0.80910000000000004</v>
      </c>
      <c r="G8" s="65">
        <v>0</v>
      </c>
      <c r="H8" s="65">
        <v>51.758299999999998</v>
      </c>
      <c r="I8" s="65">
        <v>0</v>
      </c>
      <c r="J8" s="65">
        <v>0</v>
      </c>
      <c r="K8" s="65">
        <v>3</v>
      </c>
      <c r="L8" s="65">
        <v>1</v>
      </c>
      <c r="M8" s="65">
        <v>255.94319999999999</v>
      </c>
      <c r="N8" s="65">
        <v>1</v>
      </c>
      <c r="O8" s="65">
        <v>7478.2290000000003</v>
      </c>
      <c r="P8" s="65">
        <v>194.29079999999999</v>
      </c>
      <c r="Q8" s="65">
        <v>1</v>
      </c>
      <c r="R8" s="65">
        <v>2733.0684999999999</v>
      </c>
      <c r="S8" s="65">
        <v>146.70500000000001</v>
      </c>
      <c r="T8" s="65">
        <v>204.7354</v>
      </c>
      <c r="U8" s="65">
        <v>5.8163999999999998</v>
      </c>
      <c r="V8" s="65">
        <v>0.70179999999999998</v>
      </c>
      <c r="W8" s="65">
        <v>182.18</v>
      </c>
      <c r="X8" s="65">
        <v>0.30609999999999998</v>
      </c>
      <c r="Y8" s="65">
        <v>143.898</v>
      </c>
      <c r="Z8" s="65">
        <v>68.349900000000005</v>
      </c>
      <c r="AA8" s="65">
        <v>167.42779999999999</v>
      </c>
      <c r="AB8" s="65">
        <v>9.0058000000000007</v>
      </c>
      <c r="AC8" s="65">
        <v>2</v>
      </c>
      <c r="AD8" s="65">
        <v>3</v>
      </c>
      <c r="AE8" s="65">
        <v>198.54560000000001</v>
      </c>
      <c r="AF8" s="65">
        <v>117.0234</v>
      </c>
      <c r="AG8" s="65">
        <v>337.00209999999998</v>
      </c>
      <c r="AH8" s="65">
        <v>417.31650000000002</v>
      </c>
      <c r="AI8" s="65">
        <v>341.30079999999998</v>
      </c>
      <c r="AJ8" s="65">
        <v>448.06139999999999</v>
      </c>
      <c r="AK8" s="65">
        <v>4260311040</v>
      </c>
      <c r="AL8" s="65">
        <v>3035725312</v>
      </c>
      <c r="AM8" s="65">
        <v>6850</v>
      </c>
      <c r="AN8" s="65">
        <v>28100</v>
      </c>
      <c r="AO8" s="71" t="s">
        <v>117</v>
      </c>
      <c r="AP8" s="71" t="s">
        <v>117</v>
      </c>
      <c r="AQ8" s="71" t="s">
        <v>117</v>
      </c>
      <c r="AR8" s="71" t="s">
        <v>117</v>
      </c>
      <c r="AS8" s="71" t="s">
        <v>117</v>
      </c>
      <c r="AT8" s="71" t="s">
        <v>117</v>
      </c>
      <c r="AU8" s="71" t="s">
        <v>117</v>
      </c>
      <c r="AV8" s="71" t="s">
        <v>117</v>
      </c>
      <c r="AW8" s="71" t="s">
        <v>117</v>
      </c>
      <c r="AX8" s="71" t="s">
        <v>117</v>
      </c>
      <c r="AY8" s="71" t="s">
        <v>117</v>
      </c>
      <c r="AZ8" s="71" t="s">
        <v>117</v>
      </c>
      <c r="BA8" s="65">
        <v>1</v>
      </c>
      <c r="BB8" s="65">
        <v>1</v>
      </c>
      <c r="BC8" s="65">
        <v>1</v>
      </c>
      <c r="BD8" s="65">
        <v>448.06139999999999</v>
      </c>
      <c r="BE8" s="65">
        <v>1</v>
      </c>
      <c r="BF8" s="65">
        <v>448.06139999999999</v>
      </c>
      <c r="BG8" s="65">
        <v>1</v>
      </c>
      <c r="BH8" s="65">
        <v>6850</v>
      </c>
      <c r="BI8" s="65">
        <v>3035725312</v>
      </c>
      <c r="BJ8" s="65">
        <v>0</v>
      </c>
      <c r="BK8" s="65">
        <v>1</v>
      </c>
      <c r="BL8" s="65">
        <v>0</v>
      </c>
      <c r="BM8" s="72" t="s">
        <v>117</v>
      </c>
      <c r="BN8" s="71"/>
      <c r="BO8" s="73"/>
    </row>
    <row r="9" spans="1:67" s="74" customFormat="1" ht="15" customHeight="1" x14ac:dyDescent="0.25">
      <c r="A9" s="69">
        <v>6</v>
      </c>
      <c r="B9" s="70" t="s">
        <v>338</v>
      </c>
      <c r="C9" s="65">
        <v>0</v>
      </c>
      <c r="D9" s="65">
        <v>16383.75</v>
      </c>
      <c r="E9" s="65">
        <v>-76.790499999999994</v>
      </c>
      <c r="F9" s="65">
        <v>-8.3623999999999992</v>
      </c>
      <c r="G9" s="65">
        <v>0</v>
      </c>
      <c r="H9" s="65">
        <v>51.438099999999999</v>
      </c>
      <c r="I9" s="65">
        <v>0</v>
      </c>
      <c r="J9" s="65">
        <v>2</v>
      </c>
      <c r="K9" s="65">
        <v>2</v>
      </c>
      <c r="L9" s="65">
        <v>0.42030000000000001</v>
      </c>
      <c r="M9" s="65">
        <v>395.05009999999999</v>
      </c>
      <c r="N9" s="65">
        <v>1</v>
      </c>
      <c r="O9" s="65">
        <v>146.03700000000001</v>
      </c>
      <c r="P9" s="65">
        <v>75.109200000000001</v>
      </c>
      <c r="Q9" s="65">
        <v>0.55200000000000005</v>
      </c>
      <c r="R9" s="65">
        <v>11399.382100000001</v>
      </c>
      <c r="S9" s="65">
        <v>166.95410000000001</v>
      </c>
      <c r="T9" s="65">
        <v>173.50389999999999</v>
      </c>
      <c r="U9" s="65">
        <v>4.3304999999999998</v>
      </c>
      <c r="V9" s="65">
        <v>0.46939999999999998</v>
      </c>
      <c r="W9" s="65">
        <v>180.16749999999999</v>
      </c>
      <c r="X9" s="65">
        <v>0.74739999999999995</v>
      </c>
      <c r="Y9" s="65">
        <v>93.768000000000001</v>
      </c>
      <c r="Z9" s="65">
        <v>188.28530000000001</v>
      </c>
      <c r="AA9" s="65">
        <v>166.33029999999999</v>
      </c>
      <c r="AB9" s="65">
        <v>4.3562000000000003</v>
      </c>
      <c r="AC9" s="65">
        <v>5</v>
      </c>
      <c r="AD9" s="65">
        <v>5</v>
      </c>
      <c r="AE9" s="65">
        <v>238.89420000000001</v>
      </c>
      <c r="AF9" s="65">
        <v>0.59840000000000004</v>
      </c>
      <c r="AG9" s="65">
        <v>488.17090000000002</v>
      </c>
      <c r="AH9" s="65">
        <v>266.24380000000002</v>
      </c>
      <c r="AI9" s="65">
        <v>38.332599999999999</v>
      </c>
      <c r="AJ9" s="65">
        <v>98.067099999999996</v>
      </c>
      <c r="AK9" s="65">
        <v>3264295680</v>
      </c>
      <c r="AL9" s="65">
        <v>1346521344</v>
      </c>
      <c r="AM9" s="65">
        <v>8200</v>
      </c>
      <c r="AN9" s="65">
        <v>33250</v>
      </c>
      <c r="AO9" s="71" t="s">
        <v>117</v>
      </c>
      <c r="AP9" s="71" t="s">
        <v>117</v>
      </c>
      <c r="AQ9" s="71" t="s">
        <v>117</v>
      </c>
      <c r="AR9" s="71" t="s">
        <v>117</v>
      </c>
      <c r="AS9" s="71" t="s">
        <v>117</v>
      </c>
      <c r="AT9" s="71" t="s">
        <v>117</v>
      </c>
      <c r="AU9" s="71" t="s">
        <v>117</v>
      </c>
      <c r="AV9" s="71" t="s">
        <v>117</v>
      </c>
      <c r="AW9" s="71" t="s">
        <v>117</v>
      </c>
      <c r="AX9" s="71" t="s">
        <v>117</v>
      </c>
      <c r="AY9" s="71" t="s">
        <v>117</v>
      </c>
      <c r="AZ9" s="71" t="s">
        <v>117</v>
      </c>
      <c r="BA9" s="65">
        <v>0</v>
      </c>
      <c r="BB9" s="65">
        <v>0.42030000000000001</v>
      </c>
      <c r="BC9" s="65">
        <v>0</v>
      </c>
      <c r="BD9" s="65">
        <v>0.59840000000000004</v>
      </c>
      <c r="BE9" s="65">
        <v>0.42030000000000001</v>
      </c>
      <c r="BF9" s="65">
        <v>0.59840000000000004</v>
      </c>
      <c r="BG9" s="65">
        <v>0</v>
      </c>
      <c r="BH9" s="65">
        <v>3264295680</v>
      </c>
      <c r="BI9" s="65">
        <v>1346521344</v>
      </c>
      <c r="BJ9" s="65">
        <v>2</v>
      </c>
      <c r="BK9" s="65">
        <v>0</v>
      </c>
      <c r="BL9" s="65">
        <v>0</v>
      </c>
      <c r="BM9" s="72" t="s">
        <v>117</v>
      </c>
      <c r="BN9" s="71"/>
      <c r="BO9" s="73"/>
    </row>
    <row r="10" spans="1:67" s="74" customFormat="1" ht="15" customHeight="1" x14ac:dyDescent="0.25">
      <c r="A10" s="69">
        <v>7</v>
      </c>
      <c r="B10" s="70" t="s">
        <v>339</v>
      </c>
      <c r="C10" s="65">
        <v>0</v>
      </c>
      <c r="D10" s="65">
        <v>63.957099999999997</v>
      </c>
      <c r="E10" s="65">
        <v>-65.0715</v>
      </c>
      <c r="F10" s="65">
        <v>-1.3767</v>
      </c>
      <c r="G10" s="65">
        <v>0</v>
      </c>
      <c r="H10" s="65">
        <v>143.61179999999999</v>
      </c>
      <c r="I10" s="65">
        <v>0</v>
      </c>
      <c r="J10" s="65">
        <v>3</v>
      </c>
      <c r="K10" s="65">
        <v>3</v>
      </c>
      <c r="L10" s="65">
        <v>0.45240000000000002</v>
      </c>
      <c r="M10" s="65">
        <v>308.00420000000003</v>
      </c>
      <c r="N10" s="65">
        <v>1</v>
      </c>
      <c r="O10" s="65">
        <v>8704.9981000000007</v>
      </c>
      <c r="P10" s="65">
        <v>125.79300000000001</v>
      </c>
      <c r="Q10" s="65">
        <v>0.93920000000000003</v>
      </c>
      <c r="R10" s="65">
        <v>10516.5908</v>
      </c>
      <c r="S10" s="65">
        <v>128.6207</v>
      </c>
      <c r="T10" s="65">
        <v>145.29839999999999</v>
      </c>
      <c r="U10" s="65">
        <v>9.0372000000000003</v>
      </c>
      <c r="V10" s="65">
        <v>0.50209999999999999</v>
      </c>
      <c r="W10" s="65">
        <v>31.565999999999999</v>
      </c>
      <c r="X10" s="65">
        <v>1</v>
      </c>
      <c r="Y10" s="65">
        <v>40.250399999999999</v>
      </c>
      <c r="Z10" s="65">
        <v>127.95480000000001</v>
      </c>
      <c r="AA10" s="65">
        <v>53.483199999999997</v>
      </c>
      <c r="AB10" s="65">
        <v>3.5526</v>
      </c>
      <c r="AC10" s="65">
        <v>4</v>
      </c>
      <c r="AD10" s="65">
        <v>4</v>
      </c>
      <c r="AE10" s="65">
        <v>133.59309999999999</v>
      </c>
      <c r="AF10" s="65">
        <v>230.85470000000001</v>
      </c>
      <c r="AG10" s="65">
        <v>271.9991</v>
      </c>
      <c r="AH10" s="65">
        <v>317.21960000000001</v>
      </c>
      <c r="AI10" s="65">
        <v>302.61590000000001</v>
      </c>
      <c r="AJ10" s="65">
        <v>423.45080000000002</v>
      </c>
      <c r="AK10" s="65">
        <v>1953966592</v>
      </c>
      <c r="AL10" s="65">
        <v>2470176768</v>
      </c>
      <c r="AM10" s="65">
        <v>9550</v>
      </c>
      <c r="AN10" s="65">
        <v>38400</v>
      </c>
      <c r="AO10" s="71" t="s">
        <v>117</v>
      </c>
      <c r="AP10" s="71" t="s">
        <v>117</v>
      </c>
      <c r="AQ10" s="71" t="s">
        <v>117</v>
      </c>
      <c r="AR10" s="71" t="s">
        <v>117</v>
      </c>
      <c r="AS10" s="71" t="s">
        <v>117</v>
      </c>
      <c r="AT10" s="71" t="s">
        <v>117</v>
      </c>
      <c r="AU10" s="71" t="s">
        <v>117</v>
      </c>
      <c r="AV10" s="71" t="s">
        <v>117</v>
      </c>
      <c r="AW10" s="71" t="s">
        <v>117</v>
      </c>
      <c r="AX10" s="71" t="s">
        <v>117</v>
      </c>
      <c r="AY10" s="71" t="s">
        <v>117</v>
      </c>
      <c r="AZ10" s="71" t="s">
        <v>117</v>
      </c>
      <c r="BA10" s="65">
        <v>0</v>
      </c>
      <c r="BB10" s="65">
        <v>0.45240000000000002</v>
      </c>
      <c r="BC10" s="65">
        <v>0</v>
      </c>
      <c r="BD10" s="65">
        <v>230.85470000000001</v>
      </c>
      <c r="BE10" s="65">
        <v>0.45240000000000002</v>
      </c>
      <c r="BF10" s="65">
        <v>230.85470000000001</v>
      </c>
      <c r="BG10" s="65">
        <v>0</v>
      </c>
      <c r="BH10" s="65">
        <v>1953966592</v>
      </c>
      <c r="BI10" s="65">
        <v>2470176768</v>
      </c>
      <c r="BJ10" s="65">
        <v>3</v>
      </c>
      <c r="BK10" s="65">
        <v>0</v>
      </c>
      <c r="BL10" s="65">
        <v>0</v>
      </c>
      <c r="BM10" s="72" t="s">
        <v>117</v>
      </c>
      <c r="BN10" s="71"/>
      <c r="BO10" s="73"/>
    </row>
    <row r="11" spans="1:67" s="74" customFormat="1" ht="15" customHeight="1" x14ac:dyDescent="0.25">
      <c r="A11" s="69">
        <v>8</v>
      </c>
      <c r="B11" s="70" t="s">
        <v>340</v>
      </c>
      <c r="C11" s="65">
        <v>0</v>
      </c>
      <c r="D11" s="65">
        <v>3.9523000000000001</v>
      </c>
      <c r="E11" s="65">
        <v>-100</v>
      </c>
      <c r="F11" s="65">
        <v>-2.8731</v>
      </c>
      <c r="G11" s="65">
        <v>0</v>
      </c>
      <c r="H11" s="65">
        <v>133.63919999999999</v>
      </c>
      <c r="I11" s="65">
        <v>3</v>
      </c>
      <c r="J11" s="65">
        <v>0</v>
      </c>
      <c r="K11" s="65">
        <v>5</v>
      </c>
      <c r="L11" s="65">
        <v>1</v>
      </c>
      <c r="M11" s="65">
        <v>173.13630000000001</v>
      </c>
      <c r="N11" s="65">
        <v>1</v>
      </c>
      <c r="O11" s="65">
        <v>10028.3506</v>
      </c>
      <c r="P11" s="65">
        <v>27.512599999999999</v>
      </c>
      <c r="Q11" s="65">
        <v>0.66849999999999998</v>
      </c>
      <c r="R11" s="65">
        <v>14620.031499999999</v>
      </c>
      <c r="S11" s="65">
        <v>13.0671</v>
      </c>
      <c r="T11" s="65">
        <v>15.1769</v>
      </c>
      <c r="U11" s="65">
        <v>7.2324000000000002</v>
      </c>
      <c r="V11" s="65">
        <v>1</v>
      </c>
      <c r="W11" s="65">
        <v>174.97479999999999</v>
      </c>
      <c r="X11" s="65">
        <v>0.34279999999999999</v>
      </c>
      <c r="Y11" s="65">
        <v>46.2134</v>
      </c>
      <c r="Z11" s="65">
        <v>151.70660000000001</v>
      </c>
      <c r="AA11" s="65">
        <v>34.505899999999997</v>
      </c>
      <c r="AB11" s="65">
        <v>2.7833000000000001</v>
      </c>
      <c r="AC11" s="65">
        <v>1</v>
      </c>
      <c r="AD11" s="65">
        <v>0</v>
      </c>
      <c r="AE11" s="65">
        <v>496.18060000000003</v>
      </c>
      <c r="AF11" s="65">
        <v>241.51079999999999</v>
      </c>
      <c r="AG11" s="65">
        <v>302.43</v>
      </c>
      <c r="AH11" s="65">
        <v>212.6884</v>
      </c>
      <c r="AI11" s="65">
        <v>34.848799999999997</v>
      </c>
      <c r="AJ11" s="65">
        <v>462.76569999999998</v>
      </c>
      <c r="AK11" s="65">
        <v>2405516544</v>
      </c>
      <c r="AL11" s="65">
        <v>998968064</v>
      </c>
      <c r="AM11" s="65">
        <v>10900</v>
      </c>
      <c r="AN11" s="65">
        <v>43550</v>
      </c>
      <c r="AO11" s="71" t="s">
        <v>117</v>
      </c>
      <c r="AP11" s="71" t="s">
        <v>117</v>
      </c>
      <c r="AQ11" s="71" t="s">
        <v>117</v>
      </c>
      <c r="AR11" s="71" t="s">
        <v>117</v>
      </c>
      <c r="AS11" s="71" t="s">
        <v>117</v>
      </c>
      <c r="AT11" s="71" t="s">
        <v>117</v>
      </c>
      <c r="AU11" s="71" t="s">
        <v>117</v>
      </c>
      <c r="AV11" s="71" t="s">
        <v>117</v>
      </c>
      <c r="AW11" s="71" t="s">
        <v>117</v>
      </c>
      <c r="AX11" s="71" t="s">
        <v>117</v>
      </c>
      <c r="AY11" s="71" t="s">
        <v>117</v>
      </c>
      <c r="AZ11" s="71" t="s">
        <v>117</v>
      </c>
      <c r="BA11" s="65">
        <v>0</v>
      </c>
      <c r="BB11" s="65">
        <v>1</v>
      </c>
      <c r="BC11" s="65">
        <v>0</v>
      </c>
      <c r="BD11" s="65">
        <v>1</v>
      </c>
      <c r="BE11" s="65">
        <v>1</v>
      </c>
      <c r="BF11" s="65">
        <v>1</v>
      </c>
      <c r="BG11" s="65">
        <v>0</v>
      </c>
      <c r="BH11" s="65">
        <v>2405516544</v>
      </c>
      <c r="BI11" s="65">
        <v>998968064</v>
      </c>
      <c r="BJ11" s="65">
        <v>5</v>
      </c>
      <c r="BK11" s="65">
        <v>0</v>
      </c>
      <c r="BL11" s="65">
        <v>1</v>
      </c>
      <c r="BM11" s="72" t="s">
        <v>117</v>
      </c>
      <c r="BN11" s="71"/>
      <c r="BO11" s="73"/>
    </row>
    <row r="12" spans="1:67" s="74" customFormat="1" ht="15" customHeight="1" x14ac:dyDescent="0.25">
      <c r="A12" s="69">
        <v>9</v>
      </c>
      <c r="B12" s="70" t="s">
        <v>341</v>
      </c>
      <c r="C12" s="65">
        <v>0</v>
      </c>
      <c r="D12" s="65">
        <v>5849.7345999999998</v>
      </c>
      <c r="E12" s="65">
        <v>81.522900000000007</v>
      </c>
      <c r="F12" s="65">
        <v>-9.14</v>
      </c>
      <c r="G12" s="65">
        <v>0</v>
      </c>
      <c r="H12" s="65">
        <v>111.2137</v>
      </c>
      <c r="I12" s="65">
        <v>1</v>
      </c>
      <c r="J12" s="65">
        <v>2</v>
      </c>
      <c r="K12" s="65">
        <v>0</v>
      </c>
      <c r="L12" s="65">
        <v>0.98709999999999998</v>
      </c>
      <c r="M12" s="65">
        <v>311.49380000000002</v>
      </c>
      <c r="N12" s="65">
        <v>1</v>
      </c>
      <c r="O12" s="65">
        <v>2491.3249999999998</v>
      </c>
      <c r="P12" s="65">
        <v>14.8287</v>
      </c>
      <c r="Q12" s="65">
        <v>0.99970000000000003</v>
      </c>
      <c r="R12" s="65">
        <v>3695.5304999999998</v>
      </c>
      <c r="S12" s="65">
        <v>100.4661</v>
      </c>
      <c r="T12" s="65">
        <v>4.5393999999999997</v>
      </c>
      <c r="U12" s="65">
        <v>4.1380999999999997</v>
      </c>
      <c r="V12" s="65">
        <v>0.89729999999999999</v>
      </c>
      <c r="W12" s="65">
        <v>82.717500000000001</v>
      </c>
      <c r="X12" s="65">
        <v>0.7581</v>
      </c>
      <c r="Y12" s="65">
        <v>174.91030000000001</v>
      </c>
      <c r="Z12" s="65">
        <v>116.7801</v>
      </c>
      <c r="AA12" s="65">
        <v>42.6355</v>
      </c>
      <c r="AB12" s="65">
        <v>0.39689999999999998</v>
      </c>
      <c r="AC12" s="65">
        <v>1</v>
      </c>
      <c r="AD12" s="65">
        <v>2</v>
      </c>
      <c r="AE12" s="65">
        <v>255.89420000000001</v>
      </c>
      <c r="AF12" s="65">
        <v>99.600300000000004</v>
      </c>
      <c r="AG12" s="65">
        <v>100.5891</v>
      </c>
      <c r="AH12" s="65">
        <v>39.8352</v>
      </c>
      <c r="AI12" s="65">
        <v>61.6678</v>
      </c>
      <c r="AJ12" s="65">
        <v>452.42500000000001</v>
      </c>
      <c r="AK12" s="65">
        <v>3392814080</v>
      </c>
      <c r="AL12" s="65">
        <v>3837766144</v>
      </c>
      <c r="AM12" s="65">
        <v>23050</v>
      </c>
      <c r="AN12" s="65">
        <v>89900</v>
      </c>
      <c r="AO12" s="71" t="s">
        <v>117</v>
      </c>
      <c r="AP12" s="71" t="s">
        <v>117</v>
      </c>
      <c r="AQ12" s="71" t="s">
        <v>117</v>
      </c>
      <c r="AR12" s="71" t="s">
        <v>117</v>
      </c>
      <c r="AS12" s="71" t="s">
        <v>117</v>
      </c>
      <c r="AT12" s="71" t="s">
        <v>117</v>
      </c>
      <c r="AU12" s="71" t="s">
        <v>117</v>
      </c>
      <c r="AV12" s="71" t="s">
        <v>117</v>
      </c>
      <c r="AW12" s="71" t="s">
        <v>117</v>
      </c>
      <c r="AX12" s="71" t="s">
        <v>117</v>
      </c>
      <c r="AY12" s="71" t="s">
        <v>117</v>
      </c>
      <c r="AZ12" s="71" t="s">
        <v>117</v>
      </c>
      <c r="BA12" s="65">
        <v>0</v>
      </c>
      <c r="BB12" s="65">
        <v>1</v>
      </c>
      <c r="BC12" s="65">
        <v>0</v>
      </c>
      <c r="BD12" s="65">
        <v>99.600300000000004</v>
      </c>
      <c r="BE12" s="65">
        <v>1</v>
      </c>
      <c r="BF12" s="65">
        <v>99.600300000000004</v>
      </c>
      <c r="BG12" s="65">
        <v>0</v>
      </c>
      <c r="BH12" s="65">
        <v>3392814080</v>
      </c>
      <c r="BI12" s="65">
        <v>3837766144</v>
      </c>
      <c r="BJ12" s="65">
        <v>2</v>
      </c>
      <c r="BK12" s="65">
        <v>0</v>
      </c>
      <c r="BL12" s="65">
        <v>1</v>
      </c>
      <c r="BM12" s="72" t="s">
        <v>117</v>
      </c>
      <c r="BN12" s="71"/>
      <c r="BO12" s="73"/>
    </row>
    <row r="13" spans="1:67" s="74" customFormat="1" ht="15" customHeight="1" x14ac:dyDescent="0.25">
      <c r="A13" s="69">
        <v>10</v>
      </c>
      <c r="B13" s="70" t="s">
        <v>342</v>
      </c>
      <c r="C13" s="65">
        <v>0</v>
      </c>
      <c r="D13" s="65">
        <v>8064.0106999999998</v>
      </c>
      <c r="E13" s="65">
        <v>98.060199999999995</v>
      </c>
      <c r="F13" s="65">
        <v>-0.78459999999999996</v>
      </c>
      <c r="G13" s="65">
        <v>0</v>
      </c>
      <c r="H13" s="65">
        <v>128.82550000000001</v>
      </c>
      <c r="I13" s="65">
        <v>2</v>
      </c>
      <c r="J13" s="65">
        <v>3</v>
      </c>
      <c r="K13" s="65">
        <v>1</v>
      </c>
      <c r="L13" s="65">
        <v>0.75319999999999998</v>
      </c>
      <c r="M13" s="65">
        <v>272.52319999999997</v>
      </c>
      <c r="N13" s="65">
        <v>1</v>
      </c>
      <c r="O13" s="65">
        <v>15600.435799999999</v>
      </c>
      <c r="P13" s="65">
        <v>61.930599999999998</v>
      </c>
      <c r="Q13" s="65">
        <v>0.3553</v>
      </c>
      <c r="R13" s="65">
        <v>8845.9879000000001</v>
      </c>
      <c r="S13" s="65">
        <v>131.76400000000001</v>
      </c>
      <c r="T13" s="65">
        <v>15.0458</v>
      </c>
      <c r="U13" s="65">
        <v>8.9846000000000004</v>
      </c>
      <c r="V13" s="65">
        <v>1</v>
      </c>
      <c r="W13" s="65">
        <v>114.18300000000001</v>
      </c>
      <c r="X13" s="65">
        <v>1</v>
      </c>
      <c r="Y13" s="65">
        <v>5.7309000000000001</v>
      </c>
      <c r="Z13" s="65">
        <v>52.508200000000002</v>
      </c>
      <c r="AA13" s="65">
        <v>128.87819999999999</v>
      </c>
      <c r="AB13" s="65">
        <v>6.6083999999999996</v>
      </c>
      <c r="AC13" s="65">
        <v>4</v>
      </c>
      <c r="AD13" s="65">
        <v>5</v>
      </c>
      <c r="AE13" s="65">
        <v>228.536</v>
      </c>
      <c r="AF13" s="65">
        <v>108.74209999999999</v>
      </c>
      <c r="AG13" s="65">
        <v>443.52370000000002</v>
      </c>
      <c r="AH13" s="65">
        <v>212.01490000000001</v>
      </c>
      <c r="AI13" s="65">
        <v>0.51639999999999997</v>
      </c>
      <c r="AJ13" s="65">
        <v>154.20320000000001</v>
      </c>
      <c r="AK13" s="65">
        <v>2642360064</v>
      </c>
      <c r="AL13" s="65">
        <v>813608192</v>
      </c>
      <c r="AM13" s="65">
        <v>33850</v>
      </c>
      <c r="AN13" s="65">
        <v>131100</v>
      </c>
      <c r="AO13" s="71" t="s">
        <v>117</v>
      </c>
      <c r="AP13" s="71" t="s">
        <v>117</v>
      </c>
      <c r="AQ13" s="71" t="s">
        <v>117</v>
      </c>
      <c r="AR13" s="71" t="s">
        <v>117</v>
      </c>
      <c r="AS13" s="71" t="s">
        <v>117</v>
      </c>
      <c r="AT13" s="71" t="s">
        <v>117</v>
      </c>
      <c r="AU13" s="71" t="s">
        <v>117</v>
      </c>
      <c r="AV13" s="71" t="s">
        <v>117</v>
      </c>
      <c r="AW13" s="71" t="s">
        <v>117</v>
      </c>
      <c r="AX13" s="71" t="s">
        <v>117</v>
      </c>
      <c r="AY13" s="71" t="s">
        <v>117</v>
      </c>
      <c r="AZ13" s="71" t="s">
        <v>117</v>
      </c>
      <c r="BA13" s="65">
        <v>3</v>
      </c>
      <c r="BB13" s="65">
        <v>1</v>
      </c>
      <c r="BC13" s="65">
        <v>3</v>
      </c>
      <c r="BD13" s="65">
        <v>228.536</v>
      </c>
      <c r="BE13" s="65">
        <v>1</v>
      </c>
      <c r="BF13" s="65">
        <v>228.536</v>
      </c>
      <c r="BG13" s="65">
        <v>3</v>
      </c>
      <c r="BH13" s="65">
        <v>2642360064</v>
      </c>
      <c r="BI13" s="65">
        <v>33850</v>
      </c>
      <c r="BJ13" s="65">
        <v>1</v>
      </c>
      <c r="BK13" s="65">
        <v>1</v>
      </c>
      <c r="BL13" s="65">
        <v>0</v>
      </c>
      <c r="BM13" s="72" t="s">
        <v>117</v>
      </c>
      <c r="BN13" s="71"/>
      <c r="BO13" s="73"/>
    </row>
    <row r="14" spans="1:67" s="74" customFormat="1" ht="15" customHeight="1" x14ac:dyDescent="0.25">
      <c r="A14" s="69">
        <v>11</v>
      </c>
      <c r="B14" s="65" t="s">
        <v>264</v>
      </c>
      <c r="C14" s="65">
        <v>0</v>
      </c>
      <c r="D14" s="65">
        <v>8064.0106999999998</v>
      </c>
      <c r="E14" s="65">
        <v>98.060199999999995</v>
      </c>
      <c r="F14" s="65">
        <v>-0.78459999999999996</v>
      </c>
      <c r="G14" s="65">
        <v>0</v>
      </c>
      <c r="H14" s="65">
        <v>128.82550000000001</v>
      </c>
      <c r="I14" s="65">
        <v>5</v>
      </c>
      <c r="J14" s="65">
        <v>3</v>
      </c>
      <c r="K14" s="65">
        <v>1</v>
      </c>
      <c r="L14" s="65">
        <v>0.75319999999999998</v>
      </c>
      <c r="M14" s="65">
        <v>272.52319999999997</v>
      </c>
      <c r="N14" s="65">
        <v>1</v>
      </c>
      <c r="O14" s="65">
        <v>15600.435799999999</v>
      </c>
      <c r="P14" s="65">
        <v>61.930599999999998</v>
      </c>
      <c r="Q14" s="65">
        <v>0.3553</v>
      </c>
      <c r="R14" s="65">
        <v>8845.9879000000001</v>
      </c>
      <c r="S14" s="65">
        <v>131.76400000000001</v>
      </c>
      <c r="T14" s="65">
        <v>15.0458</v>
      </c>
      <c r="U14" s="65">
        <v>8.9846000000000004</v>
      </c>
      <c r="V14" s="65">
        <v>1</v>
      </c>
      <c r="W14" s="65">
        <v>114.18300000000001</v>
      </c>
      <c r="X14" s="65">
        <v>1</v>
      </c>
      <c r="Y14" s="65">
        <v>5.7309000000000001</v>
      </c>
      <c r="Z14" s="65">
        <v>52.508200000000002</v>
      </c>
      <c r="AA14" s="65">
        <v>128.87819999999999</v>
      </c>
      <c r="AB14" s="65">
        <v>6.6083999999999996</v>
      </c>
      <c r="AC14" s="65">
        <v>4</v>
      </c>
      <c r="AD14" s="65">
        <v>5</v>
      </c>
      <c r="AE14" s="65">
        <v>228.536</v>
      </c>
      <c r="AF14" s="65">
        <v>108.74209999999999</v>
      </c>
      <c r="AG14" s="65">
        <v>443.52370000000002</v>
      </c>
      <c r="AH14" s="65">
        <v>212.01490000000001</v>
      </c>
      <c r="AI14" s="65">
        <v>0.51639999999999997</v>
      </c>
      <c r="AJ14" s="65">
        <v>154.20320000000001</v>
      </c>
      <c r="AK14" s="65">
        <v>2642360064</v>
      </c>
      <c r="AL14" s="65">
        <v>813608192</v>
      </c>
      <c r="AM14" s="65">
        <v>37900</v>
      </c>
      <c r="AN14" s="65">
        <v>146550</v>
      </c>
      <c r="AO14" s="71" t="s">
        <v>117</v>
      </c>
      <c r="AP14" s="71" t="s">
        <v>117</v>
      </c>
      <c r="AQ14" s="71" t="s">
        <v>117</v>
      </c>
      <c r="AR14" s="71" t="s">
        <v>117</v>
      </c>
      <c r="AS14" s="71" t="s">
        <v>117</v>
      </c>
      <c r="AT14" s="71" t="s">
        <v>117</v>
      </c>
      <c r="AU14" s="71" t="s">
        <v>117</v>
      </c>
      <c r="AV14" s="71" t="s">
        <v>117</v>
      </c>
      <c r="AW14" s="71" t="s">
        <v>117</v>
      </c>
      <c r="AX14" s="71" t="s">
        <v>117</v>
      </c>
      <c r="AY14" s="71" t="s">
        <v>117</v>
      </c>
      <c r="AZ14" s="71" t="s">
        <v>117</v>
      </c>
      <c r="BA14" s="65">
        <v>5</v>
      </c>
      <c r="BB14" s="65">
        <v>0.75319999999999998</v>
      </c>
      <c r="BC14" s="65">
        <v>5</v>
      </c>
      <c r="BD14" s="65">
        <v>228.536</v>
      </c>
      <c r="BE14" s="65">
        <v>0.75319999999999998</v>
      </c>
      <c r="BF14" s="65">
        <v>228.536</v>
      </c>
      <c r="BG14" s="65">
        <v>5</v>
      </c>
      <c r="BH14" s="65">
        <v>2642360064</v>
      </c>
      <c r="BI14" s="65">
        <v>813608192</v>
      </c>
      <c r="BJ14" s="65">
        <v>3</v>
      </c>
      <c r="BK14" s="65">
        <v>0</v>
      </c>
      <c r="BL14" s="65">
        <v>0</v>
      </c>
      <c r="BM14" s="72" t="s">
        <v>117</v>
      </c>
      <c r="BN14" s="71"/>
      <c r="BO14" s="73"/>
    </row>
    <row r="15" spans="1:67" s="74" customFormat="1" ht="15" customHeight="1" x14ac:dyDescent="0.25">
      <c r="A15" s="69">
        <v>12</v>
      </c>
      <c r="B15" s="70" t="s">
        <v>343</v>
      </c>
      <c r="C15" s="65">
        <v>2</v>
      </c>
      <c r="D15" s="65">
        <v>12299.830599999999</v>
      </c>
      <c r="E15" s="65">
        <v>-30.085599999999999</v>
      </c>
      <c r="F15" s="65">
        <v>-7.6599000000000004</v>
      </c>
      <c r="G15" s="65">
        <v>1</v>
      </c>
      <c r="H15" s="65">
        <v>130.20689999999999</v>
      </c>
      <c r="I15" s="65">
        <v>5</v>
      </c>
      <c r="J15" s="65">
        <v>0</v>
      </c>
      <c r="K15" s="65">
        <v>5</v>
      </c>
      <c r="L15" s="65">
        <v>1</v>
      </c>
      <c r="M15" s="65">
        <v>500</v>
      </c>
      <c r="N15" s="65">
        <v>0</v>
      </c>
      <c r="O15" s="65">
        <v>14888.3495</v>
      </c>
      <c r="P15" s="65">
        <v>114.8984</v>
      </c>
      <c r="Q15" s="65">
        <v>1</v>
      </c>
      <c r="R15" s="65">
        <v>2025.0672999999999</v>
      </c>
      <c r="S15" s="65">
        <v>174.48949999999999</v>
      </c>
      <c r="T15" s="65">
        <v>192.1046</v>
      </c>
      <c r="U15" s="65">
        <v>4.3932000000000002</v>
      </c>
      <c r="V15" s="65">
        <v>1</v>
      </c>
      <c r="W15" s="65">
        <v>144.09719999999999</v>
      </c>
      <c r="X15" s="65">
        <v>1</v>
      </c>
      <c r="Y15" s="65">
        <v>8.2533999999999992</v>
      </c>
      <c r="Z15" s="65">
        <v>7.4269999999999996</v>
      </c>
      <c r="AA15" s="65">
        <v>144.00040000000001</v>
      </c>
      <c r="AB15" s="65">
        <v>6.8181000000000003</v>
      </c>
      <c r="AC15" s="65">
        <v>4</v>
      </c>
      <c r="AD15" s="65">
        <v>0</v>
      </c>
      <c r="AE15" s="65">
        <v>130.4845</v>
      </c>
      <c r="AF15" s="65">
        <v>208.63489999999999</v>
      </c>
      <c r="AG15" s="65">
        <v>261.5883</v>
      </c>
      <c r="AH15" s="65">
        <v>264.45490000000001</v>
      </c>
      <c r="AI15" s="65">
        <v>401.61369999999999</v>
      </c>
      <c r="AJ15" s="65">
        <v>340.55410000000001</v>
      </c>
      <c r="AK15" s="65">
        <v>3376435200</v>
      </c>
      <c r="AL15" s="65">
        <v>390962688</v>
      </c>
      <c r="AM15" s="65">
        <v>40600</v>
      </c>
      <c r="AN15" s="65">
        <v>156850</v>
      </c>
      <c r="AO15" s="71" t="s">
        <v>117</v>
      </c>
      <c r="AP15" s="71" t="s">
        <v>117</v>
      </c>
      <c r="AQ15" s="71" t="s">
        <v>117</v>
      </c>
      <c r="AR15" s="71" t="s">
        <v>117</v>
      </c>
      <c r="AS15" s="71" t="s">
        <v>117</v>
      </c>
      <c r="AT15" s="71" t="s">
        <v>117</v>
      </c>
      <c r="AU15" s="71" t="s">
        <v>117</v>
      </c>
      <c r="AV15" s="71" t="s">
        <v>117</v>
      </c>
      <c r="AW15" s="71" t="s">
        <v>117</v>
      </c>
      <c r="AX15" s="71" t="s">
        <v>117</v>
      </c>
      <c r="AY15" s="71" t="s">
        <v>117</v>
      </c>
      <c r="AZ15" s="71" t="s">
        <v>117</v>
      </c>
      <c r="BA15" s="65">
        <v>5</v>
      </c>
      <c r="BB15" s="65">
        <v>1</v>
      </c>
      <c r="BC15" s="65">
        <v>5</v>
      </c>
      <c r="BD15" s="65">
        <v>500</v>
      </c>
      <c r="BE15" s="65">
        <v>1</v>
      </c>
      <c r="BF15" s="65">
        <v>500</v>
      </c>
      <c r="BG15" s="65">
        <v>5</v>
      </c>
      <c r="BH15" s="65">
        <v>3376435200</v>
      </c>
      <c r="BI15" s="65">
        <v>390962688</v>
      </c>
      <c r="BJ15" s="65">
        <v>0</v>
      </c>
      <c r="BK15" s="65">
        <v>0</v>
      </c>
      <c r="BL15" s="65">
        <v>0</v>
      </c>
      <c r="BM15" s="72" t="s">
        <v>117</v>
      </c>
      <c r="BN15" s="71"/>
      <c r="BO15" s="73"/>
    </row>
    <row r="16" spans="1:67" s="74" customFormat="1" ht="15" customHeight="1" x14ac:dyDescent="0.25">
      <c r="A16" s="69">
        <v>13</v>
      </c>
      <c r="B16" s="70" t="s">
        <v>344</v>
      </c>
      <c r="C16" s="65">
        <v>2</v>
      </c>
      <c r="D16" s="65">
        <v>3375.5403000000001</v>
      </c>
      <c r="E16" s="65">
        <v>3.9683999999999999</v>
      </c>
      <c r="F16" s="65">
        <v>3.0165000000000002</v>
      </c>
      <c r="G16" s="65">
        <v>0</v>
      </c>
      <c r="H16" s="65">
        <v>196.7653</v>
      </c>
      <c r="I16" s="65">
        <v>1</v>
      </c>
      <c r="J16" s="65">
        <v>3</v>
      </c>
      <c r="K16" s="65">
        <v>2</v>
      </c>
      <c r="L16" s="65">
        <v>6.7400000000000002E-2</v>
      </c>
      <c r="M16" s="65">
        <v>85.227800000000002</v>
      </c>
      <c r="N16" s="65">
        <v>1</v>
      </c>
      <c r="O16" s="65">
        <v>13090.143099999999</v>
      </c>
      <c r="P16" s="65">
        <v>73.564499999999995</v>
      </c>
      <c r="Q16" s="65">
        <v>1</v>
      </c>
      <c r="R16" s="65">
        <v>16383.75</v>
      </c>
      <c r="S16" s="65">
        <v>111.9573</v>
      </c>
      <c r="T16" s="65">
        <v>153.60579999999999</v>
      </c>
      <c r="U16" s="65">
        <v>5.6767000000000003</v>
      </c>
      <c r="V16" s="65">
        <v>0.11020000000000001</v>
      </c>
      <c r="W16" s="65">
        <v>107.8428</v>
      </c>
      <c r="X16" s="65">
        <v>1</v>
      </c>
      <c r="Y16" s="65">
        <v>151.66929999999999</v>
      </c>
      <c r="Z16" s="65">
        <v>13.4163</v>
      </c>
      <c r="AA16" s="65">
        <v>198.71950000000001</v>
      </c>
      <c r="AB16" s="65">
        <v>6.5243000000000002</v>
      </c>
      <c r="AC16" s="65">
        <v>2</v>
      </c>
      <c r="AD16" s="65">
        <v>2</v>
      </c>
      <c r="AE16" s="65">
        <v>71.410799999999995</v>
      </c>
      <c r="AF16" s="65">
        <v>152.30959999999999</v>
      </c>
      <c r="AG16" s="65">
        <v>430.90230000000003</v>
      </c>
      <c r="AH16" s="65">
        <v>429.9939</v>
      </c>
      <c r="AI16" s="65">
        <v>337.678</v>
      </c>
      <c r="AJ16" s="65">
        <v>440.64449999999999</v>
      </c>
      <c r="AK16" s="65">
        <v>3319701760</v>
      </c>
      <c r="AL16" s="65">
        <v>3910862592</v>
      </c>
      <c r="AM16" s="65">
        <v>59500</v>
      </c>
      <c r="AN16" s="65">
        <v>228950</v>
      </c>
      <c r="AO16" s="71" t="s">
        <v>117</v>
      </c>
      <c r="AP16" s="71" t="s">
        <v>117</v>
      </c>
      <c r="AQ16" s="71" t="s">
        <v>117</v>
      </c>
      <c r="AR16" s="71" t="s">
        <v>117</v>
      </c>
      <c r="AS16" s="71" t="s">
        <v>117</v>
      </c>
      <c r="AT16" s="71" t="s">
        <v>117</v>
      </c>
      <c r="AU16" s="71" t="s">
        <v>117</v>
      </c>
      <c r="AV16" s="71" t="s">
        <v>117</v>
      </c>
      <c r="AW16" s="71" t="s">
        <v>117</v>
      </c>
      <c r="AX16" s="71" t="s">
        <v>117</v>
      </c>
      <c r="AY16" s="71" t="s">
        <v>117</v>
      </c>
      <c r="AZ16" s="71" t="s">
        <v>117</v>
      </c>
      <c r="BA16" s="65">
        <v>1</v>
      </c>
      <c r="BB16" s="65">
        <v>1</v>
      </c>
      <c r="BC16" s="65">
        <v>1</v>
      </c>
      <c r="BD16" s="65">
        <v>85.227800000000002</v>
      </c>
      <c r="BE16" s="65">
        <v>1</v>
      </c>
      <c r="BF16" s="65">
        <v>85.227800000000002</v>
      </c>
      <c r="BG16" s="65">
        <v>1</v>
      </c>
      <c r="BH16" s="65">
        <v>3319701760</v>
      </c>
      <c r="BI16" s="65">
        <v>3910862592</v>
      </c>
      <c r="BJ16" s="65">
        <v>3</v>
      </c>
      <c r="BK16" s="65">
        <v>0</v>
      </c>
      <c r="BL16" s="65">
        <v>1</v>
      </c>
      <c r="BM16" s="72" t="s">
        <v>117</v>
      </c>
      <c r="BN16" s="71"/>
      <c r="BO16" s="73"/>
    </row>
    <row r="17" spans="1:67" s="74" customFormat="1" ht="15" customHeight="1" x14ac:dyDescent="0.25">
      <c r="A17" s="69">
        <v>14</v>
      </c>
      <c r="B17" s="70" t="s">
        <v>345</v>
      </c>
      <c r="C17" s="65">
        <v>0</v>
      </c>
      <c r="D17" s="65">
        <v>12368.9841</v>
      </c>
      <c r="E17" s="65">
        <v>82.75</v>
      </c>
      <c r="F17" s="65">
        <v>4.5429000000000004</v>
      </c>
      <c r="G17" s="65">
        <v>0</v>
      </c>
      <c r="H17" s="65">
        <v>61.6325</v>
      </c>
      <c r="I17" s="65">
        <v>1</v>
      </c>
      <c r="J17" s="65">
        <v>4</v>
      </c>
      <c r="K17" s="65">
        <v>0</v>
      </c>
      <c r="L17" s="65">
        <v>0.58919999999999995</v>
      </c>
      <c r="M17" s="65">
        <v>427.79629999999997</v>
      </c>
      <c r="N17" s="65">
        <v>1</v>
      </c>
      <c r="O17" s="65">
        <v>4540.3543</v>
      </c>
      <c r="P17" s="65">
        <v>67.822299999999998</v>
      </c>
      <c r="Q17" s="65">
        <v>0.91439999999999999</v>
      </c>
      <c r="R17" s="65">
        <v>15574.744199999999</v>
      </c>
      <c r="S17" s="65">
        <v>200</v>
      </c>
      <c r="T17" s="65">
        <v>189.989</v>
      </c>
      <c r="U17" s="65">
        <v>8.4001999999999999</v>
      </c>
      <c r="V17" s="65">
        <v>0.4929</v>
      </c>
      <c r="W17" s="65">
        <v>83.098600000000005</v>
      </c>
      <c r="X17" s="65">
        <v>0.157</v>
      </c>
      <c r="Y17" s="65">
        <v>142.53899999999999</v>
      </c>
      <c r="Z17" s="65">
        <v>50.505499999999998</v>
      </c>
      <c r="AA17" s="65">
        <v>171.2474</v>
      </c>
      <c r="AB17" s="65">
        <v>5.8152999999999997</v>
      </c>
      <c r="AC17" s="65">
        <v>4</v>
      </c>
      <c r="AD17" s="65">
        <v>0</v>
      </c>
      <c r="AE17" s="65">
        <v>398.39839999999998</v>
      </c>
      <c r="AF17" s="65">
        <v>270.61950000000002</v>
      </c>
      <c r="AG17" s="65">
        <v>324.30239999999998</v>
      </c>
      <c r="AH17" s="65">
        <v>455.52719999999999</v>
      </c>
      <c r="AI17" s="65">
        <v>473.45650000000001</v>
      </c>
      <c r="AJ17" s="65">
        <v>123.5703</v>
      </c>
      <c r="AK17" s="65">
        <v>1720474112</v>
      </c>
      <c r="AL17" s="65">
        <v>884316160</v>
      </c>
      <c r="AM17" s="65">
        <v>200</v>
      </c>
      <c r="AN17" s="65">
        <v>0</v>
      </c>
      <c r="AO17" s="71" t="s">
        <v>117</v>
      </c>
      <c r="AP17" s="71" t="s">
        <v>117</v>
      </c>
      <c r="AQ17" s="71" t="s">
        <v>117</v>
      </c>
      <c r="AR17" s="71" t="s">
        <v>117</v>
      </c>
      <c r="AS17" s="71" t="s">
        <v>117</v>
      </c>
      <c r="AT17" s="71" t="s">
        <v>117</v>
      </c>
      <c r="AU17" s="71" t="s">
        <v>117</v>
      </c>
      <c r="AV17" s="71" t="s">
        <v>117</v>
      </c>
      <c r="AW17" s="71" t="s">
        <v>117</v>
      </c>
      <c r="AX17" s="71" t="s">
        <v>117</v>
      </c>
      <c r="AY17" s="71" t="s">
        <v>117</v>
      </c>
      <c r="AZ17" s="71" t="s">
        <v>117</v>
      </c>
      <c r="BA17" s="65">
        <v>1</v>
      </c>
      <c r="BB17" s="65">
        <v>0.58919999999999995</v>
      </c>
      <c r="BC17" s="65">
        <v>1</v>
      </c>
      <c r="BD17" s="65">
        <v>398.39839999999998</v>
      </c>
      <c r="BE17" s="65">
        <v>0.58919999999999995</v>
      </c>
      <c r="BF17" s="65">
        <v>398.39839999999998</v>
      </c>
      <c r="BG17" s="65">
        <v>1</v>
      </c>
      <c r="BH17" s="65">
        <v>1720474112</v>
      </c>
      <c r="BI17" s="65">
        <v>884316160</v>
      </c>
      <c r="BJ17" s="65">
        <v>4</v>
      </c>
      <c r="BK17" s="65">
        <v>0</v>
      </c>
      <c r="BL17" s="65">
        <v>1</v>
      </c>
      <c r="BM17" s="72" t="s">
        <v>117</v>
      </c>
      <c r="BN17" s="71"/>
      <c r="BO17" s="73"/>
    </row>
    <row r="18" spans="1:67" s="74" customFormat="1" ht="15" customHeight="1" x14ac:dyDescent="0.25">
      <c r="A18" s="69">
        <v>15</v>
      </c>
      <c r="B18" s="70" t="s">
        <v>346</v>
      </c>
      <c r="C18" s="65">
        <v>4</v>
      </c>
      <c r="D18" s="65">
        <v>10.25</v>
      </c>
      <c r="E18" s="65">
        <v>0</v>
      </c>
      <c r="F18" s="65">
        <v>-9.9155999999999995</v>
      </c>
      <c r="G18" s="65">
        <v>0</v>
      </c>
      <c r="H18" s="65">
        <v>0.25</v>
      </c>
      <c r="I18" s="65">
        <v>1</v>
      </c>
      <c r="J18" s="65">
        <v>0</v>
      </c>
      <c r="K18" s="65">
        <v>2</v>
      </c>
      <c r="L18" s="65">
        <v>1</v>
      </c>
      <c r="M18" s="65">
        <v>208.33109999999999</v>
      </c>
      <c r="N18" s="65">
        <v>1</v>
      </c>
      <c r="O18" s="65">
        <v>5417.7685000000001</v>
      </c>
      <c r="P18" s="65">
        <v>167.1259</v>
      </c>
      <c r="Q18" s="65">
        <v>1</v>
      </c>
      <c r="R18" s="65">
        <v>8329.9038</v>
      </c>
      <c r="S18" s="65">
        <v>1.0629</v>
      </c>
      <c r="T18" s="65">
        <v>200.3</v>
      </c>
      <c r="U18" s="65">
        <v>0</v>
      </c>
      <c r="V18" s="65">
        <v>0.41899999999999998</v>
      </c>
      <c r="W18" s="65">
        <v>48.974200000000003</v>
      </c>
      <c r="X18" s="65">
        <v>1</v>
      </c>
      <c r="Y18" s="65">
        <v>65.116200000000006</v>
      </c>
      <c r="Z18" s="65">
        <v>181.73769999999999</v>
      </c>
      <c r="AA18" s="65">
        <v>162.3537</v>
      </c>
      <c r="AB18" s="65">
        <v>2.7555999999999998</v>
      </c>
      <c r="AC18" s="65">
        <v>0</v>
      </c>
      <c r="AD18" s="65">
        <v>3</v>
      </c>
      <c r="AE18" s="65">
        <v>40.929299999999998</v>
      </c>
      <c r="AF18" s="65">
        <v>403.90350000000001</v>
      </c>
      <c r="AG18" s="65">
        <v>493.09750000000003</v>
      </c>
      <c r="AH18" s="65">
        <v>277.30829999999997</v>
      </c>
      <c r="AI18" s="65">
        <v>90.276899999999998</v>
      </c>
      <c r="AJ18" s="65">
        <v>244.00710000000001</v>
      </c>
      <c r="AK18" s="65">
        <v>2434468096</v>
      </c>
      <c r="AL18" s="65">
        <v>533540608</v>
      </c>
      <c r="AM18" s="65">
        <v>70300</v>
      </c>
      <c r="AN18" s="65">
        <v>270150</v>
      </c>
      <c r="AO18" s="71" t="s">
        <v>117</v>
      </c>
      <c r="AP18" s="71" t="s">
        <v>117</v>
      </c>
      <c r="AQ18" s="71" t="s">
        <v>117</v>
      </c>
      <c r="AR18" s="71" t="s">
        <v>117</v>
      </c>
      <c r="AS18" s="71" t="s">
        <v>117</v>
      </c>
      <c r="AT18" s="71" t="s">
        <v>117</v>
      </c>
      <c r="AU18" s="71" t="s">
        <v>117</v>
      </c>
      <c r="AV18" s="71" t="s">
        <v>117</v>
      </c>
      <c r="AW18" s="71" t="s">
        <v>117</v>
      </c>
      <c r="AX18" s="71" t="s">
        <v>117</v>
      </c>
      <c r="AY18" s="71" t="s">
        <v>117</v>
      </c>
      <c r="AZ18" s="71" t="s">
        <v>117</v>
      </c>
      <c r="BA18" s="65">
        <v>1</v>
      </c>
      <c r="BB18" s="65">
        <v>1</v>
      </c>
      <c r="BC18" s="65">
        <v>1</v>
      </c>
      <c r="BD18" s="65">
        <v>244.00710000000001</v>
      </c>
      <c r="BE18" s="65">
        <v>1</v>
      </c>
      <c r="BF18" s="65">
        <v>244.00710000000001</v>
      </c>
      <c r="BG18" s="65">
        <v>1</v>
      </c>
      <c r="BH18" s="65">
        <v>2434468096</v>
      </c>
      <c r="BI18" s="65">
        <v>533540608</v>
      </c>
      <c r="BJ18" s="65">
        <v>0</v>
      </c>
      <c r="BK18" s="65">
        <v>0</v>
      </c>
      <c r="BL18" s="65">
        <v>1</v>
      </c>
      <c r="BM18" s="72" t="s">
        <v>117</v>
      </c>
      <c r="BN18" s="71"/>
      <c r="BO18" s="73"/>
    </row>
    <row r="19" spans="1:67" s="74" customFormat="1" ht="15" customHeight="1" x14ac:dyDescent="0.25">
      <c r="A19" s="69">
        <v>16</v>
      </c>
      <c r="B19" s="70" t="s">
        <v>347</v>
      </c>
      <c r="C19" s="65">
        <v>0</v>
      </c>
      <c r="D19" s="65">
        <v>15.36</v>
      </c>
      <c r="E19" s="65">
        <v>0</v>
      </c>
      <c r="F19" s="65">
        <v>-1.0571999999999999</v>
      </c>
      <c r="G19" s="65">
        <v>0</v>
      </c>
      <c r="H19" s="65">
        <v>5.36</v>
      </c>
      <c r="I19" s="65">
        <v>1</v>
      </c>
      <c r="J19" s="65">
        <v>2</v>
      </c>
      <c r="K19" s="65">
        <v>5</v>
      </c>
      <c r="L19" s="65">
        <v>0.18679999999999999</v>
      </c>
      <c r="M19" s="65">
        <v>298.47309999999999</v>
      </c>
      <c r="N19" s="65">
        <v>1</v>
      </c>
      <c r="O19" s="65">
        <v>10512.6101</v>
      </c>
      <c r="P19" s="65">
        <v>94.392600000000002</v>
      </c>
      <c r="Q19" s="65">
        <v>0.47249999999999998</v>
      </c>
      <c r="R19" s="65">
        <v>1426.1883</v>
      </c>
      <c r="S19" s="65">
        <v>29.845500000000001</v>
      </c>
      <c r="T19" s="65">
        <v>225.63</v>
      </c>
      <c r="U19" s="65">
        <v>10</v>
      </c>
      <c r="V19" s="65">
        <v>0.64610000000000001</v>
      </c>
      <c r="W19" s="65">
        <v>96.435299999999998</v>
      </c>
      <c r="X19" s="65">
        <v>1</v>
      </c>
      <c r="Y19" s="65">
        <v>185.755</v>
      </c>
      <c r="Z19" s="65">
        <v>44.0306</v>
      </c>
      <c r="AA19" s="65">
        <v>83.398399999999995</v>
      </c>
      <c r="AB19" s="65">
        <v>4.1689999999999996</v>
      </c>
      <c r="AC19" s="65">
        <v>4</v>
      </c>
      <c r="AD19" s="65">
        <v>2</v>
      </c>
      <c r="AE19" s="65">
        <v>303.56950000000001</v>
      </c>
      <c r="AF19" s="65">
        <v>108.0368</v>
      </c>
      <c r="AG19" s="65">
        <v>487.79700000000003</v>
      </c>
      <c r="AH19" s="65">
        <v>76.805400000000006</v>
      </c>
      <c r="AI19" s="65">
        <v>452.69150000000002</v>
      </c>
      <c r="AJ19" s="65">
        <v>33.752000000000002</v>
      </c>
      <c r="AK19" s="65">
        <v>598845440</v>
      </c>
      <c r="AL19" s="65">
        <v>1471362560</v>
      </c>
      <c r="AM19" s="65">
        <v>71650</v>
      </c>
      <c r="AN19" s="65">
        <v>275300</v>
      </c>
      <c r="AO19" s="71" t="s">
        <v>117</v>
      </c>
      <c r="AP19" s="71" t="s">
        <v>117</v>
      </c>
      <c r="AQ19" s="71" t="s">
        <v>117</v>
      </c>
      <c r="AR19" s="71" t="s">
        <v>117</v>
      </c>
      <c r="AS19" s="71" t="s">
        <v>117</v>
      </c>
      <c r="AT19" s="71" t="s">
        <v>117</v>
      </c>
      <c r="AU19" s="71" t="s">
        <v>117</v>
      </c>
      <c r="AV19" s="71" t="s">
        <v>117</v>
      </c>
      <c r="AW19" s="71" t="s">
        <v>117</v>
      </c>
      <c r="AX19" s="71" t="s">
        <v>117</v>
      </c>
      <c r="AY19" s="71" t="s">
        <v>117</v>
      </c>
      <c r="AZ19" s="71" t="s">
        <v>117</v>
      </c>
      <c r="BA19" s="65">
        <v>2</v>
      </c>
      <c r="BB19" s="65">
        <v>0.64610000000000001</v>
      </c>
      <c r="BC19" s="65">
        <v>2</v>
      </c>
      <c r="BD19" s="65">
        <v>1</v>
      </c>
      <c r="BE19" s="65">
        <v>0.64610000000000001</v>
      </c>
      <c r="BF19" s="65">
        <v>1</v>
      </c>
      <c r="BG19" s="65">
        <v>2</v>
      </c>
      <c r="BH19" s="65">
        <v>598845440</v>
      </c>
      <c r="BI19" s="65">
        <v>1471362560</v>
      </c>
      <c r="BJ19" s="65">
        <v>5</v>
      </c>
      <c r="BK19" s="65">
        <v>0</v>
      </c>
      <c r="BL19" s="65">
        <v>1</v>
      </c>
      <c r="BM19" s="72" t="s">
        <v>117</v>
      </c>
      <c r="BN19" s="71"/>
      <c r="BO19" s="73"/>
    </row>
    <row r="20" spans="1:67" s="74" customFormat="1" ht="15" customHeight="1" x14ac:dyDescent="0.25">
      <c r="A20" s="69">
        <v>17</v>
      </c>
      <c r="B20" s="70" t="s">
        <v>347</v>
      </c>
      <c r="C20" s="65">
        <v>0</v>
      </c>
      <c r="D20" s="65">
        <v>0</v>
      </c>
      <c r="E20" s="65">
        <v>0</v>
      </c>
      <c r="F20" s="65">
        <v>0</v>
      </c>
      <c r="G20" s="65">
        <v>0</v>
      </c>
      <c r="H20" s="65">
        <v>0</v>
      </c>
      <c r="I20" s="65">
        <v>1</v>
      </c>
      <c r="J20" s="65">
        <v>3</v>
      </c>
      <c r="K20" s="65">
        <v>5</v>
      </c>
      <c r="L20" s="65">
        <v>8.8300000000000003E-2</v>
      </c>
      <c r="M20" s="65">
        <v>473.09739999999999</v>
      </c>
      <c r="N20" s="65">
        <v>1</v>
      </c>
      <c r="O20" s="65">
        <v>13789.4105</v>
      </c>
      <c r="P20" s="65">
        <v>174.19649999999999</v>
      </c>
      <c r="Q20" s="65">
        <v>1</v>
      </c>
      <c r="R20" s="65">
        <v>5586.9822999999997</v>
      </c>
      <c r="S20" s="65">
        <v>91.895399999999995</v>
      </c>
      <c r="T20" s="65">
        <v>25.462800000000001</v>
      </c>
      <c r="U20" s="65">
        <v>6.3277999999999999</v>
      </c>
      <c r="V20" s="65">
        <v>0</v>
      </c>
      <c r="W20" s="65">
        <v>155.5309</v>
      </c>
      <c r="X20" s="65">
        <v>1</v>
      </c>
      <c r="Y20" s="65">
        <v>72.083600000000004</v>
      </c>
      <c r="Z20" s="65">
        <v>55.709600000000002</v>
      </c>
      <c r="AA20" s="65">
        <v>15.657400000000001</v>
      </c>
      <c r="AB20" s="65">
        <v>6.0301</v>
      </c>
      <c r="AC20" s="65">
        <v>0</v>
      </c>
      <c r="AD20" s="65">
        <v>1</v>
      </c>
      <c r="AE20" s="65">
        <v>211.52799999999999</v>
      </c>
      <c r="AF20" s="65">
        <v>319.71350000000001</v>
      </c>
      <c r="AG20" s="65">
        <v>174.87950000000001</v>
      </c>
      <c r="AH20" s="65">
        <v>279.05340000000001</v>
      </c>
      <c r="AI20" s="65">
        <v>140.4419</v>
      </c>
      <c r="AJ20" s="65">
        <v>448.971</v>
      </c>
      <c r="AK20" s="65">
        <v>3373097472</v>
      </c>
      <c r="AL20" s="65">
        <v>4274741248</v>
      </c>
      <c r="AM20" s="65">
        <v>74350</v>
      </c>
      <c r="AN20" s="65">
        <v>285600</v>
      </c>
      <c r="AO20" s="71" t="s">
        <v>117</v>
      </c>
      <c r="AP20" s="71" t="s">
        <v>117</v>
      </c>
      <c r="AQ20" s="71" t="s">
        <v>117</v>
      </c>
      <c r="AR20" s="71" t="s">
        <v>117</v>
      </c>
      <c r="AS20" s="71" t="s">
        <v>117</v>
      </c>
      <c r="AT20" s="71" t="s">
        <v>117</v>
      </c>
      <c r="AU20" s="71" t="s">
        <v>117</v>
      </c>
      <c r="AV20" s="71" t="s">
        <v>117</v>
      </c>
      <c r="AW20" s="71" t="s">
        <v>117</v>
      </c>
      <c r="AX20" s="71" t="s">
        <v>117</v>
      </c>
      <c r="AY20" s="71" t="s">
        <v>117</v>
      </c>
      <c r="AZ20" s="71" t="s">
        <v>117</v>
      </c>
      <c r="BA20" s="65">
        <v>2</v>
      </c>
      <c r="BB20" s="65">
        <v>0</v>
      </c>
      <c r="BC20" s="65">
        <v>2</v>
      </c>
      <c r="BD20" s="65">
        <v>140.4419</v>
      </c>
      <c r="BE20" s="65">
        <v>0</v>
      </c>
      <c r="BF20" s="65">
        <v>140.4419</v>
      </c>
      <c r="BG20" s="65">
        <v>2</v>
      </c>
      <c r="BH20" s="65">
        <v>3373097472</v>
      </c>
      <c r="BI20" s="65">
        <v>4274741248</v>
      </c>
      <c r="BJ20" s="65">
        <v>3</v>
      </c>
      <c r="BK20" s="65">
        <v>0</v>
      </c>
      <c r="BL20" s="65">
        <v>1</v>
      </c>
      <c r="BM20" s="72" t="s">
        <v>117</v>
      </c>
      <c r="BN20" s="71"/>
      <c r="BO20" s="73"/>
    </row>
    <row r="21" spans="1:67" s="74" customFormat="1" ht="15" customHeight="1" x14ac:dyDescent="0.25">
      <c r="A21" s="69">
        <v>18</v>
      </c>
      <c r="B21" s="70" t="s">
        <v>348</v>
      </c>
      <c r="C21" s="65">
        <v>2</v>
      </c>
      <c r="D21" s="65">
        <v>5659.1554999999998</v>
      </c>
      <c r="E21" s="65">
        <v>61.657699999999998</v>
      </c>
      <c r="F21" s="65">
        <v>8.3145000000000007</v>
      </c>
      <c r="G21" s="65">
        <v>0</v>
      </c>
      <c r="H21" s="65">
        <v>111.357</v>
      </c>
      <c r="I21" s="65">
        <v>3</v>
      </c>
      <c r="J21" s="65">
        <v>1</v>
      </c>
      <c r="K21" s="65">
        <v>5</v>
      </c>
      <c r="L21" s="65">
        <v>0.25440000000000002</v>
      </c>
      <c r="M21" s="65">
        <v>28.919499999999999</v>
      </c>
      <c r="N21" s="65">
        <v>1</v>
      </c>
      <c r="O21" s="65">
        <v>2777.7053000000001</v>
      </c>
      <c r="P21" s="65">
        <v>120.9252</v>
      </c>
      <c r="Q21" s="65">
        <v>0.6704</v>
      </c>
      <c r="R21" s="65">
        <v>4393.8671000000004</v>
      </c>
      <c r="S21" s="65">
        <v>12.658799999999999</v>
      </c>
      <c r="T21" s="65">
        <v>211.333</v>
      </c>
      <c r="U21" s="65">
        <v>2.4178000000000002</v>
      </c>
      <c r="V21" s="65">
        <v>0.26939999999999997</v>
      </c>
      <c r="W21" s="65">
        <v>40.108899999999998</v>
      </c>
      <c r="X21" s="65">
        <v>1</v>
      </c>
      <c r="Y21" s="65">
        <v>200</v>
      </c>
      <c r="Z21" s="65">
        <v>117.7469</v>
      </c>
      <c r="AA21" s="65">
        <v>157.52070000000001</v>
      </c>
      <c r="AB21" s="65">
        <v>7.9211</v>
      </c>
      <c r="AC21" s="65">
        <v>3</v>
      </c>
      <c r="AD21" s="65">
        <v>2</v>
      </c>
      <c r="AE21" s="65">
        <v>174.67429999999999</v>
      </c>
      <c r="AF21" s="65">
        <v>114.3112</v>
      </c>
      <c r="AG21" s="65">
        <v>189.81469999999999</v>
      </c>
      <c r="AH21" s="65">
        <v>405.82810000000001</v>
      </c>
      <c r="AI21" s="65">
        <v>409.32670000000002</v>
      </c>
      <c r="AJ21" s="65">
        <v>121.36839999999999</v>
      </c>
      <c r="AK21" s="65">
        <v>2440377344</v>
      </c>
      <c r="AL21" s="65">
        <v>1342562816</v>
      </c>
      <c r="AM21" s="65">
        <v>87850</v>
      </c>
      <c r="AN21" s="65">
        <v>337100</v>
      </c>
      <c r="AO21" s="71" t="s">
        <v>117</v>
      </c>
      <c r="AP21" s="71" t="s">
        <v>117</v>
      </c>
      <c r="AQ21" s="71" t="s">
        <v>117</v>
      </c>
      <c r="AR21" s="71" t="s">
        <v>117</v>
      </c>
      <c r="AS21" s="71" t="s">
        <v>117</v>
      </c>
      <c r="AT21" s="71" t="s">
        <v>117</v>
      </c>
      <c r="AU21" s="71" t="s">
        <v>117</v>
      </c>
      <c r="AV21" s="71" t="s">
        <v>117</v>
      </c>
      <c r="AW21" s="71" t="s">
        <v>117</v>
      </c>
      <c r="AX21" s="71" t="s">
        <v>117</v>
      </c>
      <c r="AY21" s="71" t="s">
        <v>117</v>
      </c>
      <c r="AZ21" s="71" t="s">
        <v>117</v>
      </c>
      <c r="BA21" s="65">
        <v>0</v>
      </c>
      <c r="BB21" s="65">
        <v>1</v>
      </c>
      <c r="BC21" s="65">
        <v>0</v>
      </c>
      <c r="BD21" s="65">
        <v>28.919499999999999</v>
      </c>
      <c r="BE21" s="65">
        <v>1</v>
      </c>
      <c r="BF21" s="65">
        <v>28.919499999999999</v>
      </c>
      <c r="BG21" s="65">
        <v>0</v>
      </c>
      <c r="BH21" s="65">
        <v>2440377344</v>
      </c>
      <c r="BI21" s="65">
        <v>1342562816</v>
      </c>
      <c r="BJ21" s="65">
        <v>1</v>
      </c>
      <c r="BK21" s="65">
        <v>0</v>
      </c>
      <c r="BL21" s="65">
        <v>1</v>
      </c>
      <c r="BM21" s="72" t="s">
        <v>117</v>
      </c>
      <c r="BN21" s="71"/>
      <c r="BO21" s="73"/>
    </row>
    <row r="22" spans="1:67" s="74" customFormat="1" ht="15" customHeight="1" x14ac:dyDescent="0.25">
      <c r="A22" s="69">
        <v>19</v>
      </c>
      <c r="B22" s="70" t="s">
        <v>349</v>
      </c>
      <c r="C22" s="65">
        <v>2</v>
      </c>
      <c r="D22" s="65">
        <v>0</v>
      </c>
      <c r="E22" s="65">
        <v>81.930999999999997</v>
      </c>
      <c r="F22" s="65">
        <v>5.3175999999999997</v>
      </c>
      <c r="G22" s="65">
        <v>0</v>
      </c>
      <c r="H22" s="65">
        <v>0</v>
      </c>
      <c r="I22" s="65">
        <v>3</v>
      </c>
      <c r="J22" s="65">
        <v>2</v>
      </c>
      <c r="K22" s="65">
        <v>4</v>
      </c>
      <c r="L22" s="65">
        <v>0.53990000000000005</v>
      </c>
      <c r="M22" s="65">
        <v>99.386099999999999</v>
      </c>
      <c r="N22" s="65">
        <v>1</v>
      </c>
      <c r="O22" s="65">
        <v>7338.1581999999999</v>
      </c>
      <c r="P22" s="65">
        <v>199.32859999999999</v>
      </c>
      <c r="Q22" s="65">
        <v>0.24660000000000001</v>
      </c>
      <c r="R22" s="65">
        <v>11935.159600000001</v>
      </c>
      <c r="S22" s="65">
        <v>137.3322</v>
      </c>
      <c r="T22" s="65">
        <v>34.688400000000001</v>
      </c>
      <c r="U22" s="65">
        <v>8.77</v>
      </c>
      <c r="V22" s="65">
        <v>0.80269999999999997</v>
      </c>
      <c r="W22" s="65">
        <v>178.47579999999999</v>
      </c>
      <c r="X22" s="65">
        <v>1</v>
      </c>
      <c r="Y22" s="65">
        <v>186.93860000000001</v>
      </c>
      <c r="Z22" s="65">
        <v>0</v>
      </c>
      <c r="AA22" s="65">
        <v>124.7486</v>
      </c>
      <c r="AB22" s="65">
        <v>6.6219000000000001</v>
      </c>
      <c r="AC22" s="65">
        <v>0</v>
      </c>
      <c r="AD22" s="65">
        <v>2</v>
      </c>
      <c r="AE22" s="65">
        <v>262.38659999999999</v>
      </c>
      <c r="AF22" s="65">
        <v>375.93860000000001</v>
      </c>
      <c r="AG22" s="65">
        <v>22.731000000000002</v>
      </c>
      <c r="AH22" s="65">
        <v>144.60730000000001</v>
      </c>
      <c r="AI22" s="65">
        <v>29.7134</v>
      </c>
      <c r="AJ22" s="65">
        <v>493.75049999999999</v>
      </c>
      <c r="AK22" s="65">
        <v>2513260032</v>
      </c>
      <c r="AL22" s="65">
        <v>3482545152</v>
      </c>
      <c r="AM22" s="65">
        <v>90550</v>
      </c>
      <c r="AN22" s="65">
        <v>347400</v>
      </c>
      <c r="AO22" s="71" t="s">
        <v>117</v>
      </c>
      <c r="AP22" s="71" t="s">
        <v>117</v>
      </c>
      <c r="AQ22" s="71" t="s">
        <v>117</v>
      </c>
      <c r="AR22" s="71" t="s">
        <v>117</v>
      </c>
      <c r="AS22" s="71" t="s">
        <v>117</v>
      </c>
      <c r="AT22" s="71" t="s">
        <v>117</v>
      </c>
      <c r="AU22" s="71" t="s">
        <v>117</v>
      </c>
      <c r="AV22" s="71" t="s">
        <v>117</v>
      </c>
      <c r="AW22" s="71" t="s">
        <v>117</v>
      </c>
      <c r="AX22" s="71" t="s">
        <v>117</v>
      </c>
      <c r="AY22" s="71" t="s">
        <v>117</v>
      </c>
      <c r="AZ22" s="71" t="s">
        <v>117</v>
      </c>
      <c r="BA22" s="65">
        <v>3</v>
      </c>
      <c r="BB22" s="65">
        <v>1</v>
      </c>
      <c r="BC22" s="65">
        <v>3</v>
      </c>
      <c r="BD22" s="65">
        <v>99.386099999999999</v>
      </c>
      <c r="BE22" s="65">
        <v>1</v>
      </c>
      <c r="BF22" s="65">
        <v>99.386099999999999</v>
      </c>
      <c r="BG22" s="65">
        <v>3</v>
      </c>
      <c r="BH22" s="65">
        <v>2513260032</v>
      </c>
      <c r="BI22" s="65">
        <v>3482545152</v>
      </c>
      <c r="BJ22" s="65">
        <v>2</v>
      </c>
      <c r="BK22" s="65">
        <v>0</v>
      </c>
      <c r="BL22" s="65">
        <v>1</v>
      </c>
      <c r="BM22" s="72" t="s">
        <v>117</v>
      </c>
      <c r="BN22" s="71"/>
      <c r="BO22" s="73"/>
    </row>
    <row r="23" spans="1:67" s="74" customFormat="1" ht="15" customHeight="1" x14ac:dyDescent="0.25">
      <c r="A23" s="69">
        <v>20</v>
      </c>
      <c r="B23" s="70" t="s">
        <v>349</v>
      </c>
      <c r="C23" s="65">
        <v>0</v>
      </c>
      <c r="D23" s="65">
        <v>0</v>
      </c>
      <c r="E23" s="65">
        <v>0</v>
      </c>
      <c r="F23" s="65">
        <v>6.6143000000000001</v>
      </c>
      <c r="G23" s="65">
        <v>0</v>
      </c>
      <c r="H23" s="65">
        <v>0</v>
      </c>
      <c r="I23" s="65">
        <v>3</v>
      </c>
      <c r="J23" s="65">
        <v>5</v>
      </c>
      <c r="K23" s="65">
        <v>1</v>
      </c>
      <c r="L23" s="65">
        <v>1</v>
      </c>
      <c r="M23" s="65">
        <v>128.53450000000001</v>
      </c>
      <c r="N23" s="65">
        <v>1</v>
      </c>
      <c r="O23" s="65">
        <v>13882.4089</v>
      </c>
      <c r="P23" s="65">
        <v>168.96549999999999</v>
      </c>
      <c r="Q23" s="65">
        <v>1</v>
      </c>
      <c r="R23" s="65">
        <v>7898.7853999999998</v>
      </c>
      <c r="S23" s="65">
        <v>90.805700000000002</v>
      </c>
      <c r="T23" s="65">
        <v>86.194999999999993</v>
      </c>
      <c r="U23" s="65">
        <v>2.6741999999999999</v>
      </c>
      <c r="V23" s="65">
        <v>1</v>
      </c>
      <c r="W23" s="65">
        <v>56.348100000000002</v>
      </c>
      <c r="X23" s="65">
        <v>0.53369999999999995</v>
      </c>
      <c r="Y23" s="65">
        <v>163.25020000000001</v>
      </c>
      <c r="Z23" s="65">
        <v>187.13829999999999</v>
      </c>
      <c r="AA23" s="65">
        <v>123.1652</v>
      </c>
      <c r="AB23" s="65">
        <v>0</v>
      </c>
      <c r="AC23" s="65">
        <v>4</v>
      </c>
      <c r="AD23" s="65">
        <v>2</v>
      </c>
      <c r="AE23" s="65">
        <v>347.56779999999998</v>
      </c>
      <c r="AF23" s="65">
        <v>362.15890000000002</v>
      </c>
      <c r="AG23" s="65">
        <v>293.48829999999998</v>
      </c>
      <c r="AH23" s="65">
        <v>395.0591</v>
      </c>
      <c r="AI23" s="65">
        <v>227.14340000000001</v>
      </c>
      <c r="AJ23" s="65">
        <v>125.97369999999999</v>
      </c>
      <c r="AK23" s="65">
        <v>1258847232</v>
      </c>
      <c r="AL23" s="65">
        <v>1908664832</v>
      </c>
      <c r="AM23" s="65">
        <v>98650</v>
      </c>
      <c r="AN23" s="65">
        <v>378300</v>
      </c>
      <c r="AO23" s="71" t="s">
        <v>117</v>
      </c>
      <c r="AP23" s="71" t="s">
        <v>117</v>
      </c>
      <c r="AQ23" s="71" t="s">
        <v>117</v>
      </c>
      <c r="AR23" s="71" t="s">
        <v>117</v>
      </c>
      <c r="AS23" s="71" t="s">
        <v>117</v>
      </c>
      <c r="AT23" s="71" t="s">
        <v>117</v>
      </c>
      <c r="AU23" s="71" t="s">
        <v>117</v>
      </c>
      <c r="AV23" s="71" t="s">
        <v>117</v>
      </c>
      <c r="AW23" s="71" t="s">
        <v>117</v>
      </c>
      <c r="AX23" s="71" t="s">
        <v>117</v>
      </c>
      <c r="AY23" s="71" t="s">
        <v>117</v>
      </c>
      <c r="AZ23" s="71" t="s">
        <v>117</v>
      </c>
      <c r="BA23" s="65">
        <v>3</v>
      </c>
      <c r="BB23" s="65">
        <v>1</v>
      </c>
      <c r="BC23" s="65">
        <v>3</v>
      </c>
      <c r="BD23" s="65">
        <v>1</v>
      </c>
      <c r="BE23" s="65">
        <v>1</v>
      </c>
      <c r="BF23" s="65">
        <v>1</v>
      </c>
      <c r="BG23" s="65">
        <v>3</v>
      </c>
      <c r="BH23" s="65">
        <v>1258847232</v>
      </c>
      <c r="BI23" s="65">
        <v>1908664832</v>
      </c>
      <c r="BJ23" s="65">
        <v>5</v>
      </c>
      <c r="BK23" s="65">
        <v>0</v>
      </c>
      <c r="BL23" s="65">
        <v>1</v>
      </c>
      <c r="BM23" s="72" t="s">
        <v>117</v>
      </c>
      <c r="BN23" s="71"/>
      <c r="BO23" s="73"/>
    </row>
    <row r="24" spans="1:67" s="74" customFormat="1" ht="15" customHeight="1" x14ac:dyDescent="0.25">
      <c r="A24" s="69">
        <v>21</v>
      </c>
      <c r="B24" s="70" t="s">
        <v>350</v>
      </c>
      <c r="C24" s="65">
        <v>0</v>
      </c>
      <c r="D24" s="65">
        <v>0</v>
      </c>
      <c r="E24" s="65">
        <v>0</v>
      </c>
      <c r="F24" s="65">
        <v>-3.0135000000000001</v>
      </c>
      <c r="G24" s="65">
        <v>0</v>
      </c>
      <c r="H24" s="65">
        <v>0</v>
      </c>
      <c r="I24" s="65">
        <v>3</v>
      </c>
      <c r="J24" s="65">
        <v>0</v>
      </c>
      <c r="K24" s="65">
        <v>3</v>
      </c>
      <c r="L24" s="65">
        <v>0.1739</v>
      </c>
      <c r="M24" s="65">
        <v>386.31479999999999</v>
      </c>
      <c r="N24" s="65">
        <v>1</v>
      </c>
      <c r="O24" s="65">
        <v>5330.6140999999998</v>
      </c>
      <c r="P24" s="65">
        <v>77.035200000000003</v>
      </c>
      <c r="Q24" s="65">
        <v>0.65610000000000002</v>
      </c>
      <c r="R24" s="65">
        <v>5034.6494000000002</v>
      </c>
      <c r="S24" s="65">
        <v>51.357799999999997</v>
      </c>
      <c r="T24" s="65">
        <v>69.959100000000007</v>
      </c>
      <c r="U24" s="65">
        <v>7.4058000000000002</v>
      </c>
      <c r="V24" s="65">
        <v>0.33040000000000003</v>
      </c>
      <c r="W24" s="65">
        <v>43.533000000000001</v>
      </c>
      <c r="X24" s="65">
        <v>0.98370000000000002</v>
      </c>
      <c r="Y24" s="65">
        <v>166.1944</v>
      </c>
      <c r="Z24" s="65">
        <v>60.155299999999997</v>
      </c>
      <c r="AA24" s="65">
        <v>59.087200000000003</v>
      </c>
      <c r="AB24" s="65">
        <v>10</v>
      </c>
      <c r="AC24" s="65">
        <v>4</v>
      </c>
      <c r="AD24" s="65">
        <v>0</v>
      </c>
      <c r="AE24" s="65">
        <v>490.71510000000001</v>
      </c>
      <c r="AF24" s="65">
        <v>411.17180000000002</v>
      </c>
      <c r="AG24" s="65">
        <v>294.27699999999999</v>
      </c>
      <c r="AH24" s="65">
        <v>189.56970000000001</v>
      </c>
      <c r="AI24" s="65">
        <v>128.76499999999999</v>
      </c>
      <c r="AJ24" s="65">
        <v>476.72669999999999</v>
      </c>
      <c r="AK24" s="65">
        <v>2943700736</v>
      </c>
      <c r="AL24" s="65">
        <v>3128624384</v>
      </c>
      <c r="AM24" s="65">
        <v>100000</v>
      </c>
      <c r="AN24" s="65">
        <v>383450</v>
      </c>
      <c r="AO24" s="71" t="s">
        <v>117</v>
      </c>
      <c r="AP24" s="71" t="s">
        <v>117</v>
      </c>
      <c r="AQ24" s="71" t="s">
        <v>117</v>
      </c>
      <c r="AR24" s="71" t="s">
        <v>117</v>
      </c>
      <c r="AS24" s="71" t="s">
        <v>117</v>
      </c>
      <c r="AT24" s="71" t="s">
        <v>117</v>
      </c>
      <c r="AU24" s="71" t="s">
        <v>117</v>
      </c>
      <c r="AV24" s="71" t="s">
        <v>117</v>
      </c>
      <c r="AW24" s="71" t="s">
        <v>117</v>
      </c>
      <c r="AX24" s="71" t="s">
        <v>117</v>
      </c>
      <c r="AY24" s="71" t="s">
        <v>117</v>
      </c>
      <c r="AZ24" s="71" t="s">
        <v>117</v>
      </c>
      <c r="BA24" s="65">
        <v>2</v>
      </c>
      <c r="BB24" s="65">
        <v>0.33040000000000003</v>
      </c>
      <c r="BC24" s="65">
        <v>2</v>
      </c>
      <c r="BD24" s="65">
        <v>490.71510000000001</v>
      </c>
      <c r="BE24" s="65">
        <v>0.33040000000000003</v>
      </c>
      <c r="BF24" s="65">
        <v>490.71510000000001</v>
      </c>
      <c r="BG24" s="65">
        <v>2</v>
      </c>
      <c r="BH24" s="65">
        <v>2943700736</v>
      </c>
      <c r="BI24" s="65">
        <v>3128624384</v>
      </c>
      <c r="BJ24" s="65">
        <v>0</v>
      </c>
      <c r="BK24" s="65">
        <v>0</v>
      </c>
      <c r="BL24" s="65">
        <v>1</v>
      </c>
      <c r="BM24" s="72" t="s">
        <v>117</v>
      </c>
      <c r="BN24" s="71"/>
      <c r="BO24" s="73"/>
    </row>
    <row r="25" spans="1:67" s="74" customFormat="1" ht="15" customHeight="1" x14ac:dyDescent="0.25">
      <c r="A25" s="69">
        <v>22</v>
      </c>
      <c r="B25" s="70" t="s">
        <v>276</v>
      </c>
      <c r="C25" s="65">
        <v>0</v>
      </c>
      <c r="D25" s="65">
        <v>15.36</v>
      </c>
      <c r="E25" s="65">
        <v>0</v>
      </c>
      <c r="F25" s="65">
        <v>-1.0571999999999999</v>
      </c>
      <c r="G25" s="65">
        <v>0</v>
      </c>
      <c r="H25" s="65">
        <v>5.36</v>
      </c>
      <c r="I25" s="65">
        <v>1</v>
      </c>
      <c r="J25" s="65">
        <v>2</v>
      </c>
      <c r="K25" s="65">
        <v>5</v>
      </c>
      <c r="L25" s="65">
        <v>0.18679999999999999</v>
      </c>
      <c r="M25" s="65">
        <v>298.47309999999999</v>
      </c>
      <c r="N25" s="65">
        <v>1</v>
      </c>
      <c r="O25" s="65">
        <v>10512.6101</v>
      </c>
      <c r="P25" s="65">
        <v>94.392600000000002</v>
      </c>
      <c r="Q25" s="65">
        <v>0.47249999999999998</v>
      </c>
      <c r="R25" s="65">
        <v>1426.1883</v>
      </c>
      <c r="S25" s="65">
        <v>29.845500000000001</v>
      </c>
      <c r="T25" s="65">
        <v>225.63</v>
      </c>
      <c r="U25" s="65">
        <v>10</v>
      </c>
      <c r="V25" s="65">
        <v>0.64610000000000001</v>
      </c>
      <c r="W25" s="65">
        <v>96.435299999999998</v>
      </c>
      <c r="X25" s="65">
        <v>1</v>
      </c>
      <c r="Y25" s="65">
        <v>185.755</v>
      </c>
      <c r="Z25" s="65">
        <v>44.0306</v>
      </c>
      <c r="AA25" s="65">
        <v>83.398399999999995</v>
      </c>
      <c r="AB25" s="65">
        <v>4.1689999999999996</v>
      </c>
      <c r="AC25" s="65">
        <v>4</v>
      </c>
      <c r="AD25" s="65">
        <v>2</v>
      </c>
      <c r="AE25" s="65">
        <v>303.56950000000001</v>
      </c>
      <c r="AF25" s="65">
        <v>108.0368</v>
      </c>
      <c r="AG25" s="65">
        <v>487.79700000000003</v>
      </c>
      <c r="AH25" s="65">
        <v>76.805400000000006</v>
      </c>
      <c r="AI25" s="65">
        <v>452.69150000000002</v>
      </c>
      <c r="AJ25" s="65">
        <v>33.752000000000002</v>
      </c>
      <c r="AK25" s="65">
        <v>598845440</v>
      </c>
      <c r="AL25" s="65">
        <v>1471362560</v>
      </c>
      <c r="AM25" s="65">
        <v>71650</v>
      </c>
      <c r="AN25" s="65">
        <v>0</v>
      </c>
      <c r="AO25" s="71" t="s">
        <v>117</v>
      </c>
      <c r="AP25" s="71" t="s">
        <v>117</v>
      </c>
      <c r="AQ25" s="71" t="s">
        <v>117</v>
      </c>
      <c r="AR25" s="71" t="s">
        <v>117</v>
      </c>
      <c r="AS25" s="71" t="s">
        <v>117</v>
      </c>
      <c r="AT25" s="71" t="s">
        <v>117</v>
      </c>
      <c r="AU25" s="71" t="s">
        <v>117</v>
      </c>
      <c r="AV25" s="71" t="s">
        <v>117</v>
      </c>
      <c r="AW25" s="71" t="s">
        <v>117</v>
      </c>
      <c r="AX25" s="71" t="s">
        <v>117</v>
      </c>
      <c r="AY25" s="71" t="s">
        <v>117</v>
      </c>
      <c r="AZ25" s="71" t="s">
        <v>117</v>
      </c>
      <c r="BA25" s="65">
        <v>1</v>
      </c>
      <c r="BB25" s="65">
        <v>0.18679999999999999</v>
      </c>
      <c r="BC25" s="65">
        <v>1</v>
      </c>
      <c r="BD25" s="65">
        <v>303.56950000000001</v>
      </c>
      <c r="BE25" s="65">
        <v>0.18679999999999999</v>
      </c>
      <c r="BF25" s="65">
        <v>303.56950000000001</v>
      </c>
      <c r="BG25" s="65">
        <v>1</v>
      </c>
      <c r="BH25" s="65">
        <v>598845440</v>
      </c>
      <c r="BI25" s="65">
        <v>1471362560</v>
      </c>
      <c r="BJ25" s="65">
        <v>2</v>
      </c>
      <c r="BK25" s="65">
        <v>0</v>
      </c>
      <c r="BL25" s="65">
        <v>1</v>
      </c>
      <c r="BM25" s="72" t="s">
        <v>117</v>
      </c>
      <c r="BN25" s="71"/>
      <c r="BO25" s="73"/>
    </row>
    <row r="26" spans="1:67" s="74" customFormat="1" ht="15" customHeight="1" x14ac:dyDescent="0.25">
      <c r="A26" s="69">
        <v>23</v>
      </c>
      <c r="B26" s="70" t="s">
        <v>277</v>
      </c>
      <c r="C26" s="65">
        <v>1</v>
      </c>
      <c r="D26" s="65">
        <v>3446.8375000000001</v>
      </c>
      <c r="E26" s="65">
        <v>-23.6995</v>
      </c>
      <c r="F26" s="65">
        <v>7.0430000000000001</v>
      </c>
      <c r="G26" s="65">
        <v>0</v>
      </c>
      <c r="H26" s="65">
        <v>47.621000000000002</v>
      </c>
      <c r="I26" s="65">
        <v>2</v>
      </c>
      <c r="J26" s="65">
        <v>4</v>
      </c>
      <c r="K26" s="65">
        <v>0</v>
      </c>
      <c r="L26" s="65">
        <v>1</v>
      </c>
      <c r="M26" s="65">
        <v>76.465999999999994</v>
      </c>
      <c r="N26" s="65">
        <v>1</v>
      </c>
      <c r="O26" s="65">
        <v>10812.7469</v>
      </c>
      <c r="P26" s="65">
        <v>171.3297</v>
      </c>
      <c r="Q26" s="65">
        <v>9.8299999999999998E-2</v>
      </c>
      <c r="R26" s="65">
        <v>10.25</v>
      </c>
      <c r="S26" s="65">
        <v>62.701599999999999</v>
      </c>
      <c r="T26" s="65">
        <v>146.7987</v>
      </c>
      <c r="U26" s="65">
        <v>9.5694999999999997</v>
      </c>
      <c r="V26" s="65">
        <v>1</v>
      </c>
      <c r="W26" s="65">
        <v>123.8943</v>
      </c>
      <c r="X26" s="65">
        <v>1</v>
      </c>
      <c r="Y26" s="65">
        <v>43.317</v>
      </c>
      <c r="Z26" s="65">
        <v>83.760599999999997</v>
      </c>
      <c r="AA26" s="65">
        <v>162.88239999999999</v>
      </c>
      <c r="AB26" s="65">
        <v>1.7224999999999999</v>
      </c>
      <c r="AC26" s="65">
        <v>0</v>
      </c>
      <c r="AD26" s="65">
        <v>5</v>
      </c>
      <c r="AE26" s="65">
        <v>282.30250000000001</v>
      </c>
      <c r="AF26" s="65">
        <v>179.50239999999999</v>
      </c>
      <c r="AG26" s="65">
        <v>8.3483000000000001</v>
      </c>
      <c r="AH26" s="65">
        <v>350.29509999999999</v>
      </c>
      <c r="AI26" s="65">
        <v>46.029299999999999</v>
      </c>
      <c r="AJ26" s="65">
        <v>417.65530000000001</v>
      </c>
      <c r="AK26" s="65">
        <v>1334609408</v>
      </c>
      <c r="AL26" s="65">
        <v>128181248</v>
      </c>
      <c r="AM26" s="65">
        <v>1450</v>
      </c>
      <c r="AN26" s="65">
        <v>7500</v>
      </c>
      <c r="AO26" s="71" t="s">
        <v>117</v>
      </c>
      <c r="AP26" s="71" t="s">
        <v>117</v>
      </c>
      <c r="AQ26" s="71" t="s">
        <v>117</v>
      </c>
      <c r="AR26" s="71" t="s">
        <v>117</v>
      </c>
      <c r="AS26" s="71" t="s">
        <v>117</v>
      </c>
      <c r="AT26" s="71" t="s">
        <v>117</v>
      </c>
      <c r="AU26" s="71" t="s">
        <v>117</v>
      </c>
      <c r="AV26" s="71" t="s">
        <v>117</v>
      </c>
      <c r="AW26" s="71" t="s">
        <v>117</v>
      </c>
      <c r="AX26" s="71" t="s">
        <v>117</v>
      </c>
      <c r="AY26" s="71" t="s">
        <v>117</v>
      </c>
      <c r="AZ26" s="71" t="s">
        <v>117</v>
      </c>
      <c r="BA26" s="65">
        <v>0</v>
      </c>
      <c r="BB26" s="65">
        <v>1</v>
      </c>
      <c r="BC26" s="65">
        <v>0</v>
      </c>
      <c r="BD26" s="65">
        <v>282.30250000000001</v>
      </c>
      <c r="BE26" s="65">
        <v>1</v>
      </c>
      <c r="BF26" s="65">
        <v>282.30250000000001</v>
      </c>
      <c r="BG26" s="65">
        <v>0</v>
      </c>
      <c r="BH26" s="65">
        <v>1334609408</v>
      </c>
      <c r="BI26" s="65">
        <v>128181248</v>
      </c>
      <c r="BJ26" s="65">
        <v>4</v>
      </c>
      <c r="BK26" s="65">
        <v>0</v>
      </c>
      <c r="BL26" s="65">
        <v>0</v>
      </c>
      <c r="BM26" s="72" t="s">
        <v>117</v>
      </c>
      <c r="BN26" s="71"/>
      <c r="BO26" s="73"/>
    </row>
    <row r="27" spans="1:67" s="74" customFormat="1" ht="15" customHeight="1" x14ac:dyDescent="0.25">
      <c r="A27" s="69">
        <v>24</v>
      </c>
      <c r="B27" s="70" t="s">
        <v>278</v>
      </c>
      <c r="C27" s="65">
        <v>2</v>
      </c>
      <c r="D27" s="65">
        <v>0</v>
      </c>
      <c r="E27" s="65">
        <v>81.930999999999997</v>
      </c>
      <c r="F27" s="65">
        <v>5.3175999999999997</v>
      </c>
      <c r="G27" s="65">
        <v>0</v>
      </c>
      <c r="H27" s="65">
        <v>1.5</v>
      </c>
      <c r="I27" s="65">
        <v>3</v>
      </c>
      <c r="J27" s="65">
        <v>2</v>
      </c>
      <c r="K27" s="65">
        <v>4</v>
      </c>
      <c r="L27" s="65">
        <v>0.53990000000000005</v>
      </c>
      <c r="M27" s="65">
        <v>99.386099999999999</v>
      </c>
      <c r="N27" s="65">
        <v>1</v>
      </c>
      <c r="O27" s="65">
        <v>7338.1581999999999</v>
      </c>
      <c r="P27" s="65">
        <v>199.32859999999999</v>
      </c>
      <c r="Q27" s="65">
        <v>0.24660000000000001</v>
      </c>
      <c r="R27" s="65">
        <v>11935.159600000001</v>
      </c>
      <c r="S27" s="65">
        <v>137.3322</v>
      </c>
      <c r="T27" s="65">
        <v>34.688400000000001</v>
      </c>
      <c r="U27" s="65">
        <v>8.77</v>
      </c>
      <c r="V27" s="65">
        <v>0.80269999999999997</v>
      </c>
      <c r="W27" s="65">
        <v>178.47579999999999</v>
      </c>
      <c r="X27" s="65">
        <v>1</v>
      </c>
      <c r="Y27" s="65">
        <v>186.93860000000001</v>
      </c>
      <c r="Z27" s="65">
        <v>0</v>
      </c>
      <c r="AA27" s="65">
        <v>124.7486</v>
      </c>
      <c r="AB27" s="65">
        <v>6.6219000000000001</v>
      </c>
      <c r="AC27" s="65">
        <v>0</v>
      </c>
      <c r="AD27" s="65">
        <v>2</v>
      </c>
      <c r="AE27" s="65">
        <v>262.38659999999999</v>
      </c>
      <c r="AF27" s="65">
        <v>375.93860000000001</v>
      </c>
      <c r="AG27" s="65">
        <v>22.731000000000002</v>
      </c>
      <c r="AH27" s="65">
        <v>144.60730000000001</v>
      </c>
      <c r="AI27" s="65">
        <v>29.7134</v>
      </c>
      <c r="AJ27" s="65">
        <v>493.75049999999999</v>
      </c>
      <c r="AK27" s="65">
        <v>2513260032</v>
      </c>
      <c r="AL27" s="65">
        <v>3482545152</v>
      </c>
      <c r="AM27" s="65">
        <v>90550</v>
      </c>
      <c r="AN27" s="65">
        <v>347400</v>
      </c>
      <c r="AO27" s="71" t="s">
        <v>117</v>
      </c>
      <c r="AP27" s="71" t="s">
        <v>117</v>
      </c>
      <c r="AQ27" s="71" t="s">
        <v>117</v>
      </c>
      <c r="AR27" s="71" t="s">
        <v>117</v>
      </c>
      <c r="AS27" s="71" t="s">
        <v>117</v>
      </c>
      <c r="AT27" s="71" t="s">
        <v>117</v>
      </c>
      <c r="AU27" s="71" t="s">
        <v>117</v>
      </c>
      <c r="AV27" s="71" t="s">
        <v>117</v>
      </c>
      <c r="AW27" s="71" t="s">
        <v>117</v>
      </c>
      <c r="AX27" s="71" t="s">
        <v>117</v>
      </c>
      <c r="AY27" s="71" t="s">
        <v>117</v>
      </c>
      <c r="AZ27" s="71" t="s">
        <v>117</v>
      </c>
      <c r="BA27" s="65">
        <v>3</v>
      </c>
      <c r="BB27" s="65">
        <v>1</v>
      </c>
      <c r="BC27" s="65">
        <v>3</v>
      </c>
      <c r="BD27" s="65">
        <v>99.386099999999999</v>
      </c>
      <c r="BE27" s="65">
        <v>1</v>
      </c>
      <c r="BF27" s="65">
        <v>99.386099999999999</v>
      </c>
      <c r="BG27" s="65">
        <v>3</v>
      </c>
      <c r="BH27" s="65">
        <v>2513260032</v>
      </c>
      <c r="BI27" s="65">
        <v>3482545152</v>
      </c>
      <c r="BJ27" s="65">
        <v>2</v>
      </c>
      <c r="BK27" s="65">
        <v>0</v>
      </c>
      <c r="BL27" s="65">
        <v>1</v>
      </c>
      <c r="BM27" s="72" t="s">
        <v>117</v>
      </c>
      <c r="BN27" s="71"/>
      <c r="BO27" s="73"/>
    </row>
    <row r="28" spans="1:67" s="74" customFormat="1" ht="15" customHeight="1" thickBot="1" x14ac:dyDescent="0.3">
      <c r="A28" s="75">
        <v>25</v>
      </c>
      <c r="B28" s="79" t="s">
        <v>279</v>
      </c>
      <c r="C28" s="66">
        <v>0</v>
      </c>
      <c r="D28" s="66">
        <v>0</v>
      </c>
      <c r="E28" s="66">
        <v>0</v>
      </c>
      <c r="F28" s="66">
        <v>-3.0135000000000001</v>
      </c>
      <c r="G28" s="66">
        <v>0</v>
      </c>
      <c r="H28" s="66">
        <v>0</v>
      </c>
      <c r="I28" s="66">
        <v>3</v>
      </c>
      <c r="J28" s="66">
        <v>0</v>
      </c>
      <c r="K28" s="66">
        <v>3</v>
      </c>
      <c r="L28" s="66">
        <v>0.1739</v>
      </c>
      <c r="M28" s="66">
        <v>386.31479999999999</v>
      </c>
      <c r="N28" s="66">
        <v>1</v>
      </c>
      <c r="O28" s="66">
        <v>5330.6140999999998</v>
      </c>
      <c r="P28" s="66">
        <v>77.035200000000003</v>
      </c>
      <c r="Q28" s="66">
        <v>0.65610000000000002</v>
      </c>
      <c r="R28" s="66">
        <v>5034.6494000000002</v>
      </c>
      <c r="S28" s="66">
        <v>51.357799999999997</v>
      </c>
      <c r="T28" s="66">
        <v>69.959100000000007</v>
      </c>
      <c r="U28" s="66">
        <v>7.4058000000000002</v>
      </c>
      <c r="V28" s="66">
        <v>0.33040000000000003</v>
      </c>
      <c r="W28" s="66">
        <v>43.533000000000001</v>
      </c>
      <c r="X28" s="66">
        <v>0.98370000000000002</v>
      </c>
      <c r="Y28" s="66">
        <v>166.1944</v>
      </c>
      <c r="Z28" s="66">
        <v>60.155299999999997</v>
      </c>
      <c r="AA28" s="66">
        <v>59.087200000000003</v>
      </c>
      <c r="AB28" s="66">
        <v>10</v>
      </c>
      <c r="AC28" s="66">
        <v>4</v>
      </c>
      <c r="AD28" s="66">
        <v>0</v>
      </c>
      <c r="AE28" s="66">
        <v>490.71510000000001</v>
      </c>
      <c r="AF28" s="66">
        <v>411.17180000000002</v>
      </c>
      <c r="AG28" s="66">
        <v>294.27699999999999</v>
      </c>
      <c r="AH28" s="66">
        <v>189.56970000000001</v>
      </c>
      <c r="AI28" s="66">
        <v>128.76499999999999</v>
      </c>
      <c r="AJ28" s="66">
        <v>476.72669999999999</v>
      </c>
      <c r="AK28" s="66">
        <v>2943700736</v>
      </c>
      <c r="AL28" s="66">
        <v>3128624384</v>
      </c>
      <c r="AM28" s="66">
        <v>100000</v>
      </c>
      <c r="AN28" s="66">
        <v>0</v>
      </c>
      <c r="AO28" s="76" t="s">
        <v>117</v>
      </c>
      <c r="AP28" s="76" t="s">
        <v>117</v>
      </c>
      <c r="AQ28" s="76" t="s">
        <v>117</v>
      </c>
      <c r="AR28" s="76" t="s">
        <v>117</v>
      </c>
      <c r="AS28" s="76" t="s">
        <v>117</v>
      </c>
      <c r="AT28" s="76" t="s">
        <v>117</v>
      </c>
      <c r="AU28" s="76" t="s">
        <v>117</v>
      </c>
      <c r="AV28" s="76" t="s">
        <v>117</v>
      </c>
      <c r="AW28" s="76" t="s">
        <v>117</v>
      </c>
      <c r="AX28" s="76" t="s">
        <v>117</v>
      </c>
      <c r="AY28" s="76" t="s">
        <v>117</v>
      </c>
      <c r="AZ28" s="76" t="s">
        <v>117</v>
      </c>
      <c r="BA28" s="66">
        <v>3</v>
      </c>
      <c r="BB28" s="66">
        <v>0.1739</v>
      </c>
      <c r="BC28" s="66">
        <v>3</v>
      </c>
      <c r="BD28" s="66">
        <v>490.71510000000001</v>
      </c>
      <c r="BE28" s="66">
        <v>0.1739</v>
      </c>
      <c r="BF28" s="66">
        <v>490.71510000000001</v>
      </c>
      <c r="BG28" s="66">
        <v>3</v>
      </c>
      <c r="BH28" s="66">
        <v>2943700736</v>
      </c>
      <c r="BI28" s="66">
        <v>3128624384</v>
      </c>
      <c r="BJ28" s="66">
        <v>0</v>
      </c>
      <c r="BK28" s="66">
        <v>0</v>
      </c>
      <c r="BL28" s="66">
        <v>1</v>
      </c>
      <c r="BM28" s="77" t="s">
        <v>117</v>
      </c>
      <c r="BN28" s="76"/>
      <c r="BO28" s="78"/>
    </row>
    <row r="29" spans="1:67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</row>
    <row r="30" spans="1:67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</row>
    <row r="31" spans="1:67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</row>
    <row r="32" spans="1:67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</row>
    <row r="33" spans="1:67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</row>
    <row r="34" spans="1:67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</row>
    <row r="35" spans="1:67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</row>
    <row r="36" spans="1:67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</row>
    <row r="37" spans="1:67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</row>
    <row r="38" spans="1:67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</row>
  </sheetData>
  <sheetProtection sheet="1" objects="1" scenarios="1"/>
  <mergeCells count="2">
    <mergeCell ref="A1:B1"/>
    <mergeCell ref="A2:B2"/>
  </mergeCells>
  <hyperlinks>
    <hyperlink ref="A1" location="'StrtStop_Per1'!A1" display="'StrtStop_Per1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O10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9" bestFit="1" customWidth="1"/>
    <col min="3" max="3" width="3.28515625" bestFit="1" customWidth="1"/>
    <col min="4" max="4" width="11" bestFit="1" customWidth="1"/>
    <col min="5" max="5" width="8.7109375" bestFit="1" customWidth="1"/>
    <col min="6" max="6" width="7.7109375" bestFit="1" customWidth="1"/>
    <col min="7" max="7" width="3.28515625" bestFit="1" customWidth="1"/>
    <col min="8" max="8" width="9" bestFit="1" customWidth="1"/>
    <col min="9" max="11" width="3.28515625" bestFit="1" customWidth="1"/>
    <col min="12" max="12" width="7" bestFit="1" customWidth="1"/>
    <col min="13" max="13" width="9" bestFit="1" customWidth="1"/>
    <col min="14" max="14" width="3.28515625" bestFit="1" customWidth="1"/>
    <col min="15" max="15" width="11" bestFit="1" customWidth="1"/>
    <col min="16" max="16" width="9" bestFit="1" customWidth="1"/>
    <col min="17" max="17" width="7" bestFit="1" customWidth="1"/>
    <col min="18" max="18" width="11" bestFit="1" customWidth="1"/>
    <col min="19" max="20" width="9" bestFit="1" customWidth="1"/>
    <col min="21" max="22" width="7" bestFit="1" customWidth="1"/>
    <col min="23" max="23" width="9" bestFit="1" customWidth="1"/>
    <col min="24" max="24" width="7" bestFit="1" customWidth="1"/>
    <col min="25" max="27" width="9" bestFit="1" customWidth="1"/>
    <col min="28" max="28" width="7" bestFit="1" customWidth="1"/>
    <col min="29" max="30" width="3.28515625" bestFit="1" customWidth="1"/>
    <col min="31" max="36" width="9" bestFit="1" customWidth="1"/>
    <col min="37" max="40" width="11" bestFit="1" customWidth="1"/>
    <col min="41" max="49" width="3.28515625" bestFit="1" customWidth="1"/>
    <col min="50" max="50" width="3.28515625" customWidth="1"/>
    <col min="51" max="53" width="5.7109375" bestFit="1" customWidth="1"/>
    <col min="54" max="54" width="7" bestFit="1" customWidth="1"/>
    <col min="55" max="55" width="5.7109375" bestFit="1" customWidth="1"/>
    <col min="56" max="56" width="9" bestFit="1" customWidth="1"/>
    <col min="57" max="57" width="7" bestFit="1" customWidth="1"/>
    <col min="58" max="58" width="9" bestFit="1" customWidth="1"/>
    <col min="59" max="59" width="5.7109375" bestFit="1" customWidth="1"/>
    <col min="60" max="61" width="11" bestFit="1" customWidth="1"/>
    <col min="62" max="64" width="5.7109375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59" t="s">
        <v>53</v>
      </c>
      <c r="B1" s="160"/>
      <c r="C1" s="41" t="s">
        <v>118</v>
      </c>
      <c r="D1" s="59" t="s">
        <v>117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39"/>
      <c r="BN1" s="39"/>
      <c r="BO1" s="40"/>
    </row>
    <row r="2" spans="1:67" ht="60" customHeight="1" x14ac:dyDescent="0.25">
      <c r="A2" s="161" t="s">
        <v>253</v>
      </c>
      <c r="B2" s="162"/>
      <c r="C2" s="44" t="s">
        <v>110</v>
      </c>
      <c r="D2" s="44" t="s">
        <v>110</v>
      </c>
      <c r="E2" s="44" t="s">
        <v>110</v>
      </c>
      <c r="F2" s="44" t="s">
        <v>110</v>
      </c>
      <c r="G2" s="44" t="s">
        <v>110</v>
      </c>
      <c r="H2" s="44" t="s">
        <v>110</v>
      </c>
      <c r="I2" s="44" t="s">
        <v>110</v>
      </c>
      <c r="J2" s="44" t="s">
        <v>110</v>
      </c>
      <c r="K2" s="44" t="s">
        <v>110</v>
      </c>
      <c r="L2" s="44" t="s">
        <v>110</v>
      </c>
      <c r="M2" s="44" t="s">
        <v>110</v>
      </c>
      <c r="N2" s="44" t="s">
        <v>110</v>
      </c>
      <c r="O2" s="44" t="s">
        <v>110</v>
      </c>
      <c r="P2" s="44" t="s">
        <v>110</v>
      </c>
      <c r="Q2" s="44" t="s">
        <v>110</v>
      </c>
      <c r="R2" s="44" t="s">
        <v>110</v>
      </c>
      <c r="S2" s="44" t="s">
        <v>110</v>
      </c>
      <c r="T2" s="44" t="s">
        <v>110</v>
      </c>
      <c r="U2" s="44" t="s">
        <v>110</v>
      </c>
      <c r="V2" s="44" t="s">
        <v>110</v>
      </c>
      <c r="W2" s="44" t="s">
        <v>110</v>
      </c>
      <c r="X2" s="44" t="s">
        <v>110</v>
      </c>
      <c r="Y2" s="44" t="s">
        <v>110</v>
      </c>
      <c r="Z2" s="44" t="s">
        <v>110</v>
      </c>
      <c r="AA2" s="44" t="s">
        <v>110</v>
      </c>
      <c r="AB2" s="44" t="s">
        <v>110</v>
      </c>
      <c r="AC2" s="44" t="s">
        <v>110</v>
      </c>
      <c r="AD2" s="44" t="s">
        <v>110</v>
      </c>
      <c r="AE2" s="44" t="s">
        <v>110</v>
      </c>
      <c r="AF2" s="44" t="s">
        <v>110</v>
      </c>
      <c r="AG2" s="44" t="s">
        <v>110</v>
      </c>
      <c r="AH2" s="44" t="s">
        <v>110</v>
      </c>
      <c r="AI2" s="44" t="s">
        <v>110</v>
      </c>
      <c r="AJ2" s="44" t="s">
        <v>110</v>
      </c>
      <c r="AK2" s="44" t="s">
        <v>110</v>
      </c>
      <c r="AL2" s="44" t="s">
        <v>110</v>
      </c>
      <c r="AM2" s="64" t="s">
        <v>162</v>
      </c>
      <c r="AN2" s="64" t="s">
        <v>162</v>
      </c>
      <c r="AO2" s="45" t="s">
        <v>147</v>
      </c>
      <c r="AP2" s="63" t="s">
        <v>147</v>
      </c>
      <c r="AQ2" s="63" t="s">
        <v>147</v>
      </c>
      <c r="AR2" s="63" t="s">
        <v>147</v>
      </c>
      <c r="AS2" s="63" t="s">
        <v>147</v>
      </c>
      <c r="AT2" s="63" t="s">
        <v>147</v>
      </c>
      <c r="AU2" s="63" t="s">
        <v>147</v>
      </c>
      <c r="AV2" s="63" t="s">
        <v>147</v>
      </c>
      <c r="AW2" s="63" t="s">
        <v>147</v>
      </c>
      <c r="AX2" s="63" t="s">
        <v>147</v>
      </c>
      <c r="AY2" s="63" t="s">
        <v>163</v>
      </c>
      <c r="AZ2" s="63" t="s">
        <v>163</v>
      </c>
      <c r="BA2" s="24" t="s">
        <v>148</v>
      </c>
      <c r="BB2" s="24" t="s">
        <v>148</v>
      </c>
      <c r="BC2" s="24" t="s">
        <v>148</v>
      </c>
      <c r="BD2" s="24" t="s">
        <v>148</v>
      </c>
      <c r="BE2" s="24" t="s">
        <v>148</v>
      </c>
      <c r="BF2" s="24" t="s">
        <v>148</v>
      </c>
      <c r="BG2" s="24" t="s">
        <v>148</v>
      </c>
      <c r="BH2" s="24" t="s">
        <v>148</v>
      </c>
      <c r="BI2" s="24" t="s">
        <v>148</v>
      </c>
      <c r="BJ2" s="24" t="s">
        <v>148</v>
      </c>
      <c r="BK2" s="24" t="s">
        <v>164</v>
      </c>
      <c r="BL2" s="24" t="s">
        <v>164</v>
      </c>
      <c r="BM2" s="25" t="s">
        <v>24</v>
      </c>
      <c r="BN2" s="25" t="s">
        <v>114</v>
      </c>
      <c r="BO2" s="26" t="s">
        <v>116</v>
      </c>
    </row>
    <row r="3" spans="1:67" ht="234.75" x14ac:dyDescent="0.25">
      <c r="A3" s="27" t="s">
        <v>108</v>
      </c>
      <c r="B3" s="28" t="s">
        <v>109</v>
      </c>
      <c r="C3" s="29" t="s">
        <v>68</v>
      </c>
      <c r="D3" s="29" t="s">
        <v>70</v>
      </c>
      <c r="E3" s="29" t="s">
        <v>71</v>
      </c>
      <c r="F3" s="29" t="s">
        <v>72</v>
      </c>
      <c r="G3" s="29" t="s">
        <v>73</v>
      </c>
      <c r="H3" s="29" t="s">
        <v>74</v>
      </c>
      <c r="I3" s="29" t="s">
        <v>58</v>
      </c>
      <c r="J3" s="29" t="s">
        <v>60</v>
      </c>
      <c r="K3" s="29" t="s">
        <v>61</v>
      </c>
      <c r="L3" s="29" t="s">
        <v>66</v>
      </c>
      <c r="M3" s="29" t="s">
        <v>65</v>
      </c>
      <c r="N3" s="29" t="s">
        <v>79</v>
      </c>
      <c r="O3" s="29" t="s">
        <v>80</v>
      </c>
      <c r="P3" s="29" t="s">
        <v>81</v>
      </c>
      <c r="Q3" s="29" t="s">
        <v>82</v>
      </c>
      <c r="R3" s="29" t="s">
        <v>83</v>
      </c>
      <c r="S3" s="29" t="s">
        <v>86</v>
      </c>
      <c r="T3" s="29" t="s">
        <v>87</v>
      </c>
      <c r="U3" s="29" t="s">
        <v>88</v>
      </c>
      <c r="V3" s="29" t="s">
        <v>89</v>
      </c>
      <c r="W3" s="29" t="s">
        <v>90</v>
      </c>
      <c r="X3" s="29" t="s">
        <v>91</v>
      </c>
      <c r="Y3" s="29" t="s">
        <v>92</v>
      </c>
      <c r="Z3" s="29" t="s">
        <v>93</v>
      </c>
      <c r="AA3" s="29" t="s">
        <v>94</v>
      </c>
      <c r="AB3" s="29" t="s">
        <v>95</v>
      </c>
      <c r="AC3" s="29" t="s">
        <v>96</v>
      </c>
      <c r="AD3" s="29" t="s">
        <v>106</v>
      </c>
      <c r="AE3" s="29" t="s">
        <v>98</v>
      </c>
      <c r="AF3" s="29" t="s">
        <v>99</v>
      </c>
      <c r="AG3" s="29" t="s">
        <v>100</v>
      </c>
      <c r="AH3" s="29" t="s">
        <v>101</v>
      </c>
      <c r="AI3" s="29" t="s">
        <v>102</v>
      </c>
      <c r="AJ3" s="29" t="s">
        <v>97</v>
      </c>
      <c r="AK3" s="29" t="s">
        <v>62</v>
      </c>
      <c r="AL3" s="29" t="s">
        <v>64</v>
      </c>
      <c r="AM3" s="29" t="s">
        <v>85</v>
      </c>
      <c r="AN3" s="29" t="s">
        <v>84</v>
      </c>
      <c r="AO3" s="30" t="s">
        <v>58</v>
      </c>
      <c r="AP3" s="30" t="s">
        <v>66</v>
      </c>
      <c r="AQ3" s="30" t="s">
        <v>60</v>
      </c>
      <c r="AR3" s="30" t="s">
        <v>65</v>
      </c>
      <c r="AS3" s="30" t="s">
        <v>76</v>
      </c>
      <c r="AT3" s="30" t="s">
        <v>77</v>
      </c>
      <c r="AU3" s="30" t="s">
        <v>78</v>
      </c>
      <c r="AV3" s="30" t="s">
        <v>62</v>
      </c>
      <c r="AW3" s="30" t="s">
        <v>64</v>
      </c>
      <c r="AX3" s="30" t="s">
        <v>61</v>
      </c>
      <c r="AY3" s="30" t="s">
        <v>85</v>
      </c>
      <c r="AZ3" s="30" t="s">
        <v>84</v>
      </c>
      <c r="BA3" s="31" t="s">
        <v>58</v>
      </c>
      <c r="BB3" s="31" t="s">
        <v>66</v>
      </c>
      <c r="BC3" s="31" t="s">
        <v>60</v>
      </c>
      <c r="BD3" s="31" t="s">
        <v>65</v>
      </c>
      <c r="BE3" s="31" t="s">
        <v>76</v>
      </c>
      <c r="BF3" s="31" t="s">
        <v>77</v>
      </c>
      <c r="BG3" s="31" t="s">
        <v>78</v>
      </c>
      <c r="BH3" s="31" t="s">
        <v>62</v>
      </c>
      <c r="BI3" s="31" t="s">
        <v>64</v>
      </c>
      <c r="BJ3" s="31" t="s">
        <v>61</v>
      </c>
      <c r="BK3" s="31" t="s">
        <v>85</v>
      </c>
      <c r="BL3" s="31" t="s">
        <v>84</v>
      </c>
      <c r="BM3" s="25" t="s">
        <v>113</v>
      </c>
      <c r="BN3" s="25" t="s">
        <v>115</v>
      </c>
      <c r="BO3" s="26"/>
    </row>
    <row r="4" spans="1:67" x14ac:dyDescent="0.25">
      <c r="A4" s="32">
        <v>1</v>
      </c>
      <c r="B4" s="42" t="s">
        <v>119</v>
      </c>
      <c r="C4" s="42">
        <v>0</v>
      </c>
      <c r="D4" s="57">
        <v>0</v>
      </c>
      <c r="E4" s="57">
        <v>-100</v>
      </c>
      <c r="F4" s="57">
        <v>-10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0.1</v>
      </c>
      <c r="N4" s="57">
        <v>0</v>
      </c>
      <c r="O4" s="57">
        <v>0</v>
      </c>
      <c r="P4" s="57">
        <v>0</v>
      </c>
      <c r="Q4" s="57">
        <v>1.1000000000000001E-3</v>
      </c>
      <c r="R4" s="57">
        <v>0</v>
      </c>
      <c r="S4" s="57">
        <v>0</v>
      </c>
      <c r="T4" s="57">
        <v>0</v>
      </c>
      <c r="U4" s="57">
        <v>0</v>
      </c>
      <c r="V4" s="57">
        <v>0</v>
      </c>
      <c r="W4" s="57">
        <v>0</v>
      </c>
      <c r="X4" s="57">
        <v>1.1000000000000001E-3</v>
      </c>
      <c r="Y4" s="57">
        <v>0</v>
      </c>
      <c r="Z4" s="57">
        <v>0</v>
      </c>
      <c r="AA4" s="57">
        <v>0</v>
      </c>
      <c r="AB4" s="57">
        <v>0</v>
      </c>
      <c r="AC4" s="57">
        <v>0</v>
      </c>
      <c r="AD4" s="57">
        <v>0</v>
      </c>
      <c r="AE4" s="57">
        <v>0.1</v>
      </c>
      <c r="AF4" s="57">
        <v>0.1</v>
      </c>
      <c r="AG4" s="57">
        <v>0.1</v>
      </c>
      <c r="AH4" s="57">
        <v>0.1</v>
      </c>
      <c r="AI4" s="57">
        <v>0.1</v>
      </c>
      <c r="AJ4" s="57">
        <v>0.1</v>
      </c>
      <c r="AK4" s="57">
        <v>0</v>
      </c>
      <c r="AL4" s="57">
        <v>0</v>
      </c>
      <c r="AM4" s="57">
        <v>0</v>
      </c>
      <c r="AN4" s="57">
        <v>0</v>
      </c>
      <c r="AO4" s="33" t="s">
        <v>117</v>
      </c>
      <c r="AP4" s="33" t="s">
        <v>117</v>
      </c>
      <c r="AQ4" s="33" t="s">
        <v>117</v>
      </c>
      <c r="AR4" s="33" t="s">
        <v>117</v>
      </c>
      <c r="AS4" s="33" t="s">
        <v>117</v>
      </c>
      <c r="AT4" s="33" t="s">
        <v>117</v>
      </c>
      <c r="AU4" s="33" t="s">
        <v>117</v>
      </c>
      <c r="AV4" s="33" t="s">
        <v>117</v>
      </c>
      <c r="AW4" s="33" t="s">
        <v>117</v>
      </c>
      <c r="AX4" s="33" t="s">
        <v>117</v>
      </c>
      <c r="AY4" s="33" t="s">
        <v>117</v>
      </c>
      <c r="AZ4" s="33" t="s">
        <v>117</v>
      </c>
      <c r="BA4" s="42">
        <v>5</v>
      </c>
      <c r="BB4" s="42">
        <v>1</v>
      </c>
      <c r="BC4" s="42">
        <v>5</v>
      </c>
      <c r="BD4" s="42">
        <v>0.1</v>
      </c>
      <c r="BE4" s="42">
        <v>1</v>
      </c>
      <c r="BF4" s="42">
        <v>0.1</v>
      </c>
      <c r="BG4" s="42">
        <v>5</v>
      </c>
      <c r="BH4" s="42">
        <v>0</v>
      </c>
      <c r="BI4" s="42">
        <v>0</v>
      </c>
      <c r="BJ4" s="42">
        <v>0</v>
      </c>
      <c r="BK4" s="42">
        <v>0</v>
      </c>
      <c r="BL4" s="42">
        <v>0</v>
      </c>
      <c r="BM4" s="46" t="s">
        <v>117</v>
      </c>
      <c r="BN4" s="33"/>
      <c r="BO4" s="34"/>
    </row>
    <row r="5" spans="1:67" x14ac:dyDescent="0.25">
      <c r="A5" s="32">
        <v>2</v>
      </c>
      <c r="B5" s="42" t="s">
        <v>120</v>
      </c>
      <c r="C5" s="57">
        <v>4</v>
      </c>
      <c r="D5" s="57">
        <v>16383.75</v>
      </c>
      <c r="E5" s="57">
        <v>100</v>
      </c>
      <c r="F5" s="57">
        <v>10</v>
      </c>
      <c r="G5" s="57">
        <v>1</v>
      </c>
      <c r="H5" s="57">
        <v>200</v>
      </c>
      <c r="I5" s="57">
        <v>5</v>
      </c>
      <c r="J5" s="57">
        <v>5</v>
      </c>
      <c r="K5" s="57">
        <v>5</v>
      </c>
      <c r="L5" s="57">
        <v>1</v>
      </c>
      <c r="M5" s="57">
        <v>500</v>
      </c>
      <c r="N5" s="57">
        <v>1</v>
      </c>
      <c r="O5" s="57">
        <v>16383.75</v>
      </c>
      <c r="P5" s="57">
        <v>200</v>
      </c>
      <c r="Q5" s="57">
        <v>1</v>
      </c>
      <c r="R5" s="57">
        <v>16383.75</v>
      </c>
      <c r="S5" s="57">
        <v>200</v>
      </c>
      <c r="T5" s="57">
        <v>250</v>
      </c>
      <c r="U5" s="57">
        <v>10</v>
      </c>
      <c r="V5" s="57">
        <v>1</v>
      </c>
      <c r="W5" s="57">
        <v>200</v>
      </c>
      <c r="X5" s="57">
        <v>1</v>
      </c>
      <c r="Y5" s="57">
        <v>200</v>
      </c>
      <c r="Z5" s="57">
        <v>200</v>
      </c>
      <c r="AA5" s="57">
        <v>250</v>
      </c>
      <c r="AB5" s="57">
        <v>10</v>
      </c>
      <c r="AC5" s="57">
        <v>5</v>
      </c>
      <c r="AD5" s="57">
        <v>5</v>
      </c>
      <c r="AE5" s="57">
        <v>500</v>
      </c>
      <c r="AF5" s="57">
        <v>500</v>
      </c>
      <c r="AG5" s="57">
        <v>500</v>
      </c>
      <c r="AH5" s="57">
        <v>500</v>
      </c>
      <c r="AI5" s="57">
        <v>500</v>
      </c>
      <c r="AJ5" s="57">
        <v>500</v>
      </c>
      <c r="AK5" s="57">
        <v>4294967295</v>
      </c>
      <c r="AL5" s="57">
        <v>4294967295</v>
      </c>
      <c r="AM5" s="57">
        <v>4294967295</v>
      </c>
      <c r="AN5" s="57">
        <v>4294967295</v>
      </c>
      <c r="AO5" s="33" t="s">
        <v>117</v>
      </c>
      <c r="AP5" s="33" t="s">
        <v>117</v>
      </c>
      <c r="AQ5" s="33" t="s">
        <v>117</v>
      </c>
      <c r="AR5" s="33" t="s">
        <v>117</v>
      </c>
      <c r="AS5" s="33" t="s">
        <v>117</v>
      </c>
      <c r="AT5" s="33" t="s">
        <v>117</v>
      </c>
      <c r="AU5" s="33" t="s">
        <v>117</v>
      </c>
      <c r="AV5" s="33" t="s">
        <v>117</v>
      </c>
      <c r="AW5" s="33" t="s">
        <v>117</v>
      </c>
      <c r="AX5" s="33" t="s">
        <v>117</v>
      </c>
      <c r="AY5" s="33" t="s">
        <v>117</v>
      </c>
      <c r="AZ5" s="33" t="s">
        <v>117</v>
      </c>
      <c r="BA5" s="42">
        <v>4</v>
      </c>
      <c r="BB5" s="42">
        <v>1</v>
      </c>
      <c r="BC5" s="42">
        <v>4</v>
      </c>
      <c r="BD5" s="42">
        <v>1</v>
      </c>
      <c r="BE5" s="42">
        <v>1</v>
      </c>
      <c r="BF5" s="42">
        <v>1</v>
      </c>
      <c r="BG5" s="42">
        <v>4</v>
      </c>
      <c r="BH5" s="42">
        <v>4294967295</v>
      </c>
      <c r="BI5" s="42">
        <v>4294967295</v>
      </c>
      <c r="BJ5" s="42">
        <v>5</v>
      </c>
      <c r="BK5" s="42">
        <v>0</v>
      </c>
      <c r="BL5" s="42">
        <v>0</v>
      </c>
      <c r="BM5" s="46" t="s">
        <v>117</v>
      </c>
      <c r="BN5" s="33"/>
      <c r="BO5" s="34"/>
    </row>
    <row r="6" spans="1:67" x14ac:dyDescent="0.25">
      <c r="A6" s="32">
        <v>3</v>
      </c>
      <c r="B6" s="42" t="s">
        <v>225</v>
      </c>
      <c r="C6" s="57">
        <v>0</v>
      </c>
      <c r="D6" s="42">
        <v>307.351</v>
      </c>
      <c r="E6" s="42">
        <v>59.432699999999997</v>
      </c>
      <c r="F6" s="42">
        <v>-1.4978</v>
      </c>
      <c r="G6" s="42">
        <v>0</v>
      </c>
      <c r="H6" s="42">
        <v>37.0291</v>
      </c>
      <c r="I6" s="42">
        <v>4</v>
      </c>
      <c r="J6" s="42">
        <v>4</v>
      </c>
      <c r="K6" s="42">
        <v>5</v>
      </c>
      <c r="L6" s="42">
        <v>0.2727</v>
      </c>
      <c r="M6" s="42">
        <v>170.37690000000001</v>
      </c>
      <c r="N6" s="42">
        <v>0</v>
      </c>
      <c r="O6" s="42">
        <v>1623.5537999999999</v>
      </c>
      <c r="P6" s="42">
        <v>119.2587</v>
      </c>
      <c r="Q6" s="42">
        <v>0.69479999999999997</v>
      </c>
      <c r="R6" s="42">
        <v>11770.9421</v>
      </c>
      <c r="S6" s="42">
        <v>13.1012</v>
      </c>
      <c r="T6" s="42">
        <v>198.06700000000001</v>
      </c>
      <c r="U6" s="42">
        <v>8.3523999999999994</v>
      </c>
      <c r="V6" s="42">
        <v>1</v>
      </c>
      <c r="W6" s="42">
        <v>89.245099999999994</v>
      </c>
      <c r="X6" s="42">
        <v>1</v>
      </c>
      <c r="Y6" s="42">
        <v>176.28319999999999</v>
      </c>
      <c r="Z6" s="42">
        <v>107.66930000000001</v>
      </c>
      <c r="AA6" s="42">
        <v>10.961600000000001</v>
      </c>
      <c r="AB6" s="42">
        <v>10</v>
      </c>
      <c r="AC6" s="42">
        <v>5</v>
      </c>
      <c r="AD6" s="42">
        <v>3</v>
      </c>
      <c r="AE6" s="42">
        <v>156.83600000000001</v>
      </c>
      <c r="AF6" s="42">
        <v>191.65299999999999</v>
      </c>
      <c r="AG6" s="42">
        <v>192.023</v>
      </c>
      <c r="AH6" s="42">
        <v>406.32830000000001</v>
      </c>
      <c r="AI6" s="42">
        <v>421.3931</v>
      </c>
      <c r="AJ6" s="42">
        <v>343.07080000000002</v>
      </c>
      <c r="AK6" s="42">
        <v>3544497920</v>
      </c>
      <c r="AL6" s="42">
        <v>3120887040</v>
      </c>
      <c r="AM6" s="42">
        <v>100</v>
      </c>
      <c r="AN6" s="42">
        <v>2350</v>
      </c>
      <c r="AO6" s="33" t="s">
        <v>117</v>
      </c>
      <c r="AP6" s="33" t="s">
        <v>117</v>
      </c>
      <c r="AQ6" s="33" t="s">
        <v>117</v>
      </c>
      <c r="AR6" s="33" t="s">
        <v>117</v>
      </c>
      <c r="AS6" s="33" t="s">
        <v>117</v>
      </c>
      <c r="AT6" s="33" t="s">
        <v>117</v>
      </c>
      <c r="AU6" s="33" t="s">
        <v>117</v>
      </c>
      <c r="AV6" s="33" t="s">
        <v>117</v>
      </c>
      <c r="AW6" s="33" t="s">
        <v>117</v>
      </c>
      <c r="AX6" s="33" t="s">
        <v>117</v>
      </c>
      <c r="AY6" s="33" t="s">
        <v>117</v>
      </c>
      <c r="AZ6" s="33" t="s">
        <v>117</v>
      </c>
      <c r="BA6" s="42">
        <v>5</v>
      </c>
      <c r="BB6" s="42">
        <v>1</v>
      </c>
      <c r="BC6" s="42">
        <v>5</v>
      </c>
      <c r="BD6" s="42">
        <v>156.83600000000001</v>
      </c>
      <c r="BE6" s="42">
        <v>1</v>
      </c>
      <c r="BF6" s="42">
        <v>156.83600000000001</v>
      </c>
      <c r="BG6" s="42">
        <v>5</v>
      </c>
      <c r="BH6" s="42">
        <v>3544497920</v>
      </c>
      <c r="BI6" s="42">
        <v>3120887040</v>
      </c>
      <c r="BJ6" s="42">
        <v>4</v>
      </c>
      <c r="BK6" s="42">
        <v>0</v>
      </c>
      <c r="BL6" s="42">
        <v>0</v>
      </c>
      <c r="BM6" s="46" t="s">
        <v>117</v>
      </c>
      <c r="BN6" s="33"/>
      <c r="BO6" s="34"/>
    </row>
    <row r="7" spans="1:67" x14ac:dyDescent="0.25">
      <c r="A7" s="32">
        <v>4</v>
      </c>
      <c r="B7" s="42" t="s">
        <v>226</v>
      </c>
      <c r="C7" s="57">
        <v>1</v>
      </c>
      <c r="D7" s="42">
        <v>3446.8375000000001</v>
      </c>
      <c r="E7" s="42">
        <v>-23.6995</v>
      </c>
      <c r="F7" s="42">
        <v>7.0430000000000001</v>
      </c>
      <c r="G7" s="42">
        <v>0</v>
      </c>
      <c r="H7" s="42">
        <v>47.621000000000002</v>
      </c>
      <c r="I7" s="42">
        <v>2</v>
      </c>
      <c r="J7" s="42">
        <v>4</v>
      </c>
      <c r="K7" s="42">
        <v>0</v>
      </c>
      <c r="L7" s="42">
        <v>1</v>
      </c>
      <c r="M7" s="42">
        <v>76.465999999999994</v>
      </c>
      <c r="N7" s="42">
        <v>1</v>
      </c>
      <c r="O7" s="42">
        <v>10812.7469</v>
      </c>
      <c r="P7" s="42">
        <v>171.3297</v>
      </c>
      <c r="Q7" s="42">
        <v>9.8299999999999998E-2</v>
      </c>
      <c r="R7" s="42">
        <v>13478.097400000001</v>
      </c>
      <c r="S7" s="42">
        <v>62.701599999999999</v>
      </c>
      <c r="T7" s="42">
        <v>146.7987</v>
      </c>
      <c r="U7" s="42">
        <v>9.5694999999999997</v>
      </c>
      <c r="V7" s="42">
        <v>1</v>
      </c>
      <c r="W7" s="42">
        <v>123.8943</v>
      </c>
      <c r="X7" s="42">
        <v>1</v>
      </c>
      <c r="Y7" s="42">
        <v>43.317</v>
      </c>
      <c r="Z7" s="42">
        <v>83.760599999999997</v>
      </c>
      <c r="AA7" s="42">
        <v>162.88239999999999</v>
      </c>
      <c r="AB7" s="42">
        <v>1.7224999999999999</v>
      </c>
      <c r="AC7" s="42">
        <v>0</v>
      </c>
      <c r="AD7" s="42">
        <v>5</v>
      </c>
      <c r="AE7" s="42">
        <v>282.30250000000001</v>
      </c>
      <c r="AF7" s="42">
        <v>179.50239999999999</v>
      </c>
      <c r="AG7" s="42">
        <v>8.3483000000000001</v>
      </c>
      <c r="AH7" s="42">
        <v>350.29509999999999</v>
      </c>
      <c r="AI7" s="42">
        <v>46.029299999999999</v>
      </c>
      <c r="AJ7" s="42">
        <v>417.65530000000001</v>
      </c>
      <c r="AK7" s="42">
        <v>1334609408</v>
      </c>
      <c r="AL7" s="42">
        <v>128181248</v>
      </c>
      <c r="AM7" s="42">
        <v>1450</v>
      </c>
      <c r="AN7" s="42">
        <v>7500</v>
      </c>
      <c r="AO7" s="33" t="s">
        <v>117</v>
      </c>
      <c r="AP7" s="33" t="s">
        <v>117</v>
      </c>
      <c r="AQ7" s="33" t="s">
        <v>117</v>
      </c>
      <c r="AR7" s="33" t="s">
        <v>117</v>
      </c>
      <c r="AS7" s="33" t="s">
        <v>117</v>
      </c>
      <c r="AT7" s="33" t="s">
        <v>117</v>
      </c>
      <c r="AU7" s="33" t="s">
        <v>117</v>
      </c>
      <c r="AV7" s="33" t="s">
        <v>117</v>
      </c>
      <c r="AW7" s="33" t="s">
        <v>117</v>
      </c>
      <c r="AX7" s="33" t="s">
        <v>117</v>
      </c>
      <c r="AY7" s="33" t="s">
        <v>117</v>
      </c>
      <c r="AZ7" s="33" t="s">
        <v>117</v>
      </c>
      <c r="BA7" s="42">
        <v>2</v>
      </c>
      <c r="BB7" s="42">
        <v>1</v>
      </c>
      <c r="BC7" s="42">
        <v>2</v>
      </c>
      <c r="BD7" s="42">
        <v>282.30250000000001</v>
      </c>
      <c r="BE7" s="42">
        <v>1</v>
      </c>
      <c r="BF7" s="42">
        <v>282.30250000000001</v>
      </c>
      <c r="BG7" s="42">
        <v>2</v>
      </c>
      <c r="BH7" s="42">
        <v>1334609408</v>
      </c>
      <c r="BI7" s="42">
        <v>128181248</v>
      </c>
      <c r="BJ7" s="42">
        <v>4</v>
      </c>
      <c r="BK7" s="42">
        <v>0</v>
      </c>
      <c r="BL7" s="42">
        <v>0</v>
      </c>
      <c r="BM7" s="46" t="s">
        <v>117</v>
      </c>
      <c r="BN7" s="33"/>
      <c r="BO7" s="34"/>
    </row>
    <row r="8" spans="1:67" x14ac:dyDescent="0.25">
      <c r="A8" s="32">
        <v>5</v>
      </c>
      <c r="B8" s="42" t="s">
        <v>227</v>
      </c>
      <c r="C8" s="57">
        <v>2</v>
      </c>
      <c r="D8" s="42">
        <v>1211.7067999999999</v>
      </c>
      <c r="E8" s="42">
        <v>-6.8196000000000003</v>
      </c>
      <c r="F8" s="42">
        <v>5.5773999999999999</v>
      </c>
      <c r="G8" s="42">
        <v>1</v>
      </c>
      <c r="H8" s="42">
        <v>186.01560000000001</v>
      </c>
      <c r="I8" s="42">
        <v>2</v>
      </c>
      <c r="J8" s="42">
        <v>2</v>
      </c>
      <c r="K8" s="42">
        <v>1</v>
      </c>
      <c r="L8" s="42">
        <v>0.52580000000000005</v>
      </c>
      <c r="M8" s="42">
        <v>453.7989</v>
      </c>
      <c r="N8" s="42">
        <v>1</v>
      </c>
      <c r="O8" s="42">
        <v>12757.5185</v>
      </c>
      <c r="P8" s="42">
        <v>110.69710000000001</v>
      </c>
      <c r="Q8" s="42">
        <v>1</v>
      </c>
      <c r="R8" s="42">
        <v>5795.5142999999998</v>
      </c>
      <c r="S8" s="42">
        <v>135.0076</v>
      </c>
      <c r="T8" s="42">
        <v>224.35679999999999</v>
      </c>
      <c r="U8" s="42">
        <v>9.0917999999999992</v>
      </c>
      <c r="V8" s="42">
        <v>1</v>
      </c>
      <c r="W8" s="42">
        <v>188.05619999999999</v>
      </c>
      <c r="X8" s="42">
        <v>1</v>
      </c>
      <c r="Y8" s="42">
        <v>38.927399999999999</v>
      </c>
      <c r="Z8" s="42">
        <v>87.165899999999993</v>
      </c>
      <c r="AA8" s="42">
        <v>211.67840000000001</v>
      </c>
      <c r="AB8" s="42">
        <v>4.0598999999999998</v>
      </c>
      <c r="AC8" s="42">
        <v>4</v>
      </c>
      <c r="AD8" s="42">
        <v>3</v>
      </c>
      <c r="AE8" s="42">
        <v>217.22300000000001</v>
      </c>
      <c r="AF8" s="42">
        <v>207.60810000000001</v>
      </c>
      <c r="AG8" s="42">
        <v>417.2407</v>
      </c>
      <c r="AH8" s="42">
        <v>130.9494</v>
      </c>
      <c r="AI8" s="42">
        <v>5.1985999999999999</v>
      </c>
      <c r="AJ8" s="42">
        <v>170.88079999999999</v>
      </c>
      <c r="AK8" s="42">
        <v>2526097664</v>
      </c>
      <c r="AL8" s="42">
        <v>2302875392</v>
      </c>
      <c r="AM8" s="42">
        <v>2800</v>
      </c>
      <c r="AN8" s="42">
        <v>12650</v>
      </c>
      <c r="AO8" s="33" t="s">
        <v>117</v>
      </c>
      <c r="AP8" s="33" t="s">
        <v>117</v>
      </c>
      <c r="AQ8" s="33" t="s">
        <v>117</v>
      </c>
      <c r="AR8" s="33" t="s">
        <v>117</v>
      </c>
      <c r="AS8" s="33" t="s">
        <v>117</v>
      </c>
      <c r="AT8" s="33" t="s">
        <v>117</v>
      </c>
      <c r="AU8" s="33" t="s">
        <v>117</v>
      </c>
      <c r="AV8" s="33" t="s">
        <v>117</v>
      </c>
      <c r="AW8" s="33" t="s">
        <v>117</v>
      </c>
      <c r="AX8" s="33" t="s">
        <v>117</v>
      </c>
      <c r="AY8" s="33" t="s">
        <v>117</v>
      </c>
      <c r="AZ8" s="33" t="s">
        <v>117</v>
      </c>
      <c r="BA8" s="42">
        <v>4</v>
      </c>
      <c r="BB8" s="42">
        <v>1</v>
      </c>
      <c r="BC8" s="42">
        <v>4</v>
      </c>
      <c r="BD8" s="42">
        <v>453.7989</v>
      </c>
      <c r="BE8" s="42">
        <v>1</v>
      </c>
      <c r="BF8" s="42">
        <v>453.7989</v>
      </c>
      <c r="BG8" s="42">
        <v>4</v>
      </c>
      <c r="BH8" s="42">
        <v>2526097664</v>
      </c>
      <c r="BI8" s="42">
        <v>2302875392</v>
      </c>
      <c r="BJ8" s="42">
        <v>2</v>
      </c>
      <c r="BK8" s="42">
        <v>0</v>
      </c>
      <c r="BL8" s="42">
        <v>0</v>
      </c>
      <c r="BM8" s="46" t="s">
        <v>117</v>
      </c>
      <c r="BN8" s="33"/>
      <c r="BO8" s="34"/>
    </row>
    <row r="9" spans="1:67" x14ac:dyDescent="0.25">
      <c r="A9" s="32">
        <v>6</v>
      </c>
      <c r="B9" s="42" t="s">
        <v>228</v>
      </c>
      <c r="C9" s="57">
        <v>3</v>
      </c>
      <c r="D9" s="42">
        <v>3446.8375000000001</v>
      </c>
      <c r="E9" s="42">
        <v>-23.6995</v>
      </c>
      <c r="F9" s="42">
        <v>7.0430000000000001</v>
      </c>
      <c r="G9" s="42">
        <v>0</v>
      </c>
      <c r="H9" s="42">
        <v>47.621000000000002</v>
      </c>
      <c r="I9" s="42">
        <v>2</v>
      </c>
      <c r="J9" s="42">
        <v>4</v>
      </c>
      <c r="K9" s="42">
        <v>0</v>
      </c>
      <c r="L9" s="42">
        <v>1</v>
      </c>
      <c r="M9" s="42">
        <v>76.465999999999994</v>
      </c>
      <c r="N9" s="42">
        <v>1</v>
      </c>
      <c r="O9" s="42">
        <v>10812.7469</v>
      </c>
      <c r="P9" s="42">
        <v>171.3297</v>
      </c>
      <c r="Q9" s="42">
        <v>9.8299999999999998E-2</v>
      </c>
      <c r="R9" s="42">
        <v>13478.097400000001</v>
      </c>
      <c r="S9" s="42">
        <v>62.701599999999999</v>
      </c>
      <c r="T9" s="42">
        <v>146.7987</v>
      </c>
      <c r="U9" s="42">
        <v>9.5694999999999997</v>
      </c>
      <c r="V9" s="42">
        <v>1</v>
      </c>
      <c r="W9" s="42">
        <v>123.8943</v>
      </c>
      <c r="X9" s="42">
        <v>1</v>
      </c>
      <c r="Y9" s="42">
        <v>43.317</v>
      </c>
      <c r="Z9" s="42">
        <v>83.760599999999997</v>
      </c>
      <c r="AA9" s="42">
        <v>162.88239999999999</v>
      </c>
      <c r="AB9" s="42">
        <v>1.7224999999999999</v>
      </c>
      <c r="AC9" s="42">
        <v>0</v>
      </c>
      <c r="AD9" s="42">
        <v>5</v>
      </c>
      <c r="AE9" s="42">
        <v>282.30250000000001</v>
      </c>
      <c r="AF9" s="42">
        <v>179.50239999999999</v>
      </c>
      <c r="AG9" s="42">
        <v>8.3483000000000001</v>
      </c>
      <c r="AH9" s="42">
        <v>350.29509999999999</v>
      </c>
      <c r="AI9" s="42">
        <v>46.029299999999999</v>
      </c>
      <c r="AJ9" s="42">
        <v>417.65530000000001</v>
      </c>
      <c r="AK9" s="42">
        <v>1334609408</v>
      </c>
      <c r="AL9" s="42">
        <v>128181248</v>
      </c>
      <c r="AM9" s="42">
        <v>4150</v>
      </c>
      <c r="AN9" s="42">
        <v>17800</v>
      </c>
      <c r="AO9" s="33" t="s">
        <v>117</v>
      </c>
      <c r="AP9" s="33" t="s">
        <v>117</v>
      </c>
      <c r="AQ9" s="33" t="s">
        <v>117</v>
      </c>
      <c r="AR9" s="33" t="s">
        <v>117</v>
      </c>
      <c r="AS9" s="33" t="s">
        <v>117</v>
      </c>
      <c r="AT9" s="33" t="s">
        <v>117</v>
      </c>
      <c r="AU9" s="33" t="s">
        <v>117</v>
      </c>
      <c r="AV9" s="33" t="s">
        <v>117</v>
      </c>
      <c r="AW9" s="33" t="s">
        <v>117</v>
      </c>
      <c r="AX9" s="33" t="s">
        <v>117</v>
      </c>
      <c r="AY9" s="33" t="s">
        <v>117</v>
      </c>
      <c r="AZ9" s="33" t="s">
        <v>117</v>
      </c>
      <c r="BA9" s="42">
        <v>2</v>
      </c>
      <c r="BB9" s="42">
        <v>1</v>
      </c>
      <c r="BC9" s="42">
        <v>2</v>
      </c>
      <c r="BD9" s="42">
        <v>282.30250000000001</v>
      </c>
      <c r="BE9" s="42">
        <v>1</v>
      </c>
      <c r="BF9" s="42">
        <v>282.30250000000001</v>
      </c>
      <c r="BG9" s="42">
        <v>2</v>
      </c>
      <c r="BH9" s="42">
        <v>1334609408</v>
      </c>
      <c r="BI9" s="42">
        <v>128181248</v>
      </c>
      <c r="BJ9" s="42">
        <v>4</v>
      </c>
      <c r="BK9" s="42">
        <v>0</v>
      </c>
      <c r="BL9" s="42">
        <v>0</v>
      </c>
      <c r="BM9" s="46" t="s">
        <v>117</v>
      </c>
      <c r="BN9" s="33"/>
      <c r="BO9" s="34"/>
    </row>
    <row r="10" spans="1:67" x14ac:dyDescent="0.25">
      <c r="A10" s="32">
        <v>7</v>
      </c>
      <c r="B10" s="42" t="s">
        <v>229</v>
      </c>
      <c r="C10" s="57">
        <v>4</v>
      </c>
      <c r="D10" s="42">
        <v>1211.7067999999999</v>
      </c>
      <c r="E10" s="42">
        <v>-6.8196000000000003</v>
      </c>
      <c r="F10" s="42">
        <v>5.5773999999999999</v>
      </c>
      <c r="G10" s="42">
        <v>1</v>
      </c>
      <c r="H10" s="42">
        <v>186.01560000000001</v>
      </c>
      <c r="I10" s="42">
        <v>2</v>
      </c>
      <c r="J10" s="42">
        <v>2</v>
      </c>
      <c r="K10" s="42">
        <v>1</v>
      </c>
      <c r="L10" s="42">
        <v>0.52580000000000005</v>
      </c>
      <c r="M10" s="42">
        <v>453.7989</v>
      </c>
      <c r="N10" s="42">
        <v>1</v>
      </c>
      <c r="O10" s="42">
        <v>12757.5185</v>
      </c>
      <c r="P10" s="42">
        <v>110.69710000000001</v>
      </c>
      <c r="Q10" s="42">
        <v>1</v>
      </c>
      <c r="R10" s="42">
        <v>5795.5142999999998</v>
      </c>
      <c r="S10" s="42">
        <v>135.0076</v>
      </c>
      <c r="T10" s="42">
        <v>224.35679999999999</v>
      </c>
      <c r="U10" s="42">
        <v>9.0917999999999992</v>
      </c>
      <c r="V10" s="42">
        <v>1</v>
      </c>
      <c r="W10" s="42">
        <v>188.05619999999999</v>
      </c>
      <c r="X10" s="42">
        <v>1</v>
      </c>
      <c r="Y10" s="42">
        <v>38.927399999999999</v>
      </c>
      <c r="Z10" s="42">
        <v>87.165899999999993</v>
      </c>
      <c r="AA10" s="42">
        <v>211.67840000000001</v>
      </c>
      <c r="AB10" s="42">
        <v>4.0598999999999998</v>
      </c>
      <c r="AC10" s="42">
        <v>4</v>
      </c>
      <c r="AD10" s="42">
        <v>3</v>
      </c>
      <c r="AE10" s="42">
        <v>217.22300000000001</v>
      </c>
      <c r="AF10" s="42">
        <v>207.60810000000001</v>
      </c>
      <c r="AG10" s="42">
        <v>417.2407</v>
      </c>
      <c r="AH10" s="42">
        <v>130.9494</v>
      </c>
      <c r="AI10" s="42">
        <v>5.1985999999999999</v>
      </c>
      <c r="AJ10" s="42">
        <v>170.88079999999999</v>
      </c>
      <c r="AK10" s="42">
        <v>2526097664</v>
      </c>
      <c r="AL10" s="42">
        <v>2302875392</v>
      </c>
      <c r="AM10" s="42">
        <v>5500</v>
      </c>
      <c r="AN10" s="42">
        <v>22950</v>
      </c>
      <c r="AO10" s="33" t="s">
        <v>117</v>
      </c>
      <c r="AP10" s="33" t="s">
        <v>117</v>
      </c>
      <c r="AQ10" s="33" t="s">
        <v>117</v>
      </c>
      <c r="AR10" s="33" t="s">
        <v>117</v>
      </c>
      <c r="AS10" s="33" t="s">
        <v>117</v>
      </c>
      <c r="AT10" s="33" t="s">
        <v>117</v>
      </c>
      <c r="AU10" s="33" t="s">
        <v>117</v>
      </c>
      <c r="AV10" s="33" t="s">
        <v>117</v>
      </c>
      <c r="AW10" s="33" t="s">
        <v>117</v>
      </c>
      <c r="AX10" s="33" t="s">
        <v>117</v>
      </c>
      <c r="AY10" s="33" t="s">
        <v>117</v>
      </c>
      <c r="AZ10" s="33" t="s">
        <v>117</v>
      </c>
      <c r="BA10" s="42">
        <v>4</v>
      </c>
      <c r="BB10" s="42">
        <v>1</v>
      </c>
      <c r="BC10" s="42">
        <v>4</v>
      </c>
      <c r="BD10" s="42">
        <v>217.22300000000001</v>
      </c>
      <c r="BE10" s="42">
        <v>1</v>
      </c>
      <c r="BF10" s="42">
        <v>217.22300000000001</v>
      </c>
      <c r="BG10" s="42">
        <v>4</v>
      </c>
      <c r="BH10" s="42">
        <v>2526097664</v>
      </c>
      <c r="BI10" s="42">
        <v>2302875392</v>
      </c>
      <c r="BJ10" s="42">
        <v>2</v>
      </c>
      <c r="BK10" s="42">
        <v>0</v>
      </c>
      <c r="BL10" s="42">
        <v>0</v>
      </c>
      <c r="BM10" s="46" t="s">
        <v>117</v>
      </c>
      <c r="BN10" s="33"/>
      <c r="BO10" s="34"/>
    </row>
    <row r="11" spans="1:67" x14ac:dyDescent="0.25">
      <c r="A11" s="32">
        <v>8</v>
      </c>
      <c r="B11" s="42" t="s">
        <v>165</v>
      </c>
      <c r="C11" s="42">
        <v>0</v>
      </c>
      <c r="D11" s="57">
        <v>0</v>
      </c>
      <c r="E11" s="42">
        <v>-75.971699999999998</v>
      </c>
      <c r="F11" s="42">
        <v>-0.80910000000000004</v>
      </c>
      <c r="G11" s="42">
        <v>0</v>
      </c>
      <c r="H11" s="42">
        <v>51.758299999999998</v>
      </c>
      <c r="I11" s="42">
        <v>0</v>
      </c>
      <c r="J11" s="42">
        <v>0</v>
      </c>
      <c r="K11" s="42">
        <v>3</v>
      </c>
      <c r="L11" s="42">
        <v>1</v>
      </c>
      <c r="M11" s="42">
        <v>255.94319999999999</v>
      </c>
      <c r="N11" s="42">
        <v>1</v>
      </c>
      <c r="O11" s="42">
        <v>7478.2290000000003</v>
      </c>
      <c r="P11" s="42">
        <v>194.29079999999999</v>
      </c>
      <c r="Q11" s="42">
        <v>1</v>
      </c>
      <c r="R11" s="42">
        <v>2733.0684999999999</v>
      </c>
      <c r="S11" s="42">
        <v>146.70500000000001</v>
      </c>
      <c r="T11" s="42">
        <v>204.7354</v>
      </c>
      <c r="U11" s="42">
        <v>5.8163999999999998</v>
      </c>
      <c r="V11" s="42">
        <v>0.70179999999999998</v>
      </c>
      <c r="W11" s="42">
        <v>182.18</v>
      </c>
      <c r="X11" s="42">
        <v>0.30609999999999998</v>
      </c>
      <c r="Y11" s="42">
        <v>143.898</v>
      </c>
      <c r="Z11" s="42">
        <v>68.349900000000005</v>
      </c>
      <c r="AA11" s="42">
        <v>167.42779999999999</v>
      </c>
      <c r="AB11" s="42">
        <v>9.0058000000000007</v>
      </c>
      <c r="AC11" s="42">
        <v>2</v>
      </c>
      <c r="AD11" s="42">
        <v>3</v>
      </c>
      <c r="AE11" s="42">
        <v>198.54560000000001</v>
      </c>
      <c r="AF11" s="42">
        <v>117.0234</v>
      </c>
      <c r="AG11" s="42">
        <v>337.00209999999998</v>
      </c>
      <c r="AH11" s="42">
        <v>417.31650000000002</v>
      </c>
      <c r="AI11" s="42">
        <v>341.30079999999998</v>
      </c>
      <c r="AJ11" s="42">
        <v>448.06139999999999</v>
      </c>
      <c r="AK11" s="42">
        <v>4260311040</v>
      </c>
      <c r="AL11" s="42">
        <v>3035725312</v>
      </c>
      <c r="AM11" s="42">
        <v>6850</v>
      </c>
      <c r="AN11" s="42">
        <v>28100</v>
      </c>
      <c r="AO11" s="33" t="s">
        <v>117</v>
      </c>
      <c r="AP11" s="33" t="s">
        <v>117</v>
      </c>
      <c r="AQ11" s="33" t="s">
        <v>117</v>
      </c>
      <c r="AR11" s="33" t="s">
        <v>117</v>
      </c>
      <c r="AS11" s="33" t="s">
        <v>117</v>
      </c>
      <c r="AT11" s="33" t="s">
        <v>117</v>
      </c>
      <c r="AU11" s="33" t="s">
        <v>117</v>
      </c>
      <c r="AV11" s="33" t="s">
        <v>117</v>
      </c>
      <c r="AW11" s="33" t="s">
        <v>117</v>
      </c>
      <c r="AX11" s="33" t="s">
        <v>117</v>
      </c>
      <c r="AY11" s="33" t="s">
        <v>117</v>
      </c>
      <c r="AZ11" s="33" t="s">
        <v>117</v>
      </c>
      <c r="BA11" s="42">
        <v>1</v>
      </c>
      <c r="BB11" s="42">
        <v>1</v>
      </c>
      <c r="BC11" s="42">
        <v>1</v>
      </c>
      <c r="BD11" s="42">
        <v>448.06139999999999</v>
      </c>
      <c r="BE11" s="42">
        <v>1</v>
      </c>
      <c r="BF11" s="42">
        <v>448.06139999999999</v>
      </c>
      <c r="BG11" s="42">
        <v>1</v>
      </c>
      <c r="BH11" s="42">
        <v>6850</v>
      </c>
      <c r="BI11" s="42">
        <v>3035725312</v>
      </c>
      <c r="BJ11" s="42">
        <v>0</v>
      </c>
      <c r="BK11" s="42">
        <v>1</v>
      </c>
      <c r="BL11" s="42">
        <v>0</v>
      </c>
      <c r="BM11" s="46" t="s">
        <v>117</v>
      </c>
      <c r="BN11" s="33"/>
      <c r="BO11" s="34"/>
    </row>
    <row r="12" spans="1:67" x14ac:dyDescent="0.25">
      <c r="A12" s="32">
        <v>9</v>
      </c>
      <c r="B12" s="42" t="s">
        <v>166</v>
      </c>
      <c r="C12" s="42">
        <v>0</v>
      </c>
      <c r="D12" s="57">
        <v>16383.75</v>
      </c>
      <c r="E12" s="42">
        <v>-76.790499999999994</v>
      </c>
      <c r="F12" s="42">
        <v>-8.3623999999999992</v>
      </c>
      <c r="G12" s="42">
        <v>0</v>
      </c>
      <c r="H12" s="42">
        <v>51.438099999999999</v>
      </c>
      <c r="I12" s="42">
        <v>0</v>
      </c>
      <c r="J12" s="42">
        <v>2</v>
      </c>
      <c r="K12" s="42">
        <v>2</v>
      </c>
      <c r="L12" s="42">
        <v>0.42030000000000001</v>
      </c>
      <c r="M12" s="42">
        <v>395.05009999999999</v>
      </c>
      <c r="N12" s="42">
        <v>1</v>
      </c>
      <c r="O12" s="42">
        <v>146.03700000000001</v>
      </c>
      <c r="P12" s="42">
        <v>75.109200000000001</v>
      </c>
      <c r="Q12" s="42">
        <v>0.55200000000000005</v>
      </c>
      <c r="R12" s="42">
        <v>11399.382100000001</v>
      </c>
      <c r="S12" s="42">
        <v>166.95410000000001</v>
      </c>
      <c r="T12" s="42">
        <v>173.50389999999999</v>
      </c>
      <c r="U12" s="42">
        <v>4.3304999999999998</v>
      </c>
      <c r="V12" s="42">
        <v>0.46939999999999998</v>
      </c>
      <c r="W12" s="42">
        <v>180.16749999999999</v>
      </c>
      <c r="X12" s="42">
        <v>0.74739999999999995</v>
      </c>
      <c r="Y12" s="42">
        <v>93.768000000000001</v>
      </c>
      <c r="Z12" s="42">
        <v>188.28530000000001</v>
      </c>
      <c r="AA12" s="42">
        <v>166.33029999999999</v>
      </c>
      <c r="AB12" s="42">
        <v>4.3562000000000003</v>
      </c>
      <c r="AC12" s="42">
        <v>5</v>
      </c>
      <c r="AD12" s="42">
        <v>5</v>
      </c>
      <c r="AE12" s="42">
        <v>238.89420000000001</v>
      </c>
      <c r="AF12" s="42">
        <v>0.59840000000000004</v>
      </c>
      <c r="AG12" s="42">
        <v>488.17090000000002</v>
      </c>
      <c r="AH12" s="42">
        <v>266.24380000000002</v>
      </c>
      <c r="AI12" s="42">
        <v>38.332599999999999</v>
      </c>
      <c r="AJ12" s="42">
        <v>98.067099999999996</v>
      </c>
      <c r="AK12" s="42">
        <v>3264295680</v>
      </c>
      <c r="AL12" s="42">
        <v>1346521344</v>
      </c>
      <c r="AM12" s="42">
        <v>8200</v>
      </c>
      <c r="AN12" s="42">
        <v>33250</v>
      </c>
      <c r="AO12" s="33" t="s">
        <v>117</v>
      </c>
      <c r="AP12" s="33" t="s">
        <v>117</v>
      </c>
      <c r="AQ12" s="33" t="s">
        <v>117</v>
      </c>
      <c r="AR12" s="33" t="s">
        <v>117</v>
      </c>
      <c r="AS12" s="33" t="s">
        <v>117</v>
      </c>
      <c r="AT12" s="33" t="s">
        <v>117</v>
      </c>
      <c r="AU12" s="33" t="s">
        <v>117</v>
      </c>
      <c r="AV12" s="33" t="s">
        <v>117</v>
      </c>
      <c r="AW12" s="33" t="s">
        <v>117</v>
      </c>
      <c r="AX12" s="33" t="s">
        <v>117</v>
      </c>
      <c r="AY12" s="33" t="s">
        <v>117</v>
      </c>
      <c r="AZ12" s="33" t="s">
        <v>117</v>
      </c>
      <c r="BA12" s="42">
        <v>0</v>
      </c>
      <c r="BB12" s="42">
        <v>0.42030000000000001</v>
      </c>
      <c r="BC12" s="42">
        <v>0</v>
      </c>
      <c r="BD12" s="42">
        <v>0.59840000000000004</v>
      </c>
      <c r="BE12" s="42">
        <v>0.42030000000000001</v>
      </c>
      <c r="BF12" s="42">
        <v>0.59840000000000004</v>
      </c>
      <c r="BG12" s="42">
        <v>0</v>
      </c>
      <c r="BH12" s="42">
        <v>3264295680</v>
      </c>
      <c r="BI12" s="42">
        <v>1346521344</v>
      </c>
      <c r="BJ12" s="42">
        <v>2</v>
      </c>
      <c r="BK12" s="42">
        <v>0</v>
      </c>
      <c r="BL12" s="42">
        <v>0</v>
      </c>
      <c r="BM12" s="46" t="s">
        <v>117</v>
      </c>
      <c r="BN12" s="33"/>
      <c r="BO12" s="34"/>
    </row>
    <row r="13" spans="1:67" x14ac:dyDescent="0.25">
      <c r="A13" s="32">
        <v>10</v>
      </c>
      <c r="B13" s="42" t="s">
        <v>167</v>
      </c>
      <c r="C13" s="42">
        <v>0</v>
      </c>
      <c r="D13" s="57">
        <v>63.957099999999997</v>
      </c>
      <c r="E13" s="42">
        <v>-65.0715</v>
      </c>
      <c r="F13" s="42">
        <v>-1.3767</v>
      </c>
      <c r="G13" s="42">
        <v>0</v>
      </c>
      <c r="H13" s="42">
        <v>143.61179999999999</v>
      </c>
      <c r="I13" s="42">
        <v>0</v>
      </c>
      <c r="J13" s="42">
        <v>3</v>
      </c>
      <c r="K13" s="42">
        <v>3</v>
      </c>
      <c r="L13" s="42">
        <v>0.45240000000000002</v>
      </c>
      <c r="M13" s="42">
        <v>308.00420000000003</v>
      </c>
      <c r="N13" s="42">
        <v>1</v>
      </c>
      <c r="O13" s="42">
        <v>8704.9981000000007</v>
      </c>
      <c r="P13" s="42">
        <v>125.79300000000001</v>
      </c>
      <c r="Q13" s="42">
        <v>0.93920000000000003</v>
      </c>
      <c r="R13" s="42">
        <v>10516.5908</v>
      </c>
      <c r="S13" s="42">
        <v>128.6207</v>
      </c>
      <c r="T13" s="42">
        <v>145.29839999999999</v>
      </c>
      <c r="U13" s="42">
        <v>9.0372000000000003</v>
      </c>
      <c r="V13" s="42">
        <v>0.50209999999999999</v>
      </c>
      <c r="W13" s="42">
        <v>31.565999999999999</v>
      </c>
      <c r="X13" s="42">
        <v>1</v>
      </c>
      <c r="Y13" s="42">
        <v>40.250399999999999</v>
      </c>
      <c r="Z13" s="42">
        <v>127.95480000000001</v>
      </c>
      <c r="AA13" s="42">
        <v>53.483199999999997</v>
      </c>
      <c r="AB13" s="42">
        <v>3.5526</v>
      </c>
      <c r="AC13" s="42">
        <v>4</v>
      </c>
      <c r="AD13" s="42">
        <v>4</v>
      </c>
      <c r="AE13" s="42">
        <v>133.59309999999999</v>
      </c>
      <c r="AF13" s="42">
        <v>230.85470000000001</v>
      </c>
      <c r="AG13" s="42">
        <v>271.9991</v>
      </c>
      <c r="AH13" s="42">
        <v>317.21960000000001</v>
      </c>
      <c r="AI13" s="42">
        <v>302.61590000000001</v>
      </c>
      <c r="AJ13" s="42">
        <v>423.45080000000002</v>
      </c>
      <c r="AK13" s="42">
        <v>1953966592</v>
      </c>
      <c r="AL13" s="42">
        <v>2470176768</v>
      </c>
      <c r="AM13" s="42">
        <v>9550</v>
      </c>
      <c r="AN13" s="42">
        <v>38400</v>
      </c>
      <c r="AO13" s="33" t="s">
        <v>117</v>
      </c>
      <c r="AP13" s="33" t="s">
        <v>117</v>
      </c>
      <c r="AQ13" s="33" t="s">
        <v>117</v>
      </c>
      <c r="AR13" s="33" t="s">
        <v>117</v>
      </c>
      <c r="AS13" s="33" t="s">
        <v>117</v>
      </c>
      <c r="AT13" s="33" t="s">
        <v>117</v>
      </c>
      <c r="AU13" s="33" t="s">
        <v>117</v>
      </c>
      <c r="AV13" s="33" t="s">
        <v>117</v>
      </c>
      <c r="AW13" s="33" t="s">
        <v>117</v>
      </c>
      <c r="AX13" s="33" t="s">
        <v>117</v>
      </c>
      <c r="AY13" s="33" t="s">
        <v>117</v>
      </c>
      <c r="AZ13" s="33" t="s">
        <v>117</v>
      </c>
      <c r="BA13" s="42">
        <v>0</v>
      </c>
      <c r="BB13" s="42">
        <v>0.45240000000000002</v>
      </c>
      <c r="BC13" s="42">
        <v>0</v>
      </c>
      <c r="BD13" s="42">
        <v>230.85470000000001</v>
      </c>
      <c r="BE13" s="42">
        <v>0.45240000000000002</v>
      </c>
      <c r="BF13" s="42">
        <v>230.85470000000001</v>
      </c>
      <c r="BG13" s="42">
        <v>0</v>
      </c>
      <c r="BH13" s="42">
        <v>1953966592</v>
      </c>
      <c r="BI13" s="42">
        <v>2470176768</v>
      </c>
      <c r="BJ13" s="42">
        <v>3</v>
      </c>
      <c r="BK13" s="42">
        <v>0</v>
      </c>
      <c r="BL13" s="42">
        <v>0</v>
      </c>
      <c r="BM13" s="46" t="s">
        <v>117</v>
      </c>
      <c r="BN13" s="33"/>
      <c r="BO13" s="34"/>
    </row>
    <row r="14" spans="1:67" x14ac:dyDescent="0.25">
      <c r="A14" s="32">
        <v>11</v>
      </c>
      <c r="B14" s="42" t="s">
        <v>168</v>
      </c>
      <c r="C14" s="42">
        <v>0</v>
      </c>
      <c r="D14" s="42">
        <v>3.9523000000000001</v>
      </c>
      <c r="E14" s="57">
        <v>-100</v>
      </c>
      <c r="F14" s="42">
        <v>-2.8731</v>
      </c>
      <c r="G14" s="42">
        <v>0</v>
      </c>
      <c r="H14" s="42">
        <v>133.63919999999999</v>
      </c>
      <c r="I14" s="42">
        <v>3</v>
      </c>
      <c r="J14" s="42">
        <v>0</v>
      </c>
      <c r="K14" s="42">
        <v>5</v>
      </c>
      <c r="L14" s="42">
        <v>1</v>
      </c>
      <c r="M14" s="42">
        <v>173.13630000000001</v>
      </c>
      <c r="N14" s="42">
        <v>1</v>
      </c>
      <c r="O14" s="42">
        <v>10028.3506</v>
      </c>
      <c r="P14" s="42">
        <v>27.512599999999999</v>
      </c>
      <c r="Q14" s="42">
        <v>0.66849999999999998</v>
      </c>
      <c r="R14" s="42">
        <v>14620.031499999999</v>
      </c>
      <c r="S14" s="42">
        <v>13.0671</v>
      </c>
      <c r="T14" s="42">
        <v>15.1769</v>
      </c>
      <c r="U14" s="42">
        <v>7.2324000000000002</v>
      </c>
      <c r="V14" s="42">
        <v>1</v>
      </c>
      <c r="W14" s="42">
        <v>174.97479999999999</v>
      </c>
      <c r="X14" s="42">
        <v>0.34279999999999999</v>
      </c>
      <c r="Y14" s="42">
        <v>46.2134</v>
      </c>
      <c r="Z14" s="42">
        <v>151.70660000000001</v>
      </c>
      <c r="AA14" s="42">
        <v>34.505899999999997</v>
      </c>
      <c r="AB14" s="42">
        <v>2.7833000000000001</v>
      </c>
      <c r="AC14" s="42">
        <v>1</v>
      </c>
      <c r="AD14" s="42">
        <v>0</v>
      </c>
      <c r="AE14" s="42">
        <v>496.18060000000003</v>
      </c>
      <c r="AF14" s="42">
        <v>241.51079999999999</v>
      </c>
      <c r="AG14" s="42">
        <v>302.43</v>
      </c>
      <c r="AH14" s="42">
        <v>212.6884</v>
      </c>
      <c r="AI14" s="42">
        <v>34.848799999999997</v>
      </c>
      <c r="AJ14" s="42">
        <v>462.76569999999998</v>
      </c>
      <c r="AK14" s="42">
        <v>2405516544</v>
      </c>
      <c r="AL14" s="42">
        <v>998968064</v>
      </c>
      <c r="AM14" s="42">
        <v>10900</v>
      </c>
      <c r="AN14" s="42">
        <v>43550</v>
      </c>
      <c r="AO14" s="33" t="s">
        <v>117</v>
      </c>
      <c r="AP14" s="33" t="s">
        <v>117</v>
      </c>
      <c r="AQ14" s="33" t="s">
        <v>117</v>
      </c>
      <c r="AR14" s="33" t="s">
        <v>117</v>
      </c>
      <c r="AS14" s="33" t="s">
        <v>117</v>
      </c>
      <c r="AT14" s="33" t="s">
        <v>117</v>
      </c>
      <c r="AU14" s="33" t="s">
        <v>117</v>
      </c>
      <c r="AV14" s="33" t="s">
        <v>117</v>
      </c>
      <c r="AW14" s="33" t="s">
        <v>117</v>
      </c>
      <c r="AX14" s="33" t="s">
        <v>117</v>
      </c>
      <c r="AY14" s="33" t="s">
        <v>117</v>
      </c>
      <c r="AZ14" s="33" t="s">
        <v>117</v>
      </c>
      <c r="BA14" s="42">
        <v>0</v>
      </c>
      <c r="BB14" s="42">
        <v>1</v>
      </c>
      <c r="BC14" s="42">
        <v>0</v>
      </c>
      <c r="BD14" s="42">
        <v>1</v>
      </c>
      <c r="BE14" s="42">
        <v>1</v>
      </c>
      <c r="BF14" s="42">
        <v>1</v>
      </c>
      <c r="BG14" s="42">
        <v>0</v>
      </c>
      <c r="BH14" s="42">
        <v>2405516544</v>
      </c>
      <c r="BI14" s="42">
        <v>998968064</v>
      </c>
      <c r="BJ14" s="42">
        <v>5</v>
      </c>
      <c r="BK14" s="42">
        <v>0</v>
      </c>
      <c r="BL14" s="42">
        <v>1</v>
      </c>
      <c r="BM14" s="46" t="s">
        <v>117</v>
      </c>
      <c r="BN14" s="33"/>
      <c r="BO14" s="34"/>
    </row>
    <row r="15" spans="1:67" x14ac:dyDescent="0.25">
      <c r="A15" s="32">
        <v>12</v>
      </c>
      <c r="B15" s="42" t="s">
        <v>169</v>
      </c>
      <c r="C15" s="42">
        <v>0</v>
      </c>
      <c r="D15" s="42">
        <v>8795.2366000000002</v>
      </c>
      <c r="E15" s="57">
        <v>100</v>
      </c>
      <c r="F15" s="42">
        <v>4.9215999999999998</v>
      </c>
      <c r="G15" s="42">
        <v>1</v>
      </c>
      <c r="H15" s="42">
        <v>155.34950000000001</v>
      </c>
      <c r="I15" s="42">
        <v>3</v>
      </c>
      <c r="J15" s="42">
        <v>2</v>
      </c>
      <c r="K15" s="42">
        <v>3</v>
      </c>
      <c r="L15" s="42">
        <v>1</v>
      </c>
      <c r="M15" s="42">
        <v>482.20089999999999</v>
      </c>
      <c r="N15" s="42">
        <v>1</v>
      </c>
      <c r="O15" s="42">
        <v>14149.6633</v>
      </c>
      <c r="P15" s="42">
        <v>148.4785</v>
      </c>
      <c r="Q15" s="42">
        <v>1</v>
      </c>
      <c r="R15" s="42">
        <v>13305.212600000001</v>
      </c>
      <c r="S15" s="42">
        <v>134.32660000000001</v>
      </c>
      <c r="T15" s="42">
        <v>30.067900000000002</v>
      </c>
      <c r="U15" s="42">
        <v>2.5133999999999999</v>
      </c>
      <c r="V15" s="42">
        <v>1</v>
      </c>
      <c r="W15" s="42">
        <v>136.8725</v>
      </c>
      <c r="X15" s="42">
        <v>1</v>
      </c>
      <c r="Y15" s="42">
        <v>178.0316</v>
      </c>
      <c r="Z15" s="42">
        <v>137.60810000000001</v>
      </c>
      <c r="AA15" s="42">
        <v>18.8064</v>
      </c>
      <c r="AB15" s="42">
        <v>2.9447999999999999</v>
      </c>
      <c r="AC15" s="42">
        <v>4</v>
      </c>
      <c r="AD15" s="42">
        <v>0</v>
      </c>
      <c r="AE15" s="42">
        <v>489.30939999999998</v>
      </c>
      <c r="AF15" s="42">
        <v>77.561099999999996</v>
      </c>
      <c r="AG15" s="42">
        <v>280.93419999999998</v>
      </c>
      <c r="AH15" s="42">
        <v>349.78680000000003</v>
      </c>
      <c r="AI15" s="42">
        <v>483.84519999999998</v>
      </c>
      <c r="AJ15" s="42">
        <v>272.517</v>
      </c>
      <c r="AK15" s="42">
        <v>483324928</v>
      </c>
      <c r="AL15" s="42">
        <v>3739853312</v>
      </c>
      <c r="AM15" s="42">
        <v>12250</v>
      </c>
      <c r="AN15" s="42">
        <v>48700</v>
      </c>
      <c r="AO15" s="33" t="s">
        <v>117</v>
      </c>
      <c r="AP15" s="33" t="s">
        <v>117</v>
      </c>
      <c r="AQ15" s="33" t="s">
        <v>117</v>
      </c>
      <c r="AR15" s="33" t="s">
        <v>117</v>
      </c>
      <c r="AS15" s="33" t="s">
        <v>117</v>
      </c>
      <c r="AT15" s="33" t="s">
        <v>117</v>
      </c>
      <c r="AU15" s="33" t="s">
        <v>117</v>
      </c>
      <c r="AV15" s="33" t="s">
        <v>117</v>
      </c>
      <c r="AW15" s="33" t="s">
        <v>117</v>
      </c>
      <c r="AX15" s="33" t="s">
        <v>117</v>
      </c>
      <c r="AY15" s="33" t="s">
        <v>117</v>
      </c>
      <c r="AZ15" s="33" t="s">
        <v>117</v>
      </c>
      <c r="BA15" s="42">
        <v>4</v>
      </c>
      <c r="BB15" s="42">
        <v>1</v>
      </c>
      <c r="BC15" s="42">
        <v>4</v>
      </c>
      <c r="BD15" s="42">
        <v>489.30939999999998</v>
      </c>
      <c r="BE15" s="42">
        <v>1</v>
      </c>
      <c r="BF15" s="42">
        <v>489.30939999999998</v>
      </c>
      <c r="BG15" s="42">
        <v>4</v>
      </c>
      <c r="BH15" s="42">
        <v>483324928</v>
      </c>
      <c r="BI15" s="42">
        <v>3739853312</v>
      </c>
      <c r="BJ15" s="42">
        <v>2</v>
      </c>
      <c r="BK15" s="42">
        <v>0</v>
      </c>
      <c r="BL15" s="42">
        <v>0</v>
      </c>
      <c r="BM15" s="46" t="s">
        <v>117</v>
      </c>
      <c r="BN15" s="33"/>
      <c r="BO15" s="34"/>
    </row>
    <row r="16" spans="1:67" x14ac:dyDescent="0.25">
      <c r="A16" s="32">
        <v>13</v>
      </c>
      <c r="B16" s="42" t="s">
        <v>170</v>
      </c>
      <c r="C16" s="42">
        <v>0</v>
      </c>
      <c r="D16" s="42">
        <v>10765.6813</v>
      </c>
      <c r="E16" s="57">
        <v>32.22</v>
      </c>
      <c r="F16" s="42">
        <v>-3.4419</v>
      </c>
      <c r="G16" s="42">
        <v>1</v>
      </c>
      <c r="H16" s="42">
        <v>152.52799999999999</v>
      </c>
      <c r="I16" s="42">
        <v>3</v>
      </c>
      <c r="J16" s="42">
        <v>0</v>
      </c>
      <c r="K16" s="42">
        <v>5</v>
      </c>
      <c r="L16" s="42">
        <v>1</v>
      </c>
      <c r="M16" s="42">
        <v>185.99299999999999</v>
      </c>
      <c r="N16" s="42">
        <v>0</v>
      </c>
      <c r="O16" s="42">
        <v>5160.8797999999997</v>
      </c>
      <c r="P16" s="42">
        <v>143.89420000000001</v>
      </c>
      <c r="Q16" s="42">
        <v>1</v>
      </c>
      <c r="R16" s="42">
        <v>3720.0502000000001</v>
      </c>
      <c r="S16" s="42">
        <v>182.9392</v>
      </c>
      <c r="T16" s="42">
        <v>154.87819999999999</v>
      </c>
      <c r="U16" s="42">
        <v>10</v>
      </c>
      <c r="V16" s="42">
        <v>0.93279999999999996</v>
      </c>
      <c r="W16" s="42">
        <v>16.994399999999999</v>
      </c>
      <c r="X16" s="42">
        <v>0.71389999999999998</v>
      </c>
      <c r="Y16" s="42">
        <v>74.642700000000005</v>
      </c>
      <c r="Z16" s="42">
        <v>46.120100000000001</v>
      </c>
      <c r="AA16" s="42">
        <v>205.3612</v>
      </c>
      <c r="AB16" s="42">
        <v>10</v>
      </c>
      <c r="AC16" s="42">
        <v>3</v>
      </c>
      <c r="AD16" s="42">
        <v>2</v>
      </c>
      <c r="AE16" s="42">
        <v>116.1185</v>
      </c>
      <c r="AF16" s="42">
        <v>57.473399999999998</v>
      </c>
      <c r="AG16" s="42">
        <v>480.39940000000001</v>
      </c>
      <c r="AH16" s="42">
        <v>60.995800000000003</v>
      </c>
      <c r="AI16" s="42">
        <v>43.239100000000001</v>
      </c>
      <c r="AJ16" s="42">
        <v>152.2938</v>
      </c>
      <c r="AK16" s="42">
        <v>2315380480</v>
      </c>
      <c r="AL16" s="42">
        <v>1340726528</v>
      </c>
      <c r="AM16" s="42">
        <v>13600</v>
      </c>
      <c r="AN16" s="42">
        <v>53850</v>
      </c>
      <c r="AO16" s="33" t="s">
        <v>117</v>
      </c>
      <c r="AP16" s="33" t="s">
        <v>117</v>
      </c>
      <c r="AQ16" s="33" t="s">
        <v>117</v>
      </c>
      <c r="AR16" s="33" t="s">
        <v>117</v>
      </c>
      <c r="AS16" s="33" t="s">
        <v>117</v>
      </c>
      <c r="AT16" s="33" t="s">
        <v>117</v>
      </c>
      <c r="AU16" s="33" t="s">
        <v>117</v>
      </c>
      <c r="AV16" s="33" t="s">
        <v>117</v>
      </c>
      <c r="AW16" s="33" t="s">
        <v>117</v>
      </c>
      <c r="AX16" s="33" t="s">
        <v>117</v>
      </c>
      <c r="AY16" s="33" t="s">
        <v>117</v>
      </c>
      <c r="AZ16" s="33" t="s">
        <v>117</v>
      </c>
      <c r="BA16" s="42">
        <v>5</v>
      </c>
      <c r="BB16" s="42">
        <v>1</v>
      </c>
      <c r="BC16" s="42">
        <v>5</v>
      </c>
      <c r="BD16" s="42">
        <v>116.1185</v>
      </c>
      <c r="BE16" s="42">
        <v>1</v>
      </c>
      <c r="BF16" s="42">
        <v>116.1185</v>
      </c>
      <c r="BG16" s="42">
        <v>5</v>
      </c>
      <c r="BH16" s="42">
        <v>2315380480</v>
      </c>
      <c r="BI16" s="42">
        <v>1340726528</v>
      </c>
      <c r="BJ16" s="42">
        <v>0</v>
      </c>
      <c r="BK16" s="42">
        <v>0</v>
      </c>
      <c r="BL16" s="42">
        <v>0</v>
      </c>
      <c r="BM16" s="46" t="s">
        <v>117</v>
      </c>
      <c r="BN16" s="33"/>
      <c r="BO16" s="34"/>
    </row>
    <row r="17" spans="1:67" x14ac:dyDescent="0.25">
      <c r="A17" s="32">
        <v>14</v>
      </c>
      <c r="B17" s="42" t="s">
        <v>171</v>
      </c>
      <c r="C17" s="42">
        <v>0</v>
      </c>
      <c r="D17" s="42">
        <v>8913.5329999999994</v>
      </c>
      <c r="E17" s="57">
        <v>0</v>
      </c>
      <c r="F17" s="42">
        <v>6.7742000000000004</v>
      </c>
      <c r="G17" s="42">
        <v>1</v>
      </c>
      <c r="H17" s="42">
        <v>62.001600000000003</v>
      </c>
      <c r="I17" s="42">
        <v>0</v>
      </c>
      <c r="J17" s="42">
        <v>0</v>
      </c>
      <c r="K17" s="42">
        <v>4</v>
      </c>
      <c r="L17" s="42">
        <v>0.20039999999999999</v>
      </c>
      <c r="M17" s="42">
        <v>152.1523</v>
      </c>
      <c r="N17" s="42">
        <v>0</v>
      </c>
      <c r="O17" s="42">
        <v>4592.97</v>
      </c>
      <c r="P17" s="42">
        <v>175.64429999999999</v>
      </c>
      <c r="Q17" s="42">
        <v>1</v>
      </c>
      <c r="R17" s="42">
        <v>14693.723400000001</v>
      </c>
      <c r="S17" s="42">
        <v>194.3657</v>
      </c>
      <c r="T17" s="42">
        <v>134.81010000000001</v>
      </c>
      <c r="U17" s="42">
        <v>3.7010000000000001</v>
      </c>
      <c r="V17" s="42">
        <v>0.98150000000000004</v>
      </c>
      <c r="W17" s="42">
        <v>61.621699999999997</v>
      </c>
      <c r="X17" s="42">
        <v>0.9022</v>
      </c>
      <c r="Y17" s="42">
        <v>99.049400000000006</v>
      </c>
      <c r="Z17" s="42">
        <v>5.8715000000000002</v>
      </c>
      <c r="AA17" s="42">
        <v>215.64019999999999</v>
      </c>
      <c r="AB17" s="42">
        <v>10</v>
      </c>
      <c r="AC17" s="42">
        <v>0</v>
      </c>
      <c r="AD17" s="42">
        <v>2</v>
      </c>
      <c r="AE17" s="42">
        <v>382.19839999999999</v>
      </c>
      <c r="AF17" s="42">
        <v>369.99029999999999</v>
      </c>
      <c r="AG17" s="42">
        <v>447.56470000000002</v>
      </c>
      <c r="AH17" s="42">
        <v>278.10019999999997</v>
      </c>
      <c r="AI17" s="42">
        <v>117.3017</v>
      </c>
      <c r="AJ17" s="42">
        <v>300.51499999999999</v>
      </c>
      <c r="AK17" s="42">
        <v>4059368960</v>
      </c>
      <c r="AL17" s="42">
        <v>1536502784</v>
      </c>
      <c r="AM17" s="42">
        <v>14950</v>
      </c>
      <c r="AN17" s="42">
        <v>59000</v>
      </c>
      <c r="AO17" s="33" t="s">
        <v>117</v>
      </c>
      <c r="AP17" s="33" t="s">
        <v>117</v>
      </c>
      <c r="AQ17" s="33" t="s">
        <v>117</v>
      </c>
      <c r="AR17" s="33" t="s">
        <v>117</v>
      </c>
      <c r="AS17" s="33" t="s">
        <v>117</v>
      </c>
      <c r="AT17" s="33" t="s">
        <v>117</v>
      </c>
      <c r="AU17" s="33" t="s">
        <v>117</v>
      </c>
      <c r="AV17" s="33" t="s">
        <v>117</v>
      </c>
      <c r="AW17" s="33" t="s">
        <v>117</v>
      </c>
      <c r="AX17" s="33" t="s">
        <v>117</v>
      </c>
      <c r="AY17" s="33" t="s">
        <v>117</v>
      </c>
      <c r="AZ17" s="33" t="s">
        <v>117</v>
      </c>
      <c r="BA17" s="42">
        <v>5</v>
      </c>
      <c r="BB17" s="42">
        <v>1</v>
      </c>
      <c r="BC17" s="42">
        <v>5</v>
      </c>
      <c r="BD17" s="42">
        <v>382.19839999999999</v>
      </c>
      <c r="BE17" s="42">
        <v>1</v>
      </c>
      <c r="BF17" s="42">
        <v>382.19839999999999</v>
      </c>
      <c r="BG17" s="42">
        <v>5</v>
      </c>
      <c r="BH17" s="42">
        <v>4059368960</v>
      </c>
      <c r="BI17" s="42">
        <v>1536502784</v>
      </c>
      <c r="BJ17" s="42">
        <v>0</v>
      </c>
      <c r="BK17" s="42">
        <v>0</v>
      </c>
      <c r="BL17" s="42">
        <v>0</v>
      </c>
      <c r="BM17" s="46" t="s">
        <v>117</v>
      </c>
      <c r="BN17" s="33"/>
      <c r="BO17" s="34"/>
    </row>
    <row r="18" spans="1:67" x14ac:dyDescent="0.25">
      <c r="A18" s="32">
        <v>15</v>
      </c>
      <c r="B18" s="42" t="s">
        <v>172</v>
      </c>
      <c r="C18" s="42">
        <v>0</v>
      </c>
      <c r="D18" s="42">
        <v>13556.936</v>
      </c>
      <c r="E18" s="57">
        <v>-60.33</v>
      </c>
      <c r="F18" s="42">
        <v>-6.8131000000000004</v>
      </c>
      <c r="G18" s="42">
        <v>0</v>
      </c>
      <c r="H18" s="42">
        <v>165.7415</v>
      </c>
      <c r="I18" s="42">
        <v>4</v>
      </c>
      <c r="J18" s="42">
        <v>1</v>
      </c>
      <c r="K18" s="42">
        <v>2</v>
      </c>
      <c r="L18" s="42">
        <v>1</v>
      </c>
      <c r="M18" s="42">
        <v>109.58620000000001</v>
      </c>
      <c r="N18" s="42">
        <v>1</v>
      </c>
      <c r="O18" s="42">
        <v>10047.8711</v>
      </c>
      <c r="P18" s="42">
        <v>164.58969999999999</v>
      </c>
      <c r="Q18" s="42">
        <v>0.41599999999999998</v>
      </c>
      <c r="R18" s="42">
        <v>13613.1612</v>
      </c>
      <c r="S18" s="42">
        <v>127.9808</v>
      </c>
      <c r="T18" s="42">
        <v>57.488199999999999</v>
      </c>
      <c r="U18" s="42">
        <v>7.2808000000000002</v>
      </c>
      <c r="V18" s="42">
        <v>1</v>
      </c>
      <c r="W18" s="42">
        <v>106.4487</v>
      </c>
      <c r="X18" s="42">
        <v>1</v>
      </c>
      <c r="Y18" s="42">
        <v>116.7972</v>
      </c>
      <c r="Z18" s="42">
        <v>2.9430999999999998</v>
      </c>
      <c r="AA18" s="42">
        <v>28.035499999999999</v>
      </c>
      <c r="AB18" s="42">
        <v>5.0918999999999999</v>
      </c>
      <c r="AC18" s="42">
        <v>2</v>
      </c>
      <c r="AD18" s="42">
        <v>5</v>
      </c>
      <c r="AE18" s="42">
        <v>234.75559999999999</v>
      </c>
      <c r="AF18" s="42">
        <v>21.846900000000002</v>
      </c>
      <c r="AG18" s="42">
        <v>446.00490000000002</v>
      </c>
      <c r="AH18" s="42">
        <v>416.26089999999999</v>
      </c>
      <c r="AI18" s="42">
        <v>226.00020000000001</v>
      </c>
      <c r="AJ18" s="42">
        <v>336.66520000000003</v>
      </c>
      <c r="AK18" s="42">
        <v>3682048256</v>
      </c>
      <c r="AL18" s="42">
        <v>3431939840</v>
      </c>
      <c r="AM18" s="42">
        <v>16300</v>
      </c>
      <c r="AN18" s="42">
        <v>64150</v>
      </c>
      <c r="AO18" s="33" t="s">
        <v>117</v>
      </c>
      <c r="AP18" s="33" t="s">
        <v>117</v>
      </c>
      <c r="AQ18" s="33" t="s">
        <v>117</v>
      </c>
      <c r="AR18" s="33" t="s">
        <v>117</v>
      </c>
      <c r="AS18" s="33" t="s">
        <v>117</v>
      </c>
      <c r="AT18" s="33" t="s">
        <v>117</v>
      </c>
      <c r="AU18" s="33" t="s">
        <v>117</v>
      </c>
      <c r="AV18" s="33" t="s">
        <v>117</v>
      </c>
      <c r="AW18" s="33" t="s">
        <v>117</v>
      </c>
      <c r="AX18" s="33" t="s">
        <v>117</v>
      </c>
      <c r="AY18" s="33" t="s">
        <v>117</v>
      </c>
      <c r="AZ18" s="33" t="s">
        <v>117</v>
      </c>
      <c r="BA18" s="42">
        <v>4</v>
      </c>
      <c r="BB18" s="42">
        <v>1</v>
      </c>
      <c r="BC18" s="42">
        <v>4</v>
      </c>
      <c r="BD18" s="42">
        <v>234.75559999999999</v>
      </c>
      <c r="BE18" s="42">
        <v>1</v>
      </c>
      <c r="BF18" s="42">
        <v>234.75559999999999</v>
      </c>
      <c r="BG18" s="42">
        <v>4</v>
      </c>
      <c r="BH18" s="42">
        <v>3682048256</v>
      </c>
      <c r="BI18" s="42">
        <v>3431939840</v>
      </c>
      <c r="BJ18" s="42">
        <v>1</v>
      </c>
      <c r="BK18" s="42">
        <v>0</v>
      </c>
      <c r="BL18" s="42">
        <v>0</v>
      </c>
      <c r="BM18" s="46" t="s">
        <v>117</v>
      </c>
      <c r="BN18" s="33"/>
      <c r="BO18" s="34"/>
    </row>
    <row r="19" spans="1:67" x14ac:dyDescent="0.25">
      <c r="A19" s="32">
        <v>16</v>
      </c>
      <c r="B19" s="42" t="s">
        <v>173</v>
      </c>
      <c r="C19" s="42">
        <v>1</v>
      </c>
      <c r="D19" s="42">
        <v>1341.8055999999999</v>
      </c>
      <c r="E19" s="42">
        <v>-5.9309000000000003</v>
      </c>
      <c r="F19" s="57">
        <v>-10</v>
      </c>
      <c r="G19" s="42">
        <v>1</v>
      </c>
      <c r="H19" s="42">
        <v>144.47739999999999</v>
      </c>
      <c r="I19" s="42">
        <v>1</v>
      </c>
      <c r="J19" s="42">
        <v>5</v>
      </c>
      <c r="K19" s="42">
        <v>4</v>
      </c>
      <c r="L19" s="42">
        <v>0.76519999999999999</v>
      </c>
      <c r="M19" s="42">
        <v>387.79309999999998</v>
      </c>
      <c r="N19" s="42">
        <v>0</v>
      </c>
      <c r="O19" s="42">
        <v>5982.7308999999996</v>
      </c>
      <c r="P19" s="42">
        <v>133.60390000000001</v>
      </c>
      <c r="Q19" s="42">
        <v>0.2235</v>
      </c>
      <c r="R19" s="42">
        <v>2233.1783999999998</v>
      </c>
      <c r="S19" s="42">
        <v>109.3895</v>
      </c>
      <c r="T19" s="42">
        <v>184.34479999999999</v>
      </c>
      <c r="U19" s="42">
        <v>8.9989000000000008</v>
      </c>
      <c r="V19" s="42">
        <v>1</v>
      </c>
      <c r="W19" s="42">
        <v>126.7782</v>
      </c>
      <c r="X19" s="42">
        <v>1</v>
      </c>
      <c r="Y19" s="42">
        <v>79.588099999999997</v>
      </c>
      <c r="Z19" s="42">
        <v>169.18889999999999</v>
      </c>
      <c r="AA19" s="42">
        <v>166.96539999999999</v>
      </c>
      <c r="AB19" s="42">
        <v>8.8584999999999994</v>
      </c>
      <c r="AC19" s="42">
        <v>4</v>
      </c>
      <c r="AD19" s="42">
        <v>3</v>
      </c>
      <c r="AE19" s="42">
        <v>446.53660000000002</v>
      </c>
      <c r="AF19" s="42">
        <v>268.5487</v>
      </c>
      <c r="AG19" s="42">
        <v>469.11959999999999</v>
      </c>
      <c r="AH19" s="42">
        <v>106.551</v>
      </c>
      <c r="AI19" s="42">
        <v>128.18960000000001</v>
      </c>
      <c r="AJ19" s="42">
        <v>257.1669</v>
      </c>
      <c r="AK19" s="42">
        <v>719058944</v>
      </c>
      <c r="AL19" s="42">
        <v>2913797632</v>
      </c>
      <c r="AM19" s="42">
        <v>17650</v>
      </c>
      <c r="AN19" s="42">
        <v>69300</v>
      </c>
      <c r="AO19" s="33" t="s">
        <v>117</v>
      </c>
      <c r="AP19" s="33" t="s">
        <v>117</v>
      </c>
      <c r="AQ19" s="33" t="s">
        <v>117</v>
      </c>
      <c r="AR19" s="33" t="s">
        <v>117</v>
      </c>
      <c r="AS19" s="33" t="s">
        <v>117</v>
      </c>
      <c r="AT19" s="33" t="s">
        <v>117</v>
      </c>
      <c r="AU19" s="33" t="s">
        <v>117</v>
      </c>
      <c r="AV19" s="33" t="s">
        <v>117</v>
      </c>
      <c r="AW19" s="33" t="s">
        <v>117</v>
      </c>
      <c r="AX19" s="33" t="s">
        <v>117</v>
      </c>
      <c r="AY19" s="33" t="s">
        <v>117</v>
      </c>
      <c r="AZ19" s="33" t="s">
        <v>117</v>
      </c>
      <c r="BA19" s="42">
        <v>5</v>
      </c>
      <c r="BB19" s="42">
        <v>1</v>
      </c>
      <c r="BC19" s="42">
        <v>5</v>
      </c>
      <c r="BD19" s="42">
        <v>446.53660000000002</v>
      </c>
      <c r="BE19" s="42">
        <v>1</v>
      </c>
      <c r="BF19" s="42">
        <v>446.53660000000002</v>
      </c>
      <c r="BG19" s="42">
        <v>5</v>
      </c>
      <c r="BH19" s="42">
        <v>719058944</v>
      </c>
      <c r="BI19" s="42">
        <v>2913797632</v>
      </c>
      <c r="BJ19" s="42">
        <v>4</v>
      </c>
      <c r="BK19" s="42">
        <v>0</v>
      </c>
      <c r="BL19" s="42">
        <v>0</v>
      </c>
      <c r="BM19" s="46" t="s">
        <v>117</v>
      </c>
      <c r="BN19" s="33"/>
      <c r="BO19" s="34"/>
    </row>
    <row r="20" spans="1:67" x14ac:dyDescent="0.25">
      <c r="A20" s="32">
        <v>17</v>
      </c>
      <c r="B20" s="42" t="s">
        <v>174</v>
      </c>
      <c r="C20" s="42">
        <v>2</v>
      </c>
      <c r="D20" s="42">
        <v>3144.6019000000001</v>
      </c>
      <c r="E20" s="42">
        <v>50.017299999999999</v>
      </c>
      <c r="F20" s="57">
        <v>10</v>
      </c>
      <c r="G20" s="42">
        <v>1</v>
      </c>
      <c r="H20" s="42">
        <v>180.09</v>
      </c>
      <c r="I20" s="42">
        <v>0</v>
      </c>
      <c r="J20" s="42">
        <v>3</v>
      </c>
      <c r="K20" s="42">
        <v>3</v>
      </c>
      <c r="L20" s="42">
        <v>0.69469999999999998</v>
      </c>
      <c r="M20" s="42">
        <v>447.81560000000002</v>
      </c>
      <c r="N20" s="42">
        <v>1</v>
      </c>
      <c r="O20" s="42">
        <v>8928.7279999999992</v>
      </c>
      <c r="P20" s="42">
        <v>54.697899999999997</v>
      </c>
      <c r="Q20" s="42">
        <v>0.9395</v>
      </c>
      <c r="R20" s="42">
        <v>1386.5254</v>
      </c>
      <c r="S20" s="42">
        <v>152.58869999999999</v>
      </c>
      <c r="T20" s="42">
        <v>166.16540000000001</v>
      </c>
      <c r="U20" s="42">
        <v>7.0345000000000004</v>
      </c>
      <c r="V20" s="42">
        <v>1</v>
      </c>
      <c r="W20" s="42">
        <v>141.54499999999999</v>
      </c>
      <c r="X20" s="42">
        <v>0.5494</v>
      </c>
      <c r="Y20" s="42">
        <v>80.299700000000001</v>
      </c>
      <c r="Z20" s="42">
        <v>39.757100000000001</v>
      </c>
      <c r="AA20" s="42">
        <v>190.39070000000001</v>
      </c>
      <c r="AB20" s="42">
        <v>1.4520999999999999</v>
      </c>
      <c r="AC20" s="42">
        <v>2</v>
      </c>
      <c r="AD20" s="42">
        <v>4</v>
      </c>
      <c r="AE20" s="42">
        <v>346.30430000000001</v>
      </c>
      <c r="AF20" s="42">
        <v>11.947699999999999</v>
      </c>
      <c r="AG20" s="42">
        <v>187.9385</v>
      </c>
      <c r="AH20" s="42">
        <v>314.38330000000002</v>
      </c>
      <c r="AI20" s="42">
        <v>81.135300000000001</v>
      </c>
      <c r="AJ20" s="42">
        <v>1.8242</v>
      </c>
      <c r="AK20" s="42">
        <v>3370834688</v>
      </c>
      <c r="AL20" s="42">
        <v>2653925632</v>
      </c>
      <c r="AM20" s="42">
        <v>19000</v>
      </c>
      <c r="AN20" s="42">
        <v>74450</v>
      </c>
      <c r="AO20" s="33" t="s">
        <v>117</v>
      </c>
      <c r="AP20" s="33" t="s">
        <v>117</v>
      </c>
      <c r="AQ20" s="33" t="s">
        <v>117</v>
      </c>
      <c r="AR20" s="33" t="s">
        <v>117</v>
      </c>
      <c r="AS20" s="33" t="s">
        <v>117</v>
      </c>
      <c r="AT20" s="33" t="s">
        <v>117</v>
      </c>
      <c r="AU20" s="33" t="s">
        <v>117</v>
      </c>
      <c r="AV20" s="33" t="s">
        <v>117</v>
      </c>
      <c r="AW20" s="33" t="s">
        <v>117</v>
      </c>
      <c r="AX20" s="33" t="s">
        <v>117</v>
      </c>
      <c r="AY20" s="33" t="s">
        <v>117</v>
      </c>
      <c r="AZ20" s="33" t="s">
        <v>117</v>
      </c>
      <c r="BA20" s="42">
        <v>4</v>
      </c>
      <c r="BB20" s="42">
        <v>1</v>
      </c>
      <c r="BC20" s="42">
        <v>4</v>
      </c>
      <c r="BD20" s="42">
        <v>447.81560000000002</v>
      </c>
      <c r="BE20" s="42">
        <v>1</v>
      </c>
      <c r="BF20" s="42">
        <v>447.81560000000002</v>
      </c>
      <c r="BG20" s="42">
        <v>4</v>
      </c>
      <c r="BH20" s="42">
        <v>3370834688</v>
      </c>
      <c r="BI20" s="42">
        <v>2653925632</v>
      </c>
      <c r="BJ20" s="42">
        <v>3</v>
      </c>
      <c r="BK20" s="42">
        <v>0</v>
      </c>
      <c r="BL20" s="42">
        <v>0</v>
      </c>
      <c r="BM20" s="46" t="s">
        <v>117</v>
      </c>
      <c r="BN20" s="33"/>
      <c r="BO20" s="34"/>
    </row>
    <row r="21" spans="1:67" x14ac:dyDescent="0.25">
      <c r="A21" s="32">
        <v>18</v>
      </c>
      <c r="B21" s="42" t="s">
        <v>175</v>
      </c>
      <c r="C21" s="42">
        <v>4</v>
      </c>
      <c r="D21" s="42">
        <v>11123.8256</v>
      </c>
      <c r="E21" s="42">
        <v>51.214500000000001</v>
      </c>
      <c r="F21" s="57">
        <v>4.25</v>
      </c>
      <c r="G21" s="42">
        <v>0</v>
      </c>
      <c r="H21" s="42">
        <v>44.728900000000003</v>
      </c>
      <c r="I21" s="42">
        <v>1</v>
      </c>
      <c r="J21" s="42">
        <v>1</v>
      </c>
      <c r="K21" s="42">
        <v>2</v>
      </c>
      <c r="L21" s="42">
        <v>7.9600000000000004E-2</v>
      </c>
      <c r="M21" s="42">
        <v>57.011699999999998</v>
      </c>
      <c r="N21" s="42">
        <v>0</v>
      </c>
      <c r="O21" s="42">
        <v>10430.2099</v>
      </c>
      <c r="P21" s="42">
        <v>90.943299999999994</v>
      </c>
      <c r="Q21" s="42">
        <v>0.24990000000000001</v>
      </c>
      <c r="R21" s="42">
        <v>1361.367</v>
      </c>
      <c r="S21" s="42">
        <v>48.152999999999999</v>
      </c>
      <c r="T21" s="42">
        <v>247.34479999999999</v>
      </c>
      <c r="U21" s="42">
        <v>2.6709000000000001</v>
      </c>
      <c r="V21" s="42">
        <v>0.56840000000000002</v>
      </c>
      <c r="W21" s="42">
        <v>58.4163</v>
      </c>
      <c r="X21" s="42">
        <v>1</v>
      </c>
      <c r="Y21" s="42">
        <v>197.3492</v>
      </c>
      <c r="Z21" s="42">
        <v>11.0732</v>
      </c>
      <c r="AA21" s="42">
        <v>38.781999999999996</v>
      </c>
      <c r="AB21" s="42">
        <v>5.8033999999999999</v>
      </c>
      <c r="AC21" s="42">
        <v>5</v>
      </c>
      <c r="AD21" s="42">
        <v>2</v>
      </c>
      <c r="AE21" s="42">
        <v>12.1632</v>
      </c>
      <c r="AF21" s="42">
        <v>51.281599999999997</v>
      </c>
      <c r="AG21" s="42">
        <v>132.98609999999999</v>
      </c>
      <c r="AH21" s="42">
        <v>70.321899999999999</v>
      </c>
      <c r="AI21" s="42">
        <v>210.65020000000001</v>
      </c>
      <c r="AJ21" s="42">
        <v>464.90929999999997</v>
      </c>
      <c r="AK21" s="42">
        <v>973746688</v>
      </c>
      <c r="AL21" s="42">
        <v>2165551104</v>
      </c>
      <c r="AM21" s="42">
        <v>20350</v>
      </c>
      <c r="AN21" s="42">
        <v>79600</v>
      </c>
      <c r="AO21" s="33" t="s">
        <v>117</v>
      </c>
      <c r="AP21" s="33" t="s">
        <v>117</v>
      </c>
      <c r="AQ21" s="33" t="s">
        <v>117</v>
      </c>
      <c r="AR21" s="33" t="s">
        <v>117</v>
      </c>
      <c r="AS21" s="33" t="s">
        <v>117</v>
      </c>
      <c r="AT21" s="33" t="s">
        <v>117</v>
      </c>
      <c r="AU21" s="33" t="s">
        <v>117</v>
      </c>
      <c r="AV21" s="33" t="s">
        <v>117</v>
      </c>
      <c r="AW21" s="33" t="s">
        <v>117</v>
      </c>
      <c r="AX21" s="33" t="s">
        <v>117</v>
      </c>
      <c r="AY21" s="33" t="s">
        <v>117</v>
      </c>
      <c r="AZ21" s="33" t="s">
        <v>117</v>
      </c>
      <c r="BA21" s="42">
        <v>5</v>
      </c>
      <c r="BB21" s="42">
        <v>1</v>
      </c>
      <c r="BC21" s="42">
        <v>5</v>
      </c>
      <c r="BD21" s="42">
        <v>12.1632</v>
      </c>
      <c r="BE21" s="42">
        <v>1</v>
      </c>
      <c r="BF21" s="42">
        <v>12.1632</v>
      </c>
      <c r="BG21" s="42">
        <v>5</v>
      </c>
      <c r="BH21" s="42">
        <v>973746688</v>
      </c>
      <c r="BI21" s="42">
        <v>2165551104</v>
      </c>
      <c r="BJ21" s="42">
        <v>1</v>
      </c>
      <c r="BK21" s="42">
        <v>0</v>
      </c>
      <c r="BL21" s="42">
        <v>0</v>
      </c>
      <c r="BM21" s="46" t="s">
        <v>117</v>
      </c>
      <c r="BN21" s="33"/>
      <c r="BO21" s="34"/>
    </row>
    <row r="22" spans="1:67" x14ac:dyDescent="0.25">
      <c r="A22" s="32">
        <v>19</v>
      </c>
      <c r="B22" s="42" t="s">
        <v>176</v>
      </c>
      <c r="C22" s="42">
        <v>0</v>
      </c>
      <c r="D22" s="42">
        <v>7442.0819000000001</v>
      </c>
      <c r="E22" s="42">
        <v>-19.814599999999999</v>
      </c>
      <c r="F22" s="57">
        <v>0</v>
      </c>
      <c r="G22" s="42">
        <v>1</v>
      </c>
      <c r="H22" s="42">
        <v>71.569400000000002</v>
      </c>
      <c r="I22" s="42">
        <v>5</v>
      </c>
      <c r="J22" s="42">
        <v>2</v>
      </c>
      <c r="K22" s="42">
        <v>0</v>
      </c>
      <c r="L22" s="42">
        <v>1</v>
      </c>
      <c r="M22" s="42">
        <v>452.85109999999997</v>
      </c>
      <c r="N22" s="42">
        <v>0</v>
      </c>
      <c r="O22" s="42">
        <v>10748.985199999999</v>
      </c>
      <c r="P22" s="42">
        <v>118.812</v>
      </c>
      <c r="Q22" s="42">
        <v>0.31680000000000003</v>
      </c>
      <c r="R22" s="42">
        <v>4011.96</v>
      </c>
      <c r="S22" s="42">
        <v>122.6621</v>
      </c>
      <c r="T22" s="42">
        <v>96.445300000000003</v>
      </c>
      <c r="U22" s="42">
        <v>4.5942999999999996</v>
      </c>
      <c r="V22" s="42">
        <v>0.64529999999999998</v>
      </c>
      <c r="W22" s="42">
        <v>59.975200000000001</v>
      </c>
      <c r="X22" s="42">
        <v>0.17199999999999999</v>
      </c>
      <c r="Y22" s="42">
        <v>129.33539999999999</v>
      </c>
      <c r="Z22" s="42">
        <v>79.250299999999996</v>
      </c>
      <c r="AA22" s="42">
        <v>31.6694</v>
      </c>
      <c r="AB22" s="42">
        <v>9.9148999999999994</v>
      </c>
      <c r="AC22" s="42">
        <v>3</v>
      </c>
      <c r="AD22" s="42">
        <v>4</v>
      </c>
      <c r="AE22" s="42">
        <v>7.6196999999999999</v>
      </c>
      <c r="AF22" s="42">
        <v>465.4556</v>
      </c>
      <c r="AG22" s="42">
        <v>81.848699999999994</v>
      </c>
      <c r="AH22" s="42">
        <v>8.5684000000000005</v>
      </c>
      <c r="AI22" s="42">
        <v>451.86860000000001</v>
      </c>
      <c r="AJ22" s="42">
        <v>328.85169999999999</v>
      </c>
      <c r="AK22" s="42">
        <v>885533952</v>
      </c>
      <c r="AL22" s="42">
        <v>1797501696</v>
      </c>
      <c r="AM22" s="42">
        <v>21700</v>
      </c>
      <c r="AN22" s="42">
        <v>84750</v>
      </c>
      <c r="AO22" s="33" t="s">
        <v>117</v>
      </c>
      <c r="AP22" s="33" t="s">
        <v>117</v>
      </c>
      <c r="AQ22" s="33" t="s">
        <v>117</v>
      </c>
      <c r="AR22" s="33" t="s">
        <v>117</v>
      </c>
      <c r="AS22" s="33" t="s">
        <v>117</v>
      </c>
      <c r="AT22" s="33" t="s">
        <v>117</v>
      </c>
      <c r="AU22" s="33" t="s">
        <v>117</v>
      </c>
      <c r="AV22" s="33" t="s">
        <v>117</v>
      </c>
      <c r="AW22" s="33" t="s">
        <v>117</v>
      </c>
      <c r="AX22" s="33" t="s">
        <v>117</v>
      </c>
      <c r="AY22" s="33" t="s">
        <v>117</v>
      </c>
      <c r="AZ22" s="33" t="s">
        <v>117</v>
      </c>
      <c r="BA22" s="42">
        <v>5</v>
      </c>
      <c r="BB22" s="42">
        <v>1</v>
      </c>
      <c r="BC22" s="42">
        <v>5</v>
      </c>
      <c r="BD22" s="42">
        <v>7.6196999999999999</v>
      </c>
      <c r="BE22" s="42">
        <v>1</v>
      </c>
      <c r="BF22" s="42">
        <v>7.6196999999999999</v>
      </c>
      <c r="BG22" s="42">
        <v>5</v>
      </c>
      <c r="BH22" s="42">
        <v>885533952</v>
      </c>
      <c r="BI22" s="42">
        <v>1797501696</v>
      </c>
      <c r="BJ22" s="42">
        <v>2</v>
      </c>
      <c r="BK22" s="42">
        <v>0</v>
      </c>
      <c r="BL22" s="42">
        <v>0</v>
      </c>
      <c r="BM22" s="46" t="s">
        <v>117</v>
      </c>
      <c r="BN22" s="33"/>
      <c r="BO22" s="34"/>
    </row>
    <row r="23" spans="1:67" x14ac:dyDescent="0.25">
      <c r="A23" s="32">
        <v>20</v>
      </c>
      <c r="B23" s="42" t="s">
        <v>177</v>
      </c>
      <c r="C23" s="42">
        <v>0</v>
      </c>
      <c r="D23" s="42">
        <v>5849.7345999999998</v>
      </c>
      <c r="E23" s="42">
        <v>81.522900000000007</v>
      </c>
      <c r="F23" s="57">
        <v>-9.14</v>
      </c>
      <c r="G23" s="42">
        <v>0</v>
      </c>
      <c r="H23" s="42">
        <v>111.2137</v>
      </c>
      <c r="I23" s="42">
        <v>1</v>
      </c>
      <c r="J23" s="42">
        <v>2</v>
      </c>
      <c r="K23" s="42">
        <v>0</v>
      </c>
      <c r="L23" s="42">
        <v>0.98709999999999998</v>
      </c>
      <c r="M23" s="42">
        <v>311.49380000000002</v>
      </c>
      <c r="N23" s="42">
        <v>1</v>
      </c>
      <c r="O23" s="42">
        <v>2491.3249999999998</v>
      </c>
      <c r="P23" s="42">
        <v>14.8287</v>
      </c>
      <c r="Q23" s="42">
        <v>0.99970000000000003</v>
      </c>
      <c r="R23" s="42">
        <v>3695.5304999999998</v>
      </c>
      <c r="S23" s="42">
        <v>100.4661</v>
      </c>
      <c r="T23" s="42">
        <v>4.5393999999999997</v>
      </c>
      <c r="U23" s="42">
        <v>4.1380999999999997</v>
      </c>
      <c r="V23" s="42">
        <v>0.89729999999999999</v>
      </c>
      <c r="W23" s="42">
        <v>82.717500000000001</v>
      </c>
      <c r="X23" s="42">
        <v>0.7581</v>
      </c>
      <c r="Y23" s="42">
        <v>174.91030000000001</v>
      </c>
      <c r="Z23" s="42">
        <v>116.7801</v>
      </c>
      <c r="AA23" s="42">
        <v>42.6355</v>
      </c>
      <c r="AB23" s="42">
        <v>0.39689999999999998</v>
      </c>
      <c r="AC23" s="42">
        <v>1</v>
      </c>
      <c r="AD23" s="42">
        <v>2</v>
      </c>
      <c r="AE23" s="42">
        <v>255.89420000000001</v>
      </c>
      <c r="AF23" s="42">
        <v>99.600300000000004</v>
      </c>
      <c r="AG23" s="42">
        <v>100.5891</v>
      </c>
      <c r="AH23" s="42">
        <v>39.8352</v>
      </c>
      <c r="AI23" s="42">
        <v>61.6678</v>
      </c>
      <c r="AJ23" s="42">
        <v>452.42500000000001</v>
      </c>
      <c r="AK23" s="42">
        <v>3392814080</v>
      </c>
      <c r="AL23" s="42">
        <v>3837766144</v>
      </c>
      <c r="AM23" s="42">
        <v>23050</v>
      </c>
      <c r="AN23" s="42">
        <v>89900</v>
      </c>
      <c r="AO23" s="33" t="s">
        <v>117</v>
      </c>
      <c r="AP23" s="33" t="s">
        <v>117</v>
      </c>
      <c r="AQ23" s="33" t="s">
        <v>117</v>
      </c>
      <c r="AR23" s="33" t="s">
        <v>117</v>
      </c>
      <c r="AS23" s="33" t="s">
        <v>117</v>
      </c>
      <c r="AT23" s="33" t="s">
        <v>117</v>
      </c>
      <c r="AU23" s="33" t="s">
        <v>117</v>
      </c>
      <c r="AV23" s="33" t="s">
        <v>117</v>
      </c>
      <c r="AW23" s="33" t="s">
        <v>117</v>
      </c>
      <c r="AX23" s="33" t="s">
        <v>117</v>
      </c>
      <c r="AY23" s="33" t="s">
        <v>117</v>
      </c>
      <c r="AZ23" s="33" t="s">
        <v>117</v>
      </c>
      <c r="BA23" s="42">
        <v>0</v>
      </c>
      <c r="BB23" s="42">
        <v>1</v>
      </c>
      <c r="BC23" s="42">
        <v>0</v>
      </c>
      <c r="BD23" s="42">
        <v>99.600300000000004</v>
      </c>
      <c r="BE23" s="42">
        <v>1</v>
      </c>
      <c r="BF23" s="42">
        <v>99.600300000000004</v>
      </c>
      <c r="BG23" s="42">
        <v>0</v>
      </c>
      <c r="BH23" s="42">
        <v>3392814080</v>
      </c>
      <c r="BI23" s="42">
        <v>3837766144</v>
      </c>
      <c r="BJ23" s="42">
        <v>2</v>
      </c>
      <c r="BK23" s="42">
        <v>0</v>
      </c>
      <c r="BL23" s="42">
        <v>1</v>
      </c>
      <c r="BM23" s="46" t="s">
        <v>117</v>
      </c>
      <c r="BN23" s="33"/>
      <c r="BO23" s="34"/>
    </row>
    <row r="24" spans="1:67" x14ac:dyDescent="0.25">
      <c r="A24" s="32">
        <v>21</v>
      </c>
      <c r="B24" s="42" t="s">
        <v>178</v>
      </c>
      <c r="C24" s="42">
        <v>1</v>
      </c>
      <c r="D24" s="42">
        <v>2457.4025000000001</v>
      </c>
      <c r="E24" s="42">
        <v>49.947400000000002</v>
      </c>
      <c r="F24" s="42">
        <v>10</v>
      </c>
      <c r="G24" s="57">
        <v>0</v>
      </c>
      <c r="H24" s="42">
        <v>71.471100000000007</v>
      </c>
      <c r="I24" s="42">
        <v>3</v>
      </c>
      <c r="J24" s="42">
        <v>0</v>
      </c>
      <c r="K24" s="42">
        <v>2</v>
      </c>
      <c r="L24" s="42">
        <v>0.81479999999999997</v>
      </c>
      <c r="M24" s="42">
        <v>445.95229999999998</v>
      </c>
      <c r="N24" s="42">
        <v>1</v>
      </c>
      <c r="O24" s="42">
        <v>11278.573899999999</v>
      </c>
      <c r="P24" s="42">
        <v>23.597799999999999</v>
      </c>
      <c r="Q24" s="42">
        <v>1</v>
      </c>
      <c r="R24" s="42">
        <v>1195.6612</v>
      </c>
      <c r="S24" s="42">
        <v>103.2479</v>
      </c>
      <c r="T24" s="42">
        <v>204.13300000000001</v>
      </c>
      <c r="U24" s="42">
        <v>8.1273</v>
      </c>
      <c r="V24" s="42">
        <v>1</v>
      </c>
      <c r="W24" s="42">
        <v>70.420699999999997</v>
      </c>
      <c r="X24" s="42">
        <v>1</v>
      </c>
      <c r="Y24" s="42">
        <v>48.7729</v>
      </c>
      <c r="Z24" s="42">
        <v>119.69450000000001</v>
      </c>
      <c r="AA24" s="42">
        <v>213.4143</v>
      </c>
      <c r="AB24" s="42">
        <v>0.56399999999999995</v>
      </c>
      <c r="AC24" s="42">
        <v>5</v>
      </c>
      <c r="AD24" s="42">
        <v>1</v>
      </c>
      <c r="AE24" s="42">
        <v>153.3073</v>
      </c>
      <c r="AF24" s="42">
        <v>163.78479999999999</v>
      </c>
      <c r="AG24" s="42">
        <v>291.85219999999998</v>
      </c>
      <c r="AH24" s="42">
        <v>1.0347999999999999</v>
      </c>
      <c r="AI24" s="42">
        <v>75.375799999999998</v>
      </c>
      <c r="AJ24" s="42">
        <v>27.622199999999999</v>
      </c>
      <c r="AK24" s="42">
        <v>685772544</v>
      </c>
      <c r="AL24" s="42">
        <v>8897792</v>
      </c>
      <c r="AM24" s="42">
        <v>24400</v>
      </c>
      <c r="AN24" s="42">
        <v>95050</v>
      </c>
      <c r="AO24" s="33" t="s">
        <v>117</v>
      </c>
      <c r="AP24" s="33" t="s">
        <v>117</v>
      </c>
      <c r="AQ24" s="33" t="s">
        <v>117</v>
      </c>
      <c r="AR24" s="33" t="s">
        <v>117</v>
      </c>
      <c r="AS24" s="33" t="s">
        <v>117</v>
      </c>
      <c r="AT24" s="33" t="s">
        <v>117</v>
      </c>
      <c r="AU24" s="33" t="s">
        <v>117</v>
      </c>
      <c r="AV24" s="33" t="s">
        <v>117</v>
      </c>
      <c r="AW24" s="33" t="s">
        <v>117</v>
      </c>
      <c r="AX24" s="33" t="s">
        <v>117</v>
      </c>
      <c r="AY24" s="33" t="s">
        <v>117</v>
      </c>
      <c r="AZ24" s="33" t="s">
        <v>117</v>
      </c>
      <c r="BA24" s="42">
        <v>0</v>
      </c>
      <c r="BB24" s="42">
        <v>1</v>
      </c>
      <c r="BC24" s="42">
        <v>0</v>
      </c>
      <c r="BD24" s="42">
        <v>163.78479999999999</v>
      </c>
      <c r="BE24" s="42">
        <v>1</v>
      </c>
      <c r="BF24" s="42">
        <v>163.78479999999999</v>
      </c>
      <c r="BG24" s="42">
        <v>0</v>
      </c>
      <c r="BH24" s="42">
        <v>685772544</v>
      </c>
      <c r="BI24" s="42">
        <v>8897792</v>
      </c>
      <c r="BJ24" s="42">
        <v>2</v>
      </c>
      <c r="BK24" s="42">
        <v>0</v>
      </c>
      <c r="BL24" s="42">
        <v>1</v>
      </c>
      <c r="BM24" s="46" t="s">
        <v>117</v>
      </c>
      <c r="BN24" s="33"/>
      <c r="BO24" s="34"/>
    </row>
    <row r="25" spans="1:67" x14ac:dyDescent="0.25">
      <c r="A25" s="32">
        <v>22</v>
      </c>
      <c r="B25" s="42" t="s">
        <v>179</v>
      </c>
      <c r="C25" s="42">
        <v>0</v>
      </c>
      <c r="D25" s="42">
        <v>11541.348599999999</v>
      </c>
      <c r="E25" s="42">
        <v>-82.1995</v>
      </c>
      <c r="F25" s="42">
        <v>3.2925</v>
      </c>
      <c r="G25" s="57">
        <v>1</v>
      </c>
      <c r="H25" s="42">
        <v>41.065399999999997</v>
      </c>
      <c r="I25" s="42">
        <v>2</v>
      </c>
      <c r="J25" s="42">
        <v>2</v>
      </c>
      <c r="K25" s="42">
        <v>2</v>
      </c>
      <c r="L25" s="42">
        <v>1</v>
      </c>
      <c r="M25" s="42">
        <v>379.21080000000001</v>
      </c>
      <c r="N25" s="42">
        <v>1</v>
      </c>
      <c r="O25" s="42">
        <v>15465.2255</v>
      </c>
      <c r="P25" s="42">
        <v>190.77019999999999</v>
      </c>
      <c r="Q25" s="42">
        <v>1</v>
      </c>
      <c r="R25" s="42">
        <v>9826.3209000000006</v>
      </c>
      <c r="S25" s="42">
        <v>72.758600000000001</v>
      </c>
      <c r="T25" s="42">
        <v>194.53749999999999</v>
      </c>
      <c r="U25" s="42">
        <v>9.6107999999999993</v>
      </c>
      <c r="V25" s="42">
        <v>0.65069999999999995</v>
      </c>
      <c r="W25" s="42">
        <v>127.95829999999999</v>
      </c>
      <c r="X25" s="42">
        <v>1</v>
      </c>
      <c r="Y25" s="42">
        <v>181.8605</v>
      </c>
      <c r="Z25" s="42">
        <v>53.377400000000002</v>
      </c>
      <c r="AA25" s="42">
        <v>78.359399999999994</v>
      </c>
      <c r="AB25" s="42">
        <v>2.0360999999999998</v>
      </c>
      <c r="AC25" s="42">
        <v>4</v>
      </c>
      <c r="AD25" s="42">
        <v>0</v>
      </c>
      <c r="AE25" s="42">
        <v>5.7516999999999996</v>
      </c>
      <c r="AF25" s="42">
        <v>285.11939999999998</v>
      </c>
      <c r="AG25" s="42">
        <v>447.00319999999999</v>
      </c>
      <c r="AH25" s="42">
        <v>171.58009999999999</v>
      </c>
      <c r="AI25" s="42">
        <v>468.2285</v>
      </c>
      <c r="AJ25" s="42">
        <v>180.7226</v>
      </c>
      <c r="AK25" s="42">
        <v>2683999744</v>
      </c>
      <c r="AL25" s="42">
        <v>2203808768</v>
      </c>
      <c r="AM25" s="42">
        <v>25750</v>
      </c>
      <c r="AN25" s="42">
        <v>100200</v>
      </c>
      <c r="AO25" s="33" t="s">
        <v>117</v>
      </c>
      <c r="AP25" s="33" t="s">
        <v>117</v>
      </c>
      <c r="AQ25" s="33" t="s">
        <v>117</v>
      </c>
      <c r="AR25" s="33" t="s">
        <v>117</v>
      </c>
      <c r="AS25" s="33" t="s">
        <v>117</v>
      </c>
      <c r="AT25" s="33" t="s">
        <v>117</v>
      </c>
      <c r="AU25" s="33" t="s">
        <v>117</v>
      </c>
      <c r="AV25" s="33" t="s">
        <v>117</v>
      </c>
      <c r="AW25" s="33" t="s">
        <v>117</v>
      </c>
      <c r="AX25" s="33" t="s">
        <v>117</v>
      </c>
      <c r="AY25" s="33" t="s">
        <v>117</v>
      </c>
      <c r="AZ25" s="33" t="s">
        <v>117</v>
      </c>
      <c r="BA25" s="42">
        <v>4</v>
      </c>
      <c r="BB25" s="42">
        <v>1</v>
      </c>
      <c r="BC25" s="42">
        <v>4</v>
      </c>
      <c r="BD25" s="42">
        <v>5.7516999999999996</v>
      </c>
      <c r="BE25" s="42">
        <v>1</v>
      </c>
      <c r="BF25" s="42">
        <v>5.7516999999999996</v>
      </c>
      <c r="BG25" s="42">
        <v>4</v>
      </c>
      <c r="BH25" s="42">
        <v>2683999744</v>
      </c>
      <c r="BI25" s="42">
        <v>2203808768</v>
      </c>
      <c r="BJ25" s="42">
        <v>2</v>
      </c>
      <c r="BK25" s="42">
        <v>0</v>
      </c>
      <c r="BL25" s="42">
        <v>0</v>
      </c>
      <c r="BM25" s="46" t="s">
        <v>117</v>
      </c>
      <c r="BN25" s="33"/>
      <c r="BO25" s="34"/>
    </row>
    <row r="26" spans="1:67" x14ac:dyDescent="0.25">
      <c r="A26" s="32">
        <v>23</v>
      </c>
      <c r="B26" s="42" t="s">
        <v>180</v>
      </c>
      <c r="C26" s="42">
        <v>0</v>
      </c>
      <c r="D26" s="42">
        <v>8687.3996000000006</v>
      </c>
      <c r="E26" s="42">
        <v>43.318600000000004</v>
      </c>
      <c r="F26" s="42">
        <v>8.9540000000000006</v>
      </c>
      <c r="G26" s="42">
        <v>0</v>
      </c>
      <c r="H26" s="57">
        <v>0</v>
      </c>
      <c r="I26" s="42">
        <v>0</v>
      </c>
      <c r="J26" s="42">
        <v>5</v>
      </c>
      <c r="K26" s="42">
        <v>3</v>
      </c>
      <c r="L26" s="42">
        <v>1</v>
      </c>
      <c r="M26" s="42">
        <v>269.72039999999998</v>
      </c>
      <c r="N26" s="42">
        <v>1</v>
      </c>
      <c r="O26" s="42">
        <v>10000</v>
      </c>
      <c r="P26" s="42">
        <v>176.49930000000001</v>
      </c>
      <c r="Q26" s="42">
        <v>0.1048</v>
      </c>
      <c r="R26" s="42">
        <v>4844.6806999999999</v>
      </c>
      <c r="S26" s="42">
        <v>60.1648</v>
      </c>
      <c r="T26" s="42">
        <v>64.241299999999995</v>
      </c>
      <c r="U26" s="42">
        <v>5.7798999999999996</v>
      </c>
      <c r="V26" s="42">
        <v>0.57279999999999998</v>
      </c>
      <c r="W26" s="42">
        <v>79.390600000000006</v>
      </c>
      <c r="X26" s="42">
        <v>1</v>
      </c>
      <c r="Y26" s="42">
        <v>14.0177</v>
      </c>
      <c r="Z26" s="42">
        <v>98.363900000000001</v>
      </c>
      <c r="AA26" s="42">
        <v>32.749499999999998</v>
      </c>
      <c r="AB26" s="42">
        <v>1.9672000000000001</v>
      </c>
      <c r="AC26" s="42">
        <v>4</v>
      </c>
      <c r="AD26" s="42">
        <v>1</v>
      </c>
      <c r="AE26" s="42">
        <v>54.622100000000003</v>
      </c>
      <c r="AF26" s="42">
        <v>461.99650000000003</v>
      </c>
      <c r="AG26" s="42">
        <v>39.963900000000002</v>
      </c>
      <c r="AH26" s="42">
        <v>253.86109999999999</v>
      </c>
      <c r="AI26" s="42">
        <v>68.346100000000007</v>
      </c>
      <c r="AJ26" s="42">
        <v>58.055999999999997</v>
      </c>
      <c r="AK26" s="42">
        <v>2286796800</v>
      </c>
      <c r="AL26" s="42">
        <v>2699398656</v>
      </c>
      <c r="AM26" s="42">
        <v>27100</v>
      </c>
      <c r="AN26" s="42">
        <v>105350</v>
      </c>
      <c r="AO26" s="33" t="s">
        <v>117</v>
      </c>
      <c r="AP26" s="33" t="s">
        <v>117</v>
      </c>
      <c r="AQ26" s="33" t="s">
        <v>117</v>
      </c>
      <c r="AR26" s="33" t="s">
        <v>117</v>
      </c>
      <c r="AS26" s="33" t="s">
        <v>117</v>
      </c>
      <c r="AT26" s="33" t="s">
        <v>117</v>
      </c>
      <c r="AU26" s="33" t="s">
        <v>117</v>
      </c>
      <c r="AV26" s="33" t="s">
        <v>117</v>
      </c>
      <c r="AW26" s="33" t="s">
        <v>117</v>
      </c>
      <c r="AX26" s="33" t="s">
        <v>117</v>
      </c>
      <c r="AY26" s="33" t="s">
        <v>117</v>
      </c>
      <c r="AZ26" s="33" t="s">
        <v>117</v>
      </c>
      <c r="BA26" s="42">
        <v>1</v>
      </c>
      <c r="BB26" s="42">
        <v>0.1048</v>
      </c>
      <c r="BC26" s="42">
        <v>1</v>
      </c>
      <c r="BD26" s="42">
        <v>1</v>
      </c>
      <c r="BE26" s="42">
        <v>0.1048</v>
      </c>
      <c r="BF26" s="42">
        <v>1</v>
      </c>
      <c r="BG26" s="42">
        <v>1</v>
      </c>
      <c r="BH26" s="42">
        <v>27100</v>
      </c>
      <c r="BI26" s="42">
        <v>2699398656</v>
      </c>
      <c r="BJ26" s="42">
        <v>5</v>
      </c>
      <c r="BK26" s="42">
        <v>1</v>
      </c>
      <c r="BL26" s="42">
        <v>0</v>
      </c>
      <c r="BM26" s="46" t="s">
        <v>117</v>
      </c>
      <c r="BN26" s="33"/>
      <c r="BO26" s="34"/>
    </row>
    <row r="27" spans="1:67" x14ac:dyDescent="0.25">
      <c r="A27" s="32">
        <v>24</v>
      </c>
      <c r="B27" s="42" t="s">
        <v>181</v>
      </c>
      <c r="C27" s="42">
        <v>0</v>
      </c>
      <c r="D27" s="42">
        <v>1468.7518</v>
      </c>
      <c r="E27" s="42">
        <v>-96.847800000000007</v>
      </c>
      <c r="F27" s="42">
        <v>2.0722</v>
      </c>
      <c r="G27" s="42">
        <v>0</v>
      </c>
      <c r="H27" s="57">
        <v>200</v>
      </c>
      <c r="I27" s="42">
        <v>0</v>
      </c>
      <c r="J27" s="42">
        <v>1</v>
      </c>
      <c r="K27" s="42">
        <v>1</v>
      </c>
      <c r="L27" s="42">
        <v>8.8900000000000007E-2</v>
      </c>
      <c r="M27" s="42">
        <v>412.90679999999998</v>
      </c>
      <c r="N27" s="42">
        <v>1</v>
      </c>
      <c r="O27" s="42">
        <v>11000</v>
      </c>
      <c r="P27" s="42">
        <v>116.1177</v>
      </c>
      <c r="Q27" s="42">
        <v>0.46089999999999998</v>
      </c>
      <c r="R27" s="42">
        <v>9944.7687000000005</v>
      </c>
      <c r="S27" s="42">
        <v>89.153999999999996</v>
      </c>
      <c r="T27" s="42">
        <v>69.6999</v>
      </c>
      <c r="U27" s="42">
        <v>10</v>
      </c>
      <c r="V27" s="42">
        <v>0.38969999999999999</v>
      </c>
      <c r="W27" s="42">
        <v>94.583299999999994</v>
      </c>
      <c r="X27" s="42">
        <v>1</v>
      </c>
      <c r="Y27" s="42">
        <v>36.066099999999999</v>
      </c>
      <c r="Z27" s="42">
        <v>145.5489</v>
      </c>
      <c r="AA27" s="42">
        <v>7.8211000000000004</v>
      </c>
      <c r="AB27" s="42">
        <v>1.7642</v>
      </c>
      <c r="AC27" s="42">
        <v>1</v>
      </c>
      <c r="AD27" s="42">
        <v>2</v>
      </c>
      <c r="AE27" s="42">
        <v>408.96379999999999</v>
      </c>
      <c r="AF27" s="42">
        <v>374.94970000000001</v>
      </c>
      <c r="AG27" s="42">
        <v>483.63319999999999</v>
      </c>
      <c r="AH27" s="42">
        <v>342.29140000000001</v>
      </c>
      <c r="AI27" s="42">
        <v>454.61790000000002</v>
      </c>
      <c r="AJ27" s="42">
        <v>157.20060000000001</v>
      </c>
      <c r="AK27" s="42">
        <v>2444591872</v>
      </c>
      <c r="AL27" s="42">
        <v>816191744</v>
      </c>
      <c r="AM27" s="42">
        <v>28450</v>
      </c>
      <c r="AN27" s="42">
        <v>110500</v>
      </c>
      <c r="AO27" s="33" t="s">
        <v>117</v>
      </c>
      <c r="AP27" s="33" t="s">
        <v>117</v>
      </c>
      <c r="AQ27" s="33" t="s">
        <v>117</v>
      </c>
      <c r="AR27" s="33" t="s">
        <v>117</v>
      </c>
      <c r="AS27" s="33" t="s">
        <v>117</v>
      </c>
      <c r="AT27" s="33" t="s">
        <v>117</v>
      </c>
      <c r="AU27" s="33" t="s">
        <v>117</v>
      </c>
      <c r="AV27" s="33" t="s">
        <v>117</v>
      </c>
      <c r="AW27" s="33" t="s">
        <v>117</v>
      </c>
      <c r="AX27" s="33" t="s">
        <v>117</v>
      </c>
      <c r="AY27" s="33" t="s">
        <v>117</v>
      </c>
      <c r="AZ27" s="33" t="s">
        <v>117</v>
      </c>
      <c r="BA27" s="42">
        <v>0</v>
      </c>
      <c r="BB27" s="42">
        <v>8.8900000000000007E-2</v>
      </c>
      <c r="BC27" s="42">
        <v>0</v>
      </c>
      <c r="BD27" s="42">
        <v>374.94970000000001</v>
      </c>
      <c r="BE27" s="42">
        <v>8.8900000000000007E-2</v>
      </c>
      <c r="BF27" s="42">
        <v>374.94970000000001</v>
      </c>
      <c r="BG27" s="42">
        <v>0</v>
      </c>
      <c r="BH27" s="42">
        <v>2444591872</v>
      </c>
      <c r="BI27" s="42">
        <v>816191744</v>
      </c>
      <c r="BJ27" s="42">
        <v>1</v>
      </c>
      <c r="BK27" s="42">
        <v>0</v>
      </c>
      <c r="BL27" s="42">
        <v>0</v>
      </c>
      <c r="BM27" s="46" t="s">
        <v>117</v>
      </c>
      <c r="BN27" s="33"/>
      <c r="BO27" s="34"/>
    </row>
    <row r="28" spans="1:67" x14ac:dyDescent="0.25">
      <c r="A28" s="32">
        <v>25</v>
      </c>
      <c r="B28" s="42" t="s">
        <v>182</v>
      </c>
      <c r="C28" s="42">
        <v>0</v>
      </c>
      <c r="D28" s="42">
        <v>1215.2049999999999</v>
      </c>
      <c r="E28" s="42">
        <v>-13.34</v>
      </c>
      <c r="F28" s="42">
        <v>-4.8513000000000002</v>
      </c>
      <c r="G28" s="42">
        <v>0</v>
      </c>
      <c r="H28" s="57">
        <v>111.8998</v>
      </c>
      <c r="I28" s="42">
        <v>0</v>
      </c>
      <c r="J28" s="42">
        <v>1</v>
      </c>
      <c r="K28" s="42">
        <v>2</v>
      </c>
      <c r="L28" s="42">
        <v>1</v>
      </c>
      <c r="M28" s="42">
        <v>76.868799999999993</v>
      </c>
      <c r="N28" s="42">
        <v>1</v>
      </c>
      <c r="O28" s="42">
        <v>12000</v>
      </c>
      <c r="P28" s="42">
        <v>39.866100000000003</v>
      </c>
      <c r="Q28" s="42">
        <v>1</v>
      </c>
      <c r="R28" s="42">
        <v>239.761</v>
      </c>
      <c r="S28" s="42">
        <v>168.2835</v>
      </c>
      <c r="T28" s="42">
        <v>24.568899999999999</v>
      </c>
      <c r="U28" s="42">
        <v>5.0349000000000004</v>
      </c>
      <c r="V28" s="42">
        <v>0.14169999999999999</v>
      </c>
      <c r="W28" s="42">
        <v>63.174900000000001</v>
      </c>
      <c r="X28" s="42">
        <v>1</v>
      </c>
      <c r="Y28" s="42">
        <v>148.3844</v>
      </c>
      <c r="Z28" s="42">
        <v>114.2469</v>
      </c>
      <c r="AA28" s="42">
        <v>208.64259999999999</v>
      </c>
      <c r="AB28" s="42">
        <v>5.4528999999999996</v>
      </c>
      <c r="AC28" s="42">
        <v>0</v>
      </c>
      <c r="AD28" s="42">
        <v>1</v>
      </c>
      <c r="AE28" s="42">
        <v>408.48630000000003</v>
      </c>
      <c r="AF28" s="42">
        <v>389.88959999999997</v>
      </c>
      <c r="AG28" s="42">
        <v>468.06869999999998</v>
      </c>
      <c r="AH28" s="42">
        <v>330.23250000000002</v>
      </c>
      <c r="AI28" s="42">
        <v>261.49630000000002</v>
      </c>
      <c r="AJ28" s="42">
        <v>72.398600000000002</v>
      </c>
      <c r="AK28" s="42">
        <v>3158981120</v>
      </c>
      <c r="AL28" s="42">
        <v>89159680</v>
      </c>
      <c r="AM28" s="42">
        <v>29800</v>
      </c>
      <c r="AN28" s="42">
        <v>115650</v>
      </c>
      <c r="AO28" s="33" t="s">
        <v>117</v>
      </c>
      <c r="AP28" s="33" t="s">
        <v>117</v>
      </c>
      <c r="AQ28" s="33" t="s">
        <v>117</v>
      </c>
      <c r="AR28" s="33" t="s">
        <v>117</v>
      </c>
      <c r="AS28" s="33" t="s">
        <v>117</v>
      </c>
      <c r="AT28" s="33" t="s">
        <v>117</v>
      </c>
      <c r="AU28" s="33" t="s">
        <v>117</v>
      </c>
      <c r="AV28" s="33" t="s">
        <v>117</v>
      </c>
      <c r="AW28" s="33" t="s">
        <v>117</v>
      </c>
      <c r="AX28" s="33" t="s">
        <v>117</v>
      </c>
      <c r="AY28" s="33" t="s">
        <v>117</v>
      </c>
      <c r="AZ28" s="33" t="s">
        <v>117</v>
      </c>
      <c r="BA28" s="42">
        <v>0</v>
      </c>
      <c r="BB28" s="42">
        <v>1</v>
      </c>
      <c r="BC28" s="42">
        <v>0</v>
      </c>
      <c r="BD28" s="42">
        <v>389.88959999999997</v>
      </c>
      <c r="BE28" s="42">
        <v>1</v>
      </c>
      <c r="BF28" s="42">
        <v>389.88959999999997</v>
      </c>
      <c r="BG28" s="42">
        <v>0</v>
      </c>
      <c r="BH28" s="42">
        <v>3158981120</v>
      </c>
      <c r="BI28" s="42">
        <v>89159680</v>
      </c>
      <c r="BJ28" s="42">
        <v>1</v>
      </c>
      <c r="BK28" s="42">
        <v>0</v>
      </c>
      <c r="BL28" s="42">
        <v>0</v>
      </c>
      <c r="BM28" s="46" t="s">
        <v>117</v>
      </c>
      <c r="BN28" s="33"/>
      <c r="BO28" s="34"/>
    </row>
    <row r="29" spans="1:67" x14ac:dyDescent="0.25">
      <c r="A29" s="32">
        <v>26</v>
      </c>
      <c r="B29" s="42" t="s">
        <v>127</v>
      </c>
      <c r="C29" s="42">
        <v>1</v>
      </c>
      <c r="D29" s="42">
        <v>6584.0816999999997</v>
      </c>
      <c r="E29" s="42">
        <v>-19.201499999999999</v>
      </c>
      <c r="F29" s="42">
        <v>8.0633999999999997</v>
      </c>
      <c r="G29" s="42">
        <v>0</v>
      </c>
      <c r="H29" s="42">
        <v>127.47239999999999</v>
      </c>
      <c r="I29" s="57">
        <v>0</v>
      </c>
      <c r="J29" s="42">
        <v>3</v>
      </c>
      <c r="K29" s="42">
        <v>0</v>
      </c>
      <c r="L29" s="42">
        <v>0.93989999999999996</v>
      </c>
      <c r="M29" s="42">
        <v>397.43770000000001</v>
      </c>
      <c r="N29" s="42">
        <v>1</v>
      </c>
      <c r="O29" s="42">
        <v>11895.889300000001</v>
      </c>
      <c r="P29" s="42">
        <v>173.9973</v>
      </c>
      <c r="Q29" s="42">
        <v>1</v>
      </c>
      <c r="R29" s="42">
        <v>7448.7813999999998</v>
      </c>
      <c r="S29" s="42">
        <v>73.290499999999994</v>
      </c>
      <c r="T29" s="42">
        <v>167.79040000000001</v>
      </c>
      <c r="U29" s="42">
        <v>8.25</v>
      </c>
      <c r="V29" s="42">
        <v>0.65310000000000001</v>
      </c>
      <c r="W29" s="42">
        <v>152.5789</v>
      </c>
      <c r="X29" s="42">
        <v>0.2334</v>
      </c>
      <c r="Y29" s="42">
        <v>117.7264</v>
      </c>
      <c r="Z29" s="42">
        <v>15.581099999999999</v>
      </c>
      <c r="AA29" s="42">
        <v>28.132100000000001</v>
      </c>
      <c r="AB29" s="42">
        <v>3.7103000000000002</v>
      </c>
      <c r="AC29" s="42">
        <v>1</v>
      </c>
      <c r="AD29" s="42">
        <v>0</v>
      </c>
      <c r="AE29" s="42">
        <v>321.59480000000002</v>
      </c>
      <c r="AF29" s="42">
        <v>426.23989999999998</v>
      </c>
      <c r="AG29" s="42">
        <v>168.65090000000001</v>
      </c>
      <c r="AH29" s="42">
        <v>451.98180000000002</v>
      </c>
      <c r="AI29" s="42">
        <v>41.298200000000001</v>
      </c>
      <c r="AJ29" s="42">
        <v>33.277799999999999</v>
      </c>
      <c r="AK29" s="42">
        <v>2552763648</v>
      </c>
      <c r="AL29" s="42">
        <v>2878167808</v>
      </c>
      <c r="AM29" s="42">
        <v>31150</v>
      </c>
      <c r="AN29" s="42">
        <v>120800</v>
      </c>
      <c r="AO29" s="33" t="s">
        <v>117</v>
      </c>
      <c r="AP29" s="33" t="s">
        <v>117</v>
      </c>
      <c r="AQ29" s="33" t="s">
        <v>117</v>
      </c>
      <c r="AR29" s="33" t="s">
        <v>117</v>
      </c>
      <c r="AS29" s="33" t="s">
        <v>117</v>
      </c>
      <c r="AT29" s="33" t="s">
        <v>117</v>
      </c>
      <c r="AU29" s="33" t="s">
        <v>117</v>
      </c>
      <c r="AV29" s="33" t="s">
        <v>117</v>
      </c>
      <c r="AW29" s="33" t="s">
        <v>117</v>
      </c>
      <c r="AX29" s="33" t="s">
        <v>117</v>
      </c>
      <c r="AY29" s="33" t="s">
        <v>117</v>
      </c>
      <c r="AZ29" s="33" t="s">
        <v>117</v>
      </c>
      <c r="BA29" s="42">
        <v>1</v>
      </c>
      <c r="BB29" s="42">
        <v>1</v>
      </c>
      <c r="BC29" s="42">
        <v>1</v>
      </c>
      <c r="BD29" s="42">
        <v>321.59480000000002</v>
      </c>
      <c r="BE29" s="42">
        <v>1</v>
      </c>
      <c r="BF29" s="42">
        <v>321.59480000000002</v>
      </c>
      <c r="BG29" s="42">
        <v>1</v>
      </c>
      <c r="BH29" s="42">
        <v>31150</v>
      </c>
      <c r="BI29" s="42">
        <v>2878167808</v>
      </c>
      <c r="BJ29" s="42">
        <v>3</v>
      </c>
      <c r="BK29" s="42">
        <v>1</v>
      </c>
      <c r="BL29" s="42">
        <v>0</v>
      </c>
      <c r="BM29" s="46" t="s">
        <v>117</v>
      </c>
      <c r="BN29" s="33"/>
      <c r="BO29" s="34"/>
    </row>
    <row r="30" spans="1:67" x14ac:dyDescent="0.25">
      <c r="A30" s="32">
        <v>27</v>
      </c>
      <c r="B30" s="42" t="s">
        <v>128</v>
      </c>
      <c r="C30" s="42">
        <v>0</v>
      </c>
      <c r="D30" s="42">
        <v>7567.6959999999999</v>
      </c>
      <c r="E30" s="42">
        <v>-44.665599999999998</v>
      </c>
      <c r="F30" s="42">
        <v>-8.4260000000000002</v>
      </c>
      <c r="G30" s="42">
        <v>0</v>
      </c>
      <c r="H30" s="42">
        <v>168.55019999999999</v>
      </c>
      <c r="I30" s="57">
        <v>1</v>
      </c>
      <c r="J30" s="42">
        <v>2</v>
      </c>
      <c r="K30" s="42">
        <v>5</v>
      </c>
      <c r="L30" s="42">
        <v>1</v>
      </c>
      <c r="M30" s="42">
        <v>214.81039999999999</v>
      </c>
      <c r="N30" s="42">
        <v>1</v>
      </c>
      <c r="O30" s="42">
        <v>4146.8460999999998</v>
      </c>
      <c r="P30" s="42">
        <v>42.911900000000003</v>
      </c>
      <c r="Q30" s="42">
        <v>1</v>
      </c>
      <c r="R30" s="42">
        <v>1361.4314999999999</v>
      </c>
      <c r="S30" s="42">
        <v>19.020800000000001</v>
      </c>
      <c r="T30" s="42">
        <v>200.95310000000001</v>
      </c>
      <c r="U30" s="42">
        <v>10</v>
      </c>
      <c r="V30" s="42">
        <v>1</v>
      </c>
      <c r="W30" s="42">
        <v>187.76830000000001</v>
      </c>
      <c r="X30" s="42">
        <v>0.18820000000000001</v>
      </c>
      <c r="Y30" s="42">
        <v>182.7474</v>
      </c>
      <c r="Z30" s="42">
        <v>72.731700000000004</v>
      </c>
      <c r="AA30" s="42">
        <v>166.61420000000001</v>
      </c>
      <c r="AB30" s="42">
        <v>2.2797999999999998</v>
      </c>
      <c r="AC30" s="42">
        <v>5</v>
      </c>
      <c r="AD30" s="42">
        <v>5</v>
      </c>
      <c r="AE30" s="42">
        <v>64.585099999999997</v>
      </c>
      <c r="AF30" s="42">
        <v>42.372599999999998</v>
      </c>
      <c r="AG30" s="42">
        <v>320.78210000000001</v>
      </c>
      <c r="AH30" s="42">
        <v>299.61009999999999</v>
      </c>
      <c r="AI30" s="42">
        <v>314.32499999999999</v>
      </c>
      <c r="AJ30" s="42">
        <v>499.01389999999998</v>
      </c>
      <c r="AK30" s="42">
        <v>1639613440</v>
      </c>
      <c r="AL30" s="42">
        <v>1008906752</v>
      </c>
      <c r="AM30" s="42">
        <v>32500</v>
      </c>
      <c r="AN30" s="42">
        <v>125950</v>
      </c>
      <c r="AO30" s="33" t="s">
        <v>117</v>
      </c>
      <c r="AP30" s="33" t="s">
        <v>117</v>
      </c>
      <c r="AQ30" s="33" t="s">
        <v>117</v>
      </c>
      <c r="AR30" s="33" t="s">
        <v>117</v>
      </c>
      <c r="AS30" s="33" t="s">
        <v>117</v>
      </c>
      <c r="AT30" s="33" t="s">
        <v>117</v>
      </c>
      <c r="AU30" s="33" t="s">
        <v>117</v>
      </c>
      <c r="AV30" s="33" t="s">
        <v>117</v>
      </c>
      <c r="AW30" s="33" t="s">
        <v>117</v>
      </c>
      <c r="AX30" s="33" t="s">
        <v>117</v>
      </c>
      <c r="AY30" s="33" t="s">
        <v>117</v>
      </c>
      <c r="AZ30" s="33" t="s">
        <v>117</v>
      </c>
      <c r="BA30" s="42">
        <v>0</v>
      </c>
      <c r="BB30" s="42">
        <v>1</v>
      </c>
      <c r="BC30" s="42">
        <v>0</v>
      </c>
      <c r="BD30" s="42">
        <v>42.372599999999998</v>
      </c>
      <c r="BE30" s="42">
        <v>1</v>
      </c>
      <c r="BF30" s="42">
        <v>42.372599999999998</v>
      </c>
      <c r="BG30" s="42">
        <v>0</v>
      </c>
      <c r="BH30" s="42">
        <v>1639613440</v>
      </c>
      <c r="BI30" s="42">
        <v>1008906752</v>
      </c>
      <c r="BJ30" s="42">
        <v>2</v>
      </c>
      <c r="BK30" s="42">
        <v>0</v>
      </c>
      <c r="BL30" s="42">
        <v>1</v>
      </c>
      <c r="BM30" s="46" t="s">
        <v>117</v>
      </c>
      <c r="BN30" s="33"/>
      <c r="BO30" s="34"/>
    </row>
    <row r="31" spans="1:67" x14ac:dyDescent="0.25">
      <c r="A31" s="32">
        <v>28</v>
      </c>
      <c r="B31" s="42" t="s">
        <v>129</v>
      </c>
      <c r="C31" s="42">
        <v>0</v>
      </c>
      <c r="D31" s="42">
        <v>8064.0106999999998</v>
      </c>
      <c r="E31" s="42">
        <v>98.060199999999995</v>
      </c>
      <c r="F31" s="42">
        <v>-0.78459999999999996</v>
      </c>
      <c r="G31" s="42">
        <v>0</v>
      </c>
      <c r="H31" s="42">
        <v>128.82550000000001</v>
      </c>
      <c r="I31" s="57">
        <v>2</v>
      </c>
      <c r="J31" s="42">
        <v>3</v>
      </c>
      <c r="K31" s="42">
        <v>1</v>
      </c>
      <c r="L31" s="42">
        <v>0.75319999999999998</v>
      </c>
      <c r="M31" s="42">
        <v>272.52319999999997</v>
      </c>
      <c r="N31" s="42">
        <v>1</v>
      </c>
      <c r="O31" s="42">
        <v>15600.435799999999</v>
      </c>
      <c r="P31" s="42">
        <v>61.930599999999998</v>
      </c>
      <c r="Q31" s="42">
        <v>0.3553</v>
      </c>
      <c r="R31" s="42">
        <v>8845.9879000000001</v>
      </c>
      <c r="S31" s="42">
        <v>131.76400000000001</v>
      </c>
      <c r="T31" s="42">
        <v>15.0458</v>
      </c>
      <c r="U31" s="42">
        <v>8.9846000000000004</v>
      </c>
      <c r="V31" s="42">
        <v>1</v>
      </c>
      <c r="W31" s="42">
        <v>114.18300000000001</v>
      </c>
      <c r="X31" s="42">
        <v>1</v>
      </c>
      <c r="Y31" s="42">
        <v>5.7309000000000001</v>
      </c>
      <c r="Z31" s="42">
        <v>52.508200000000002</v>
      </c>
      <c r="AA31" s="42">
        <v>128.87819999999999</v>
      </c>
      <c r="AB31" s="42">
        <v>6.6083999999999996</v>
      </c>
      <c r="AC31" s="42">
        <v>4</v>
      </c>
      <c r="AD31" s="42">
        <v>5</v>
      </c>
      <c r="AE31" s="42">
        <v>228.536</v>
      </c>
      <c r="AF31" s="42">
        <v>108.74209999999999</v>
      </c>
      <c r="AG31" s="42">
        <v>443.52370000000002</v>
      </c>
      <c r="AH31" s="42">
        <v>212.01490000000001</v>
      </c>
      <c r="AI31" s="42">
        <v>0.51639999999999997</v>
      </c>
      <c r="AJ31" s="42">
        <v>154.20320000000001</v>
      </c>
      <c r="AK31" s="42">
        <v>2642360064</v>
      </c>
      <c r="AL31" s="42">
        <v>813608192</v>
      </c>
      <c r="AM31" s="42">
        <v>33850</v>
      </c>
      <c r="AN31" s="42">
        <v>131100</v>
      </c>
      <c r="AO31" s="33" t="s">
        <v>117</v>
      </c>
      <c r="AP31" s="33" t="s">
        <v>117</v>
      </c>
      <c r="AQ31" s="33" t="s">
        <v>117</v>
      </c>
      <c r="AR31" s="33" t="s">
        <v>117</v>
      </c>
      <c r="AS31" s="33" t="s">
        <v>117</v>
      </c>
      <c r="AT31" s="33" t="s">
        <v>117</v>
      </c>
      <c r="AU31" s="33" t="s">
        <v>117</v>
      </c>
      <c r="AV31" s="33" t="s">
        <v>117</v>
      </c>
      <c r="AW31" s="33" t="s">
        <v>117</v>
      </c>
      <c r="AX31" s="33" t="s">
        <v>117</v>
      </c>
      <c r="AY31" s="33" t="s">
        <v>117</v>
      </c>
      <c r="AZ31" s="33" t="s">
        <v>117</v>
      </c>
      <c r="BA31" s="42">
        <v>3</v>
      </c>
      <c r="BB31" s="42">
        <v>1</v>
      </c>
      <c r="BC31" s="42">
        <v>3</v>
      </c>
      <c r="BD31" s="42">
        <v>228.536</v>
      </c>
      <c r="BE31" s="42">
        <v>1</v>
      </c>
      <c r="BF31" s="42">
        <v>228.536</v>
      </c>
      <c r="BG31" s="42">
        <v>3</v>
      </c>
      <c r="BH31" s="42">
        <v>2642360064</v>
      </c>
      <c r="BI31" s="42">
        <v>33850</v>
      </c>
      <c r="BJ31" s="42">
        <v>1</v>
      </c>
      <c r="BK31" s="42">
        <v>1</v>
      </c>
      <c r="BL31" s="42">
        <v>0</v>
      </c>
      <c r="BM31" s="46" t="s">
        <v>117</v>
      </c>
      <c r="BN31" s="33"/>
      <c r="BO31" s="34"/>
    </row>
    <row r="32" spans="1:67" x14ac:dyDescent="0.25">
      <c r="A32" s="32">
        <v>29</v>
      </c>
      <c r="B32" s="42" t="s">
        <v>130</v>
      </c>
      <c r="C32" s="42">
        <v>0</v>
      </c>
      <c r="D32" s="42">
        <v>6584.0816999999997</v>
      </c>
      <c r="E32" s="42">
        <v>-19.201499999999999</v>
      </c>
      <c r="F32" s="42">
        <v>8.0633999999999997</v>
      </c>
      <c r="G32" s="42">
        <v>0</v>
      </c>
      <c r="H32" s="42">
        <v>127.47239999999999</v>
      </c>
      <c r="I32" s="57">
        <v>3</v>
      </c>
      <c r="J32" s="42">
        <v>3</v>
      </c>
      <c r="K32" s="42">
        <v>0</v>
      </c>
      <c r="L32" s="42">
        <v>0.93989999999999996</v>
      </c>
      <c r="M32" s="42">
        <v>397.43770000000001</v>
      </c>
      <c r="N32" s="42">
        <v>1</v>
      </c>
      <c r="O32" s="42">
        <v>11895.889300000001</v>
      </c>
      <c r="P32" s="42">
        <v>173.9973</v>
      </c>
      <c r="Q32" s="42">
        <v>1</v>
      </c>
      <c r="R32" s="42">
        <v>7448.7813999999998</v>
      </c>
      <c r="S32" s="42">
        <v>73.290499999999994</v>
      </c>
      <c r="T32" s="42">
        <v>167.79040000000001</v>
      </c>
      <c r="U32" s="42">
        <v>8.25</v>
      </c>
      <c r="V32" s="42">
        <v>0.65310000000000001</v>
      </c>
      <c r="W32" s="42">
        <v>152.5789</v>
      </c>
      <c r="X32" s="42">
        <v>0.2334</v>
      </c>
      <c r="Y32" s="42">
        <v>117.7264</v>
      </c>
      <c r="Z32" s="42">
        <v>15.581099999999999</v>
      </c>
      <c r="AA32" s="42">
        <v>28.132100000000001</v>
      </c>
      <c r="AB32" s="42">
        <v>3.7103000000000002</v>
      </c>
      <c r="AC32" s="42">
        <v>1</v>
      </c>
      <c r="AD32" s="42">
        <v>0</v>
      </c>
      <c r="AE32" s="42">
        <v>321.59480000000002</v>
      </c>
      <c r="AF32" s="42">
        <v>426.23989999999998</v>
      </c>
      <c r="AG32" s="42">
        <v>168.65090000000001</v>
      </c>
      <c r="AH32" s="42">
        <v>451.98180000000002</v>
      </c>
      <c r="AI32" s="42">
        <v>41.298200000000001</v>
      </c>
      <c r="AJ32" s="42">
        <v>33.277799999999999</v>
      </c>
      <c r="AK32" s="42">
        <v>2552763648</v>
      </c>
      <c r="AL32" s="42">
        <v>2878167808</v>
      </c>
      <c r="AM32" s="42">
        <v>35200</v>
      </c>
      <c r="AN32" s="42">
        <v>136250</v>
      </c>
      <c r="AO32" s="33" t="s">
        <v>117</v>
      </c>
      <c r="AP32" s="33" t="s">
        <v>117</v>
      </c>
      <c r="AQ32" s="33" t="s">
        <v>117</v>
      </c>
      <c r="AR32" s="33" t="s">
        <v>117</v>
      </c>
      <c r="AS32" s="33" t="s">
        <v>117</v>
      </c>
      <c r="AT32" s="33" t="s">
        <v>117</v>
      </c>
      <c r="AU32" s="33" t="s">
        <v>117</v>
      </c>
      <c r="AV32" s="33" t="s">
        <v>117</v>
      </c>
      <c r="AW32" s="33" t="s">
        <v>117</v>
      </c>
      <c r="AX32" s="33" t="s">
        <v>117</v>
      </c>
      <c r="AY32" s="33" t="s">
        <v>117</v>
      </c>
      <c r="AZ32" s="33" t="s">
        <v>117</v>
      </c>
      <c r="BA32" s="42">
        <v>0</v>
      </c>
      <c r="BB32" s="42">
        <v>1</v>
      </c>
      <c r="BC32" s="42">
        <v>0</v>
      </c>
      <c r="BD32" s="42">
        <v>426.23989999999998</v>
      </c>
      <c r="BE32" s="42">
        <v>1</v>
      </c>
      <c r="BF32" s="42">
        <v>426.23989999999998</v>
      </c>
      <c r="BG32" s="42">
        <v>0</v>
      </c>
      <c r="BH32" s="42">
        <v>2552763648</v>
      </c>
      <c r="BI32" s="42">
        <v>2878167808</v>
      </c>
      <c r="BJ32" s="42">
        <v>3</v>
      </c>
      <c r="BK32" s="42">
        <v>0</v>
      </c>
      <c r="BL32" s="42">
        <v>1</v>
      </c>
      <c r="BM32" s="46" t="s">
        <v>117</v>
      </c>
      <c r="BN32" s="33"/>
      <c r="BO32" s="34"/>
    </row>
    <row r="33" spans="1:67" x14ac:dyDescent="0.25">
      <c r="A33" s="32">
        <v>30</v>
      </c>
      <c r="B33" s="42" t="s">
        <v>131</v>
      </c>
      <c r="C33" s="42">
        <v>1</v>
      </c>
      <c r="D33" s="42">
        <v>7567.6959999999999</v>
      </c>
      <c r="E33" s="42">
        <v>-44.665599999999998</v>
      </c>
      <c r="F33" s="42">
        <v>-8.4260000000000002</v>
      </c>
      <c r="G33" s="42">
        <v>0</v>
      </c>
      <c r="H33" s="42">
        <v>168.55019999999999</v>
      </c>
      <c r="I33" s="57">
        <v>4</v>
      </c>
      <c r="J33" s="42">
        <v>2</v>
      </c>
      <c r="K33" s="42">
        <v>5</v>
      </c>
      <c r="L33" s="42">
        <v>1</v>
      </c>
      <c r="M33" s="42">
        <v>214.81039999999999</v>
      </c>
      <c r="N33" s="42">
        <v>1</v>
      </c>
      <c r="O33" s="42">
        <v>4146.8460999999998</v>
      </c>
      <c r="P33" s="42">
        <v>42.911900000000003</v>
      </c>
      <c r="Q33" s="42">
        <v>1</v>
      </c>
      <c r="R33" s="42">
        <v>1361.4314999999999</v>
      </c>
      <c r="S33" s="42">
        <v>19.020800000000001</v>
      </c>
      <c r="T33" s="42">
        <v>200.95310000000001</v>
      </c>
      <c r="U33" s="42">
        <v>10</v>
      </c>
      <c r="V33" s="42">
        <v>1</v>
      </c>
      <c r="W33" s="42">
        <v>187.76830000000001</v>
      </c>
      <c r="X33" s="42">
        <v>0.18820000000000001</v>
      </c>
      <c r="Y33" s="42">
        <v>182.7474</v>
      </c>
      <c r="Z33" s="42">
        <v>72.731700000000004</v>
      </c>
      <c r="AA33" s="42">
        <v>166.61420000000001</v>
      </c>
      <c r="AB33" s="42">
        <v>2.2797999999999998</v>
      </c>
      <c r="AC33" s="42">
        <v>5</v>
      </c>
      <c r="AD33" s="42">
        <v>5</v>
      </c>
      <c r="AE33" s="42">
        <v>64.585099999999997</v>
      </c>
      <c r="AF33" s="42">
        <v>42.372599999999998</v>
      </c>
      <c r="AG33" s="42">
        <v>320.78210000000001</v>
      </c>
      <c r="AH33" s="42">
        <v>299.61009999999999</v>
      </c>
      <c r="AI33" s="42">
        <v>314.32499999999999</v>
      </c>
      <c r="AJ33" s="42">
        <v>499.01389999999998</v>
      </c>
      <c r="AK33" s="42">
        <v>1639613440</v>
      </c>
      <c r="AL33" s="42">
        <v>1008906752</v>
      </c>
      <c r="AM33" s="42">
        <v>36550</v>
      </c>
      <c r="AN33" s="42">
        <v>141400</v>
      </c>
      <c r="AO33" s="33" t="s">
        <v>117</v>
      </c>
      <c r="AP33" s="33" t="s">
        <v>117</v>
      </c>
      <c r="AQ33" s="33" t="s">
        <v>117</v>
      </c>
      <c r="AR33" s="33" t="s">
        <v>117</v>
      </c>
      <c r="AS33" s="33" t="s">
        <v>117</v>
      </c>
      <c r="AT33" s="33" t="s">
        <v>117</v>
      </c>
      <c r="AU33" s="33" t="s">
        <v>117</v>
      </c>
      <c r="AV33" s="33" t="s">
        <v>117</v>
      </c>
      <c r="AW33" s="33" t="s">
        <v>117</v>
      </c>
      <c r="AX33" s="33" t="s">
        <v>117</v>
      </c>
      <c r="AY33" s="33" t="s">
        <v>117</v>
      </c>
      <c r="AZ33" s="33" t="s">
        <v>117</v>
      </c>
      <c r="BA33" s="42">
        <v>4</v>
      </c>
      <c r="BB33" s="42">
        <v>1</v>
      </c>
      <c r="BC33" s="42">
        <v>4</v>
      </c>
      <c r="BD33" s="42">
        <v>64.585099999999997</v>
      </c>
      <c r="BE33" s="42">
        <v>1</v>
      </c>
      <c r="BF33" s="42">
        <v>64.585099999999997</v>
      </c>
      <c r="BG33" s="42">
        <v>4</v>
      </c>
      <c r="BH33" s="42">
        <v>1639613440</v>
      </c>
      <c r="BI33" s="42">
        <v>1008906752</v>
      </c>
      <c r="BJ33" s="42">
        <v>2</v>
      </c>
      <c r="BK33" s="42">
        <v>0</v>
      </c>
      <c r="BL33" s="42">
        <v>0</v>
      </c>
      <c r="BM33" s="46" t="s">
        <v>117</v>
      </c>
      <c r="BN33" s="33"/>
      <c r="BO33" s="34"/>
    </row>
    <row r="34" spans="1:67" x14ac:dyDescent="0.25">
      <c r="A34" s="32">
        <v>31</v>
      </c>
      <c r="B34" s="42" t="s">
        <v>132</v>
      </c>
      <c r="C34" s="42">
        <v>0</v>
      </c>
      <c r="D34" s="42">
        <v>8064.0106999999998</v>
      </c>
      <c r="E34" s="42">
        <v>98.060199999999995</v>
      </c>
      <c r="F34" s="42">
        <v>-0.78459999999999996</v>
      </c>
      <c r="G34" s="42">
        <v>0</v>
      </c>
      <c r="H34" s="42">
        <v>128.82550000000001</v>
      </c>
      <c r="I34" s="57">
        <v>5</v>
      </c>
      <c r="J34" s="42">
        <v>3</v>
      </c>
      <c r="K34" s="42">
        <v>1</v>
      </c>
      <c r="L34" s="42">
        <v>0.75319999999999998</v>
      </c>
      <c r="M34" s="42">
        <v>272.52319999999997</v>
      </c>
      <c r="N34" s="42">
        <v>1</v>
      </c>
      <c r="O34" s="42">
        <v>15600.435799999999</v>
      </c>
      <c r="P34" s="42">
        <v>61.930599999999998</v>
      </c>
      <c r="Q34" s="42">
        <v>0.3553</v>
      </c>
      <c r="R34" s="42">
        <v>8845.9879000000001</v>
      </c>
      <c r="S34" s="42">
        <v>131.76400000000001</v>
      </c>
      <c r="T34" s="42">
        <v>15.0458</v>
      </c>
      <c r="U34" s="42">
        <v>8.9846000000000004</v>
      </c>
      <c r="V34" s="42">
        <v>1</v>
      </c>
      <c r="W34" s="42">
        <v>114.18300000000001</v>
      </c>
      <c r="X34" s="42">
        <v>1</v>
      </c>
      <c r="Y34" s="42">
        <v>5.7309000000000001</v>
      </c>
      <c r="Z34" s="42">
        <v>52.508200000000002</v>
      </c>
      <c r="AA34" s="42">
        <v>128.87819999999999</v>
      </c>
      <c r="AB34" s="42">
        <v>6.6083999999999996</v>
      </c>
      <c r="AC34" s="42">
        <v>4</v>
      </c>
      <c r="AD34" s="42">
        <v>5</v>
      </c>
      <c r="AE34" s="42">
        <v>228.536</v>
      </c>
      <c r="AF34" s="42">
        <v>108.74209999999999</v>
      </c>
      <c r="AG34" s="42">
        <v>443.52370000000002</v>
      </c>
      <c r="AH34" s="42">
        <v>212.01490000000001</v>
      </c>
      <c r="AI34" s="42">
        <v>0.51639999999999997</v>
      </c>
      <c r="AJ34" s="42">
        <v>154.20320000000001</v>
      </c>
      <c r="AK34" s="42">
        <v>2642360064</v>
      </c>
      <c r="AL34" s="42">
        <v>813608192</v>
      </c>
      <c r="AM34" s="42">
        <v>37900</v>
      </c>
      <c r="AN34" s="42">
        <v>146550</v>
      </c>
      <c r="AO34" s="33" t="s">
        <v>117</v>
      </c>
      <c r="AP34" s="33" t="s">
        <v>117</v>
      </c>
      <c r="AQ34" s="33" t="s">
        <v>117</v>
      </c>
      <c r="AR34" s="33" t="s">
        <v>117</v>
      </c>
      <c r="AS34" s="33" t="s">
        <v>117</v>
      </c>
      <c r="AT34" s="33" t="s">
        <v>117</v>
      </c>
      <c r="AU34" s="33" t="s">
        <v>117</v>
      </c>
      <c r="AV34" s="33" t="s">
        <v>117</v>
      </c>
      <c r="AW34" s="33" t="s">
        <v>117</v>
      </c>
      <c r="AX34" s="33" t="s">
        <v>117</v>
      </c>
      <c r="AY34" s="33" t="s">
        <v>117</v>
      </c>
      <c r="AZ34" s="33" t="s">
        <v>117</v>
      </c>
      <c r="BA34" s="42">
        <v>5</v>
      </c>
      <c r="BB34" s="42">
        <v>0.75319999999999998</v>
      </c>
      <c r="BC34" s="42">
        <v>5</v>
      </c>
      <c r="BD34" s="42">
        <v>228.536</v>
      </c>
      <c r="BE34" s="42">
        <v>0.75319999999999998</v>
      </c>
      <c r="BF34" s="42">
        <v>228.536</v>
      </c>
      <c r="BG34" s="42">
        <v>5</v>
      </c>
      <c r="BH34" s="42">
        <v>2642360064</v>
      </c>
      <c r="BI34" s="42">
        <v>813608192</v>
      </c>
      <c r="BJ34" s="42">
        <v>3</v>
      </c>
      <c r="BK34" s="42">
        <v>0</v>
      </c>
      <c r="BL34" s="42">
        <v>0</v>
      </c>
      <c r="BM34" s="46" t="s">
        <v>117</v>
      </c>
      <c r="BN34" s="33"/>
      <c r="BO34" s="34"/>
    </row>
    <row r="35" spans="1:67" x14ac:dyDescent="0.25">
      <c r="A35" s="32">
        <v>32</v>
      </c>
      <c r="B35" s="42" t="s">
        <v>183</v>
      </c>
      <c r="C35" s="42">
        <v>2</v>
      </c>
      <c r="D35" s="42">
        <v>14296.462</v>
      </c>
      <c r="E35" s="42">
        <v>29.836200000000002</v>
      </c>
      <c r="F35" s="42">
        <v>8.8043999999999993</v>
      </c>
      <c r="G35" s="42">
        <v>0</v>
      </c>
      <c r="H35" s="42">
        <v>7.6765999999999996</v>
      </c>
      <c r="I35" s="42">
        <v>1</v>
      </c>
      <c r="J35" s="42">
        <v>2</v>
      </c>
      <c r="K35" s="42">
        <v>5</v>
      </c>
      <c r="L35" s="42">
        <v>1</v>
      </c>
      <c r="M35" s="57">
        <v>0.1</v>
      </c>
      <c r="N35" s="42">
        <v>0</v>
      </c>
      <c r="O35" s="42">
        <v>7524.6853000000001</v>
      </c>
      <c r="P35" s="42">
        <v>77.096800000000002</v>
      </c>
      <c r="Q35" s="42">
        <v>1</v>
      </c>
      <c r="R35" s="42">
        <v>12570.4807</v>
      </c>
      <c r="S35" s="42">
        <v>104.4161</v>
      </c>
      <c r="T35" s="42">
        <v>127.41540000000001</v>
      </c>
      <c r="U35" s="42">
        <v>0.49259999999999998</v>
      </c>
      <c r="V35" s="42">
        <v>0.25640000000000002</v>
      </c>
      <c r="W35" s="42">
        <v>57.982900000000001</v>
      </c>
      <c r="X35" s="42">
        <v>0.26069999999999999</v>
      </c>
      <c r="Y35" s="42">
        <v>131.90600000000001</v>
      </c>
      <c r="Z35" s="42">
        <v>145.81530000000001</v>
      </c>
      <c r="AA35" s="42">
        <v>56.893099999999997</v>
      </c>
      <c r="AB35" s="42">
        <v>9.0645000000000007</v>
      </c>
      <c r="AC35" s="42">
        <v>2</v>
      </c>
      <c r="AD35" s="42">
        <v>1</v>
      </c>
      <c r="AE35" s="42">
        <v>280.67340000000002</v>
      </c>
      <c r="AF35" s="42">
        <v>152.613</v>
      </c>
      <c r="AG35" s="42">
        <v>290.08670000000001</v>
      </c>
      <c r="AH35" s="42">
        <v>173.09829999999999</v>
      </c>
      <c r="AI35" s="42">
        <v>391.09719999999999</v>
      </c>
      <c r="AJ35" s="42">
        <v>464.01479999999998</v>
      </c>
      <c r="AK35" s="42">
        <v>3214987520</v>
      </c>
      <c r="AL35" s="42">
        <v>4093228800</v>
      </c>
      <c r="AM35" s="42">
        <v>39250</v>
      </c>
      <c r="AN35" s="42">
        <v>151700</v>
      </c>
      <c r="AO35" s="33" t="s">
        <v>117</v>
      </c>
      <c r="AP35" s="33" t="s">
        <v>117</v>
      </c>
      <c r="AQ35" s="33" t="s">
        <v>117</v>
      </c>
      <c r="AR35" s="33" t="s">
        <v>117</v>
      </c>
      <c r="AS35" s="33" t="s">
        <v>117</v>
      </c>
      <c r="AT35" s="33" t="s">
        <v>117</v>
      </c>
      <c r="AU35" s="33" t="s">
        <v>117</v>
      </c>
      <c r="AV35" s="33" t="s">
        <v>117</v>
      </c>
      <c r="AW35" s="33" t="s">
        <v>117</v>
      </c>
      <c r="AX35" s="33" t="s">
        <v>117</v>
      </c>
      <c r="AY35" s="33" t="s">
        <v>117</v>
      </c>
      <c r="AZ35" s="33" t="s">
        <v>117</v>
      </c>
      <c r="BA35" s="42">
        <v>5</v>
      </c>
      <c r="BB35" s="42">
        <v>1</v>
      </c>
      <c r="BC35" s="42">
        <v>5</v>
      </c>
      <c r="BD35" s="42">
        <v>0.1</v>
      </c>
      <c r="BE35" s="42">
        <v>1</v>
      </c>
      <c r="BF35" s="42">
        <v>0.1</v>
      </c>
      <c r="BG35" s="42">
        <v>5</v>
      </c>
      <c r="BH35" s="42">
        <v>3214987520</v>
      </c>
      <c r="BI35" s="42">
        <v>4093228800</v>
      </c>
      <c r="BJ35" s="42">
        <v>2</v>
      </c>
      <c r="BK35" s="42">
        <v>0</v>
      </c>
      <c r="BL35" s="42">
        <v>0</v>
      </c>
      <c r="BM35" s="46" t="s">
        <v>117</v>
      </c>
      <c r="BN35" s="33"/>
      <c r="BO35" s="34"/>
    </row>
    <row r="36" spans="1:67" x14ac:dyDescent="0.25">
      <c r="A36" s="32">
        <v>33</v>
      </c>
      <c r="B36" s="42" t="s">
        <v>184</v>
      </c>
      <c r="C36" s="42">
        <v>2</v>
      </c>
      <c r="D36" s="42">
        <v>12299.830599999999</v>
      </c>
      <c r="E36" s="42">
        <v>-30.085599999999999</v>
      </c>
      <c r="F36" s="42">
        <v>-7.6599000000000004</v>
      </c>
      <c r="G36" s="42">
        <v>1</v>
      </c>
      <c r="H36" s="42">
        <v>130.20689999999999</v>
      </c>
      <c r="I36" s="42">
        <v>5</v>
      </c>
      <c r="J36" s="42">
        <v>0</v>
      </c>
      <c r="K36" s="42">
        <v>5</v>
      </c>
      <c r="L36" s="42">
        <v>1</v>
      </c>
      <c r="M36" s="57">
        <v>500</v>
      </c>
      <c r="N36" s="42">
        <v>0</v>
      </c>
      <c r="O36" s="42">
        <v>14888.3495</v>
      </c>
      <c r="P36" s="42">
        <v>114.8984</v>
      </c>
      <c r="Q36" s="42">
        <v>1</v>
      </c>
      <c r="R36" s="42">
        <v>2025.0672999999999</v>
      </c>
      <c r="S36" s="42">
        <v>174.48949999999999</v>
      </c>
      <c r="T36" s="42">
        <v>192.1046</v>
      </c>
      <c r="U36" s="42">
        <v>4.3932000000000002</v>
      </c>
      <c r="V36" s="42">
        <v>1</v>
      </c>
      <c r="W36" s="42">
        <v>144.09719999999999</v>
      </c>
      <c r="X36" s="42">
        <v>1</v>
      </c>
      <c r="Y36" s="42">
        <v>8.2533999999999992</v>
      </c>
      <c r="Z36" s="42">
        <v>7.4269999999999996</v>
      </c>
      <c r="AA36" s="42">
        <v>144.00040000000001</v>
      </c>
      <c r="AB36" s="42">
        <v>6.8181000000000003</v>
      </c>
      <c r="AC36" s="42">
        <v>4</v>
      </c>
      <c r="AD36" s="42">
        <v>0</v>
      </c>
      <c r="AE36" s="42">
        <v>130.4845</v>
      </c>
      <c r="AF36" s="42">
        <v>208.63489999999999</v>
      </c>
      <c r="AG36" s="42">
        <v>261.5883</v>
      </c>
      <c r="AH36" s="42">
        <v>264.45490000000001</v>
      </c>
      <c r="AI36" s="42">
        <v>401.61369999999999</v>
      </c>
      <c r="AJ36" s="42">
        <v>340.55410000000001</v>
      </c>
      <c r="AK36" s="42">
        <v>3376435200</v>
      </c>
      <c r="AL36" s="42">
        <v>390962688</v>
      </c>
      <c r="AM36" s="42">
        <v>40600</v>
      </c>
      <c r="AN36" s="42">
        <v>156850</v>
      </c>
      <c r="AO36" s="33" t="s">
        <v>117</v>
      </c>
      <c r="AP36" s="33" t="s">
        <v>117</v>
      </c>
      <c r="AQ36" s="33" t="s">
        <v>117</v>
      </c>
      <c r="AR36" s="33" t="s">
        <v>117</v>
      </c>
      <c r="AS36" s="33" t="s">
        <v>117</v>
      </c>
      <c r="AT36" s="33" t="s">
        <v>117</v>
      </c>
      <c r="AU36" s="33" t="s">
        <v>117</v>
      </c>
      <c r="AV36" s="33" t="s">
        <v>117</v>
      </c>
      <c r="AW36" s="33" t="s">
        <v>117</v>
      </c>
      <c r="AX36" s="33" t="s">
        <v>117</v>
      </c>
      <c r="AY36" s="33" t="s">
        <v>117</v>
      </c>
      <c r="AZ36" s="33" t="s">
        <v>117</v>
      </c>
      <c r="BA36" s="42">
        <v>5</v>
      </c>
      <c r="BB36" s="42">
        <v>1</v>
      </c>
      <c r="BC36" s="42">
        <v>5</v>
      </c>
      <c r="BD36" s="42">
        <v>500</v>
      </c>
      <c r="BE36" s="42">
        <v>1</v>
      </c>
      <c r="BF36" s="42">
        <v>500</v>
      </c>
      <c r="BG36" s="42">
        <v>5</v>
      </c>
      <c r="BH36" s="42">
        <v>3376435200</v>
      </c>
      <c r="BI36" s="42">
        <v>390962688</v>
      </c>
      <c r="BJ36" s="42">
        <v>0</v>
      </c>
      <c r="BK36" s="42">
        <v>0</v>
      </c>
      <c r="BL36" s="42">
        <v>0</v>
      </c>
      <c r="BM36" s="46" t="s">
        <v>117</v>
      </c>
      <c r="BN36" s="33"/>
      <c r="BO36" s="34"/>
    </row>
    <row r="37" spans="1:67" x14ac:dyDescent="0.25">
      <c r="A37" s="32">
        <v>34</v>
      </c>
      <c r="B37" s="42" t="s">
        <v>185</v>
      </c>
      <c r="C37" s="42">
        <v>2</v>
      </c>
      <c r="D37" s="42">
        <v>4472.0924000000005</v>
      </c>
      <c r="E37" s="42">
        <v>-79.009100000000004</v>
      </c>
      <c r="F37" s="42">
        <v>3.6999</v>
      </c>
      <c r="G37" s="42">
        <v>0</v>
      </c>
      <c r="H37" s="42">
        <v>180.79759999999999</v>
      </c>
      <c r="I37" s="42">
        <v>5</v>
      </c>
      <c r="J37" s="42">
        <v>0</v>
      </c>
      <c r="K37" s="42">
        <v>3</v>
      </c>
      <c r="L37" s="42">
        <v>1</v>
      </c>
      <c r="M37" s="57">
        <v>1.6405000000000001</v>
      </c>
      <c r="N37" s="42">
        <v>1</v>
      </c>
      <c r="O37" s="42">
        <v>2780.8137999999999</v>
      </c>
      <c r="P37" s="42">
        <v>49.866500000000002</v>
      </c>
      <c r="Q37" s="42">
        <v>0.29770000000000002</v>
      </c>
      <c r="R37" s="42">
        <v>3826.9418000000001</v>
      </c>
      <c r="S37" s="42">
        <v>74.571299999999994</v>
      </c>
      <c r="T37" s="42">
        <v>117.76130000000001</v>
      </c>
      <c r="U37" s="42">
        <v>2.2621000000000002</v>
      </c>
      <c r="V37" s="42">
        <v>8.0600000000000005E-2</v>
      </c>
      <c r="W37" s="42">
        <v>172.32400000000001</v>
      </c>
      <c r="X37" s="42">
        <v>1</v>
      </c>
      <c r="Y37" s="42">
        <v>70.828699999999998</v>
      </c>
      <c r="Z37" s="42">
        <v>25.977599999999999</v>
      </c>
      <c r="AA37" s="42">
        <v>193.96199999999999</v>
      </c>
      <c r="AB37" s="42">
        <v>5.4408000000000003</v>
      </c>
      <c r="AC37" s="42">
        <v>4</v>
      </c>
      <c r="AD37" s="42">
        <v>5</v>
      </c>
      <c r="AE37" s="42">
        <v>76.207400000000007</v>
      </c>
      <c r="AF37" s="42">
        <v>446.786</v>
      </c>
      <c r="AG37" s="42">
        <v>81.438999999999993</v>
      </c>
      <c r="AH37" s="42">
        <v>303.17250000000001</v>
      </c>
      <c r="AI37" s="42">
        <v>210.5676</v>
      </c>
      <c r="AJ37" s="42">
        <v>108.5048</v>
      </c>
      <c r="AK37" s="42">
        <v>2367542016</v>
      </c>
      <c r="AL37" s="42">
        <v>1101916416</v>
      </c>
      <c r="AM37" s="42">
        <v>41950</v>
      </c>
      <c r="AN37" s="42">
        <v>162000</v>
      </c>
      <c r="AO37" s="33" t="s">
        <v>117</v>
      </c>
      <c r="AP37" s="33" t="s">
        <v>117</v>
      </c>
      <c r="AQ37" s="33" t="s">
        <v>117</v>
      </c>
      <c r="AR37" s="33" t="s">
        <v>117</v>
      </c>
      <c r="AS37" s="33" t="s">
        <v>117</v>
      </c>
      <c r="AT37" s="33" t="s">
        <v>117</v>
      </c>
      <c r="AU37" s="33" t="s">
        <v>117</v>
      </c>
      <c r="AV37" s="33" t="s">
        <v>117</v>
      </c>
      <c r="AW37" s="33" t="s">
        <v>117</v>
      </c>
      <c r="AX37" s="33" t="s">
        <v>117</v>
      </c>
      <c r="AY37" s="33" t="s">
        <v>117</v>
      </c>
      <c r="AZ37" s="33" t="s">
        <v>117</v>
      </c>
      <c r="BA37" s="42">
        <v>5</v>
      </c>
      <c r="BB37" s="42">
        <v>1</v>
      </c>
      <c r="BC37" s="42">
        <v>5</v>
      </c>
      <c r="BD37" s="42">
        <v>1.6405000000000001</v>
      </c>
      <c r="BE37" s="42">
        <v>1</v>
      </c>
      <c r="BF37" s="42">
        <v>1.6405000000000001</v>
      </c>
      <c r="BG37" s="42">
        <v>5</v>
      </c>
      <c r="BH37" s="42">
        <v>2367542016</v>
      </c>
      <c r="BI37" s="42">
        <v>1101916416</v>
      </c>
      <c r="BJ37" s="42">
        <v>0</v>
      </c>
      <c r="BK37" s="42">
        <v>0</v>
      </c>
      <c r="BL37" s="42">
        <v>0</v>
      </c>
      <c r="BM37" s="46" t="s">
        <v>117</v>
      </c>
      <c r="BN37" s="33"/>
      <c r="BO37" s="34"/>
    </row>
    <row r="38" spans="1:67" x14ac:dyDescent="0.25">
      <c r="A38" s="32">
        <v>35</v>
      </c>
      <c r="B38" s="42" t="s">
        <v>186</v>
      </c>
      <c r="C38" s="42">
        <v>0</v>
      </c>
      <c r="D38" s="42">
        <v>11037.5326</v>
      </c>
      <c r="E38" s="42">
        <v>-62.734099999999998</v>
      </c>
      <c r="F38" s="42">
        <v>8.907</v>
      </c>
      <c r="G38" s="42">
        <v>0</v>
      </c>
      <c r="H38" s="42">
        <v>68.418099999999995</v>
      </c>
      <c r="I38" s="42">
        <v>3</v>
      </c>
      <c r="J38" s="42">
        <v>0</v>
      </c>
      <c r="K38" s="42">
        <v>5</v>
      </c>
      <c r="L38" s="42">
        <v>0.58789999999999998</v>
      </c>
      <c r="M38" s="42">
        <v>413.55669999999998</v>
      </c>
      <c r="N38" s="57">
        <v>0</v>
      </c>
      <c r="O38" s="42">
        <v>8129.0029999999997</v>
      </c>
      <c r="P38" s="42">
        <v>187.7808</v>
      </c>
      <c r="Q38" s="42">
        <v>1</v>
      </c>
      <c r="R38" s="42">
        <v>13168.993399999999</v>
      </c>
      <c r="S38" s="42">
        <v>30.8568</v>
      </c>
      <c r="T38" s="42">
        <v>91.430599999999998</v>
      </c>
      <c r="U38" s="42">
        <v>1.2562</v>
      </c>
      <c r="V38" s="42">
        <v>1</v>
      </c>
      <c r="W38" s="42">
        <v>19.3719</v>
      </c>
      <c r="X38" s="42">
        <v>1</v>
      </c>
      <c r="Y38" s="42">
        <v>192.6876</v>
      </c>
      <c r="Z38" s="42">
        <v>42.106299999999997</v>
      </c>
      <c r="AA38" s="42">
        <v>98.539199999999994</v>
      </c>
      <c r="AB38" s="42">
        <v>5.7343999999999999</v>
      </c>
      <c r="AC38" s="42">
        <v>2</v>
      </c>
      <c r="AD38" s="42">
        <v>2</v>
      </c>
      <c r="AE38" s="42">
        <v>219.56399999999999</v>
      </c>
      <c r="AF38" s="42">
        <v>235.5256</v>
      </c>
      <c r="AG38" s="42">
        <v>385.71449999999999</v>
      </c>
      <c r="AH38" s="42">
        <v>469.60160000000002</v>
      </c>
      <c r="AI38" s="42">
        <v>229.0899</v>
      </c>
      <c r="AJ38" s="42">
        <v>326.59039999999999</v>
      </c>
      <c r="AK38" s="42">
        <v>2404469248</v>
      </c>
      <c r="AL38" s="42">
        <v>1970866176</v>
      </c>
      <c r="AM38" s="42">
        <v>43300</v>
      </c>
      <c r="AN38" s="42">
        <v>167150</v>
      </c>
      <c r="AO38" s="33" t="s">
        <v>117</v>
      </c>
      <c r="AP38" s="33" t="s">
        <v>117</v>
      </c>
      <c r="AQ38" s="33" t="s">
        <v>117</v>
      </c>
      <c r="AR38" s="33" t="s">
        <v>117</v>
      </c>
      <c r="AS38" s="33" t="s">
        <v>117</v>
      </c>
      <c r="AT38" s="33" t="s">
        <v>117</v>
      </c>
      <c r="AU38" s="33" t="s">
        <v>117</v>
      </c>
      <c r="AV38" s="33" t="s">
        <v>117</v>
      </c>
      <c r="AW38" s="33" t="s">
        <v>117</v>
      </c>
      <c r="AX38" s="33" t="s">
        <v>117</v>
      </c>
      <c r="AY38" s="33" t="s">
        <v>117</v>
      </c>
      <c r="AZ38" s="33" t="s">
        <v>117</v>
      </c>
      <c r="BA38" s="42">
        <v>5</v>
      </c>
      <c r="BB38" s="42">
        <v>1</v>
      </c>
      <c r="BC38" s="42">
        <v>5</v>
      </c>
      <c r="BD38" s="42">
        <v>219.56399999999999</v>
      </c>
      <c r="BE38" s="42">
        <v>1</v>
      </c>
      <c r="BF38" s="42">
        <v>219.56399999999999</v>
      </c>
      <c r="BG38" s="42">
        <v>5</v>
      </c>
      <c r="BH38" s="42">
        <v>2404469248</v>
      </c>
      <c r="BI38" s="42">
        <v>1970866176</v>
      </c>
      <c r="BJ38" s="42">
        <v>0</v>
      </c>
      <c r="BK38" s="42">
        <v>0</v>
      </c>
      <c r="BL38" s="42">
        <v>0</v>
      </c>
      <c r="BM38" s="46" t="s">
        <v>117</v>
      </c>
      <c r="BN38" s="33"/>
      <c r="BO38" s="34"/>
    </row>
    <row r="39" spans="1:67" x14ac:dyDescent="0.25">
      <c r="A39" s="32">
        <v>36</v>
      </c>
      <c r="B39" s="42" t="s">
        <v>233</v>
      </c>
      <c r="C39" s="42">
        <v>0</v>
      </c>
      <c r="D39" s="42">
        <v>4204.8009000000002</v>
      </c>
      <c r="E39" s="42">
        <v>-84.385400000000004</v>
      </c>
      <c r="F39" s="42">
        <v>-5.1364999999999998</v>
      </c>
      <c r="G39" s="42">
        <v>1</v>
      </c>
      <c r="H39" s="42">
        <v>23.565899999999999</v>
      </c>
      <c r="I39" s="42">
        <v>2</v>
      </c>
      <c r="J39" s="42">
        <v>0</v>
      </c>
      <c r="K39" s="42">
        <v>3</v>
      </c>
      <c r="L39" s="42">
        <v>0.14099999999999999</v>
      </c>
      <c r="M39" s="42">
        <v>327.05070000000001</v>
      </c>
      <c r="N39" s="57">
        <v>1</v>
      </c>
      <c r="O39" s="42">
        <v>6156.0796</v>
      </c>
      <c r="P39" s="42">
        <v>83.7697</v>
      </c>
      <c r="Q39" s="42">
        <v>1</v>
      </c>
      <c r="R39" s="42">
        <v>1318.5789</v>
      </c>
      <c r="S39" s="42">
        <v>24.094999999999999</v>
      </c>
      <c r="T39" s="42">
        <v>87.067599999999999</v>
      </c>
      <c r="U39" s="42">
        <v>6.5343999999999998</v>
      </c>
      <c r="V39" s="42">
        <v>0.71899999999999997</v>
      </c>
      <c r="W39" s="42">
        <v>117.73090000000001</v>
      </c>
      <c r="X39" s="42">
        <v>0.88549999999999995</v>
      </c>
      <c r="Y39" s="42">
        <v>142.04419999999999</v>
      </c>
      <c r="Z39" s="42">
        <v>117.5664</v>
      </c>
      <c r="AA39" s="42">
        <v>17.484100000000002</v>
      </c>
      <c r="AB39" s="42">
        <v>1.931</v>
      </c>
      <c r="AC39" s="42">
        <v>3</v>
      </c>
      <c r="AD39" s="42">
        <v>5</v>
      </c>
      <c r="AE39" s="42">
        <v>442.73689999999999</v>
      </c>
      <c r="AF39" s="42">
        <v>204.9967</v>
      </c>
      <c r="AG39" s="42">
        <v>275.32459999999998</v>
      </c>
      <c r="AH39" s="42">
        <v>468.738</v>
      </c>
      <c r="AI39" s="42">
        <v>428.58929999999998</v>
      </c>
      <c r="AJ39" s="42">
        <v>449.08929999999998</v>
      </c>
      <c r="AK39" s="42">
        <v>3478316288</v>
      </c>
      <c r="AL39" s="42">
        <v>1901308672</v>
      </c>
      <c r="AM39" s="42">
        <v>44650</v>
      </c>
      <c r="AN39" s="42">
        <v>172300</v>
      </c>
      <c r="AO39" s="33" t="s">
        <v>117</v>
      </c>
      <c r="AP39" s="33" t="s">
        <v>117</v>
      </c>
      <c r="AQ39" s="33" t="s">
        <v>117</v>
      </c>
      <c r="AR39" s="33" t="s">
        <v>117</v>
      </c>
      <c r="AS39" s="33" t="s">
        <v>117</v>
      </c>
      <c r="AT39" s="33" t="s">
        <v>117</v>
      </c>
      <c r="AU39" s="33" t="s">
        <v>117</v>
      </c>
      <c r="AV39" s="33" t="s">
        <v>117</v>
      </c>
      <c r="AW39" s="33" t="s">
        <v>117</v>
      </c>
      <c r="AX39" s="33" t="s">
        <v>117</v>
      </c>
      <c r="AY39" s="33" t="s">
        <v>117</v>
      </c>
      <c r="AZ39" s="33" t="s">
        <v>117</v>
      </c>
      <c r="BA39" s="42">
        <v>4</v>
      </c>
      <c r="BB39" s="42">
        <v>1</v>
      </c>
      <c r="BC39" s="42">
        <v>4</v>
      </c>
      <c r="BD39" s="42">
        <v>442.73689999999999</v>
      </c>
      <c r="BE39" s="42">
        <v>1</v>
      </c>
      <c r="BF39" s="42">
        <v>442.73689999999999</v>
      </c>
      <c r="BG39" s="42">
        <v>4</v>
      </c>
      <c r="BH39" s="42">
        <v>3478316288</v>
      </c>
      <c r="BI39" s="42">
        <v>1901308672</v>
      </c>
      <c r="BJ39" s="42">
        <v>0</v>
      </c>
      <c r="BK39" s="42">
        <v>0</v>
      </c>
      <c r="BL39" s="42">
        <v>0</v>
      </c>
      <c r="BM39" s="46" t="s">
        <v>117</v>
      </c>
      <c r="BN39" s="33"/>
      <c r="BO39" s="34"/>
    </row>
    <row r="40" spans="1:67" x14ac:dyDescent="0.25">
      <c r="A40" s="32">
        <v>37</v>
      </c>
      <c r="B40" s="42" t="s">
        <v>187</v>
      </c>
      <c r="C40" s="42">
        <v>0</v>
      </c>
      <c r="D40" s="42">
        <v>507.11790000000002</v>
      </c>
      <c r="E40" s="42">
        <v>92.813400000000001</v>
      </c>
      <c r="F40" s="42">
        <v>7.7698999999999998</v>
      </c>
      <c r="G40" s="42">
        <v>0</v>
      </c>
      <c r="H40" s="42">
        <v>155.0909</v>
      </c>
      <c r="I40" s="42">
        <v>0</v>
      </c>
      <c r="J40" s="42">
        <v>1</v>
      </c>
      <c r="K40" s="42">
        <v>4</v>
      </c>
      <c r="L40" s="42">
        <v>1</v>
      </c>
      <c r="M40" s="42">
        <v>23.520199999999999</v>
      </c>
      <c r="N40" s="42">
        <v>1</v>
      </c>
      <c r="O40" s="57">
        <v>0</v>
      </c>
      <c r="P40" s="42">
        <v>186.18109999999999</v>
      </c>
      <c r="Q40" s="42">
        <v>1</v>
      </c>
      <c r="R40" s="42">
        <v>812.32330000000002</v>
      </c>
      <c r="S40" s="42">
        <v>25.4437</v>
      </c>
      <c r="T40" s="42">
        <v>191.06219999999999</v>
      </c>
      <c r="U40" s="42">
        <v>0.61260000000000003</v>
      </c>
      <c r="V40" s="42">
        <v>1</v>
      </c>
      <c r="W40" s="42">
        <v>23.927700000000002</v>
      </c>
      <c r="X40" s="42">
        <v>0.48320000000000002</v>
      </c>
      <c r="Y40" s="42">
        <v>39.686799999999998</v>
      </c>
      <c r="Z40" s="42">
        <v>116.5193</v>
      </c>
      <c r="AA40" s="42">
        <v>170.8021</v>
      </c>
      <c r="AB40" s="42">
        <v>6.7725</v>
      </c>
      <c r="AC40" s="42">
        <v>4</v>
      </c>
      <c r="AD40" s="42">
        <v>4</v>
      </c>
      <c r="AE40" s="42">
        <v>310.16699999999997</v>
      </c>
      <c r="AF40" s="42">
        <v>325.62200000000001</v>
      </c>
      <c r="AG40" s="42">
        <v>379.28559999999999</v>
      </c>
      <c r="AH40" s="42">
        <v>175.96090000000001</v>
      </c>
      <c r="AI40" s="42">
        <v>192.13200000000001</v>
      </c>
      <c r="AJ40" s="42">
        <v>62.468899999999998</v>
      </c>
      <c r="AK40" s="42">
        <v>4068509440</v>
      </c>
      <c r="AL40" s="42">
        <v>3036118272</v>
      </c>
      <c r="AM40" s="42">
        <v>46000</v>
      </c>
      <c r="AN40" s="42">
        <v>177450</v>
      </c>
      <c r="AO40" s="33" t="s">
        <v>117</v>
      </c>
      <c r="AP40" s="33" t="s">
        <v>117</v>
      </c>
      <c r="AQ40" s="33" t="s">
        <v>117</v>
      </c>
      <c r="AR40" s="33" t="s">
        <v>117</v>
      </c>
      <c r="AS40" s="33" t="s">
        <v>117</v>
      </c>
      <c r="AT40" s="33" t="s">
        <v>117</v>
      </c>
      <c r="AU40" s="33" t="s">
        <v>117</v>
      </c>
      <c r="AV40" s="33" t="s">
        <v>117</v>
      </c>
      <c r="AW40" s="33" t="s">
        <v>117</v>
      </c>
      <c r="AX40" s="33" t="s">
        <v>117</v>
      </c>
      <c r="AY40" s="33" t="s">
        <v>117</v>
      </c>
      <c r="AZ40" s="33" t="s">
        <v>117</v>
      </c>
      <c r="BA40" s="42">
        <v>0</v>
      </c>
      <c r="BB40" s="42">
        <v>1</v>
      </c>
      <c r="BC40" s="42">
        <v>0</v>
      </c>
      <c r="BD40" s="42">
        <v>325.62200000000001</v>
      </c>
      <c r="BE40" s="42">
        <v>1</v>
      </c>
      <c r="BF40" s="42">
        <v>325.62200000000001</v>
      </c>
      <c r="BG40" s="42">
        <v>0</v>
      </c>
      <c r="BH40" s="42">
        <v>4068509440</v>
      </c>
      <c r="BI40" s="42">
        <v>3036118272</v>
      </c>
      <c r="BJ40" s="42">
        <v>1</v>
      </c>
      <c r="BK40" s="42">
        <v>0</v>
      </c>
      <c r="BL40" s="42">
        <v>0</v>
      </c>
      <c r="BM40" s="46" t="s">
        <v>117</v>
      </c>
      <c r="BN40" s="33"/>
      <c r="BO40" s="34"/>
    </row>
    <row r="41" spans="1:67" x14ac:dyDescent="0.25">
      <c r="A41" s="32">
        <v>38</v>
      </c>
      <c r="B41" s="42" t="s">
        <v>188</v>
      </c>
      <c r="C41" s="42">
        <v>1</v>
      </c>
      <c r="D41" s="42">
        <v>5287.6482999999998</v>
      </c>
      <c r="E41" s="42">
        <v>8.9479000000000006</v>
      </c>
      <c r="F41" s="42">
        <v>-0.73450000000000004</v>
      </c>
      <c r="G41" s="42">
        <v>0</v>
      </c>
      <c r="H41" s="42">
        <v>71.978999999999999</v>
      </c>
      <c r="I41" s="42">
        <v>0</v>
      </c>
      <c r="J41" s="42">
        <v>0</v>
      </c>
      <c r="K41" s="42">
        <v>4</v>
      </c>
      <c r="L41" s="42">
        <v>1</v>
      </c>
      <c r="M41" s="42">
        <v>456.62490000000003</v>
      </c>
      <c r="N41" s="42">
        <v>1</v>
      </c>
      <c r="O41" s="57">
        <v>16383.75</v>
      </c>
      <c r="P41" s="42">
        <v>141.82470000000001</v>
      </c>
      <c r="Q41" s="42">
        <v>0.80559999999999998</v>
      </c>
      <c r="R41" s="42">
        <v>3864.0088999999998</v>
      </c>
      <c r="S41" s="42">
        <v>46.971400000000003</v>
      </c>
      <c r="T41" s="42">
        <v>189.50620000000001</v>
      </c>
      <c r="U41" s="42">
        <v>0.86839999999999995</v>
      </c>
      <c r="V41" s="42">
        <v>1</v>
      </c>
      <c r="W41" s="42">
        <v>162.12819999999999</v>
      </c>
      <c r="X41" s="42">
        <v>1</v>
      </c>
      <c r="Y41" s="42">
        <v>143.0676</v>
      </c>
      <c r="Z41" s="42">
        <v>32.183799999999998</v>
      </c>
      <c r="AA41" s="42">
        <v>141.36250000000001</v>
      </c>
      <c r="AB41" s="42">
        <v>1.0653999999999999</v>
      </c>
      <c r="AC41" s="42">
        <v>5</v>
      </c>
      <c r="AD41" s="42">
        <v>5</v>
      </c>
      <c r="AE41" s="42">
        <v>290.19139999999999</v>
      </c>
      <c r="AF41" s="42">
        <v>173.0814</v>
      </c>
      <c r="AG41" s="42">
        <v>286.20389999999998</v>
      </c>
      <c r="AH41" s="42">
        <v>212.0264</v>
      </c>
      <c r="AI41" s="42">
        <v>4.2302</v>
      </c>
      <c r="AJ41" s="42">
        <v>269.6454</v>
      </c>
      <c r="AK41" s="42">
        <v>2063150592</v>
      </c>
      <c r="AL41" s="42">
        <v>3941354496</v>
      </c>
      <c r="AM41" s="42">
        <v>47350</v>
      </c>
      <c r="AN41" s="42">
        <v>182600</v>
      </c>
      <c r="AO41" s="33" t="s">
        <v>117</v>
      </c>
      <c r="AP41" s="33" t="s">
        <v>117</v>
      </c>
      <c r="AQ41" s="33" t="s">
        <v>117</v>
      </c>
      <c r="AR41" s="33" t="s">
        <v>117</v>
      </c>
      <c r="AS41" s="33" t="s">
        <v>117</v>
      </c>
      <c r="AT41" s="33" t="s">
        <v>117</v>
      </c>
      <c r="AU41" s="33" t="s">
        <v>117</v>
      </c>
      <c r="AV41" s="33" t="s">
        <v>117</v>
      </c>
      <c r="AW41" s="33" t="s">
        <v>117</v>
      </c>
      <c r="AX41" s="33" t="s">
        <v>117</v>
      </c>
      <c r="AY41" s="33" t="s">
        <v>117</v>
      </c>
      <c r="AZ41" s="33" t="s">
        <v>117</v>
      </c>
      <c r="BA41" s="42">
        <v>1</v>
      </c>
      <c r="BB41" s="42">
        <v>0.80559999999999998</v>
      </c>
      <c r="BC41" s="42">
        <v>1</v>
      </c>
      <c r="BD41" s="42">
        <v>269.6454</v>
      </c>
      <c r="BE41" s="42">
        <v>0.80559999999999998</v>
      </c>
      <c r="BF41" s="42">
        <v>269.6454</v>
      </c>
      <c r="BG41" s="42">
        <v>1</v>
      </c>
      <c r="BH41" s="42">
        <v>47350</v>
      </c>
      <c r="BI41" s="42">
        <v>3941354496</v>
      </c>
      <c r="BJ41" s="42">
        <v>0</v>
      </c>
      <c r="BK41" s="42">
        <v>1</v>
      </c>
      <c r="BL41" s="42">
        <v>0</v>
      </c>
      <c r="BM41" s="46" t="s">
        <v>117</v>
      </c>
      <c r="BN41" s="33"/>
      <c r="BO41" s="34"/>
    </row>
    <row r="42" spans="1:67" x14ac:dyDescent="0.25">
      <c r="A42" s="32">
        <v>39</v>
      </c>
      <c r="B42" s="42" t="s">
        <v>231</v>
      </c>
      <c r="C42" s="42">
        <v>0</v>
      </c>
      <c r="D42" s="42">
        <v>12946.0643</v>
      </c>
      <c r="E42" s="42">
        <v>-0.63029999999999997</v>
      </c>
      <c r="F42" s="42">
        <v>0.33210000000000001</v>
      </c>
      <c r="G42" s="42">
        <v>0</v>
      </c>
      <c r="H42" s="42">
        <v>82.811300000000003</v>
      </c>
      <c r="I42" s="42">
        <v>0</v>
      </c>
      <c r="J42" s="42">
        <v>0</v>
      </c>
      <c r="K42" s="42">
        <v>5</v>
      </c>
      <c r="L42" s="42">
        <v>0.70469999999999999</v>
      </c>
      <c r="M42" s="42">
        <v>245.90610000000001</v>
      </c>
      <c r="N42" s="42">
        <v>1</v>
      </c>
      <c r="O42" s="57">
        <v>3000</v>
      </c>
      <c r="P42" s="42">
        <v>187.9254</v>
      </c>
      <c r="Q42" s="42">
        <v>1</v>
      </c>
      <c r="R42" s="42">
        <v>6452.4897000000001</v>
      </c>
      <c r="S42" s="42">
        <v>17.8063</v>
      </c>
      <c r="T42" s="42">
        <v>156.6558</v>
      </c>
      <c r="U42" s="42">
        <v>4.4561999999999999</v>
      </c>
      <c r="V42" s="42">
        <v>1</v>
      </c>
      <c r="W42" s="42">
        <v>44.009300000000003</v>
      </c>
      <c r="X42" s="42">
        <v>1</v>
      </c>
      <c r="Y42" s="42">
        <v>167.29140000000001</v>
      </c>
      <c r="Z42" s="42">
        <v>15.476800000000001</v>
      </c>
      <c r="AA42" s="42">
        <v>31.733799999999999</v>
      </c>
      <c r="AB42" s="42">
        <v>9.7104999999999997</v>
      </c>
      <c r="AC42" s="42">
        <v>4</v>
      </c>
      <c r="AD42" s="42">
        <v>1</v>
      </c>
      <c r="AE42" s="42">
        <v>42.161200000000001</v>
      </c>
      <c r="AF42" s="42">
        <v>292.66300000000001</v>
      </c>
      <c r="AG42" s="42">
        <v>320.59359999999998</v>
      </c>
      <c r="AH42" s="42">
        <v>278.91860000000003</v>
      </c>
      <c r="AI42" s="42">
        <v>65.292900000000003</v>
      </c>
      <c r="AJ42" s="42">
        <v>328.50709999999998</v>
      </c>
      <c r="AK42" s="42">
        <v>4176165120</v>
      </c>
      <c r="AL42" s="42">
        <v>3809074944</v>
      </c>
      <c r="AM42" s="42">
        <v>48700</v>
      </c>
      <c r="AN42" s="42">
        <v>187750</v>
      </c>
      <c r="AO42" s="33" t="s">
        <v>117</v>
      </c>
      <c r="AP42" s="33" t="s">
        <v>117</v>
      </c>
      <c r="AQ42" s="33" t="s">
        <v>117</v>
      </c>
      <c r="AR42" s="33" t="s">
        <v>117</v>
      </c>
      <c r="AS42" s="33" t="s">
        <v>117</v>
      </c>
      <c r="AT42" s="33" t="s">
        <v>117</v>
      </c>
      <c r="AU42" s="33" t="s">
        <v>117</v>
      </c>
      <c r="AV42" s="33" t="s">
        <v>117</v>
      </c>
      <c r="AW42" s="33" t="s">
        <v>117</v>
      </c>
      <c r="AX42" s="33" t="s">
        <v>117</v>
      </c>
      <c r="AY42" s="33" t="s">
        <v>117</v>
      </c>
      <c r="AZ42" s="33" t="s">
        <v>117</v>
      </c>
      <c r="BA42" s="42">
        <v>0</v>
      </c>
      <c r="BB42" s="42">
        <v>0.70469999999999999</v>
      </c>
      <c r="BC42" s="42">
        <v>0</v>
      </c>
      <c r="BD42" s="42">
        <v>1</v>
      </c>
      <c r="BE42" s="42">
        <v>0.70469999999999999</v>
      </c>
      <c r="BF42" s="42">
        <v>1</v>
      </c>
      <c r="BG42" s="42">
        <v>0</v>
      </c>
      <c r="BH42" s="42">
        <v>4176165120</v>
      </c>
      <c r="BI42" s="42">
        <v>3809074944</v>
      </c>
      <c r="BJ42" s="42">
        <v>5</v>
      </c>
      <c r="BK42" s="42">
        <v>0</v>
      </c>
      <c r="BL42" s="42">
        <v>0</v>
      </c>
      <c r="BM42" s="46" t="s">
        <v>117</v>
      </c>
      <c r="BN42" s="33"/>
      <c r="BO42" s="34"/>
    </row>
    <row r="43" spans="1:67" x14ac:dyDescent="0.25">
      <c r="A43" s="32">
        <v>40</v>
      </c>
      <c r="B43" s="42" t="s">
        <v>189</v>
      </c>
      <c r="C43" s="42">
        <v>0</v>
      </c>
      <c r="D43" s="42">
        <v>0.5</v>
      </c>
      <c r="E43" s="42">
        <v>95.566299999999998</v>
      </c>
      <c r="F43" s="42">
        <v>6.1596000000000002</v>
      </c>
      <c r="G43" s="42">
        <v>0</v>
      </c>
      <c r="H43" s="42">
        <v>150.26220000000001</v>
      </c>
      <c r="I43" s="42">
        <v>0</v>
      </c>
      <c r="J43" s="42">
        <v>4</v>
      </c>
      <c r="K43" s="42">
        <v>0</v>
      </c>
      <c r="L43" s="42">
        <v>1</v>
      </c>
      <c r="M43" s="42">
        <v>335.92020000000002</v>
      </c>
      <c r="N43" s="42">
        <v>1</v>
      </c>
      <c r="O43" s="42">
        <v>1269.2963999999999</v>
      </c>
      <c r="P43" s="57">
        <v>0</v>
      </c>
      <c r="Q43" s="42">
        <v>1</v>
      </c>
      <c r="R43" s="42">
        <v>11586.6378</v>
      </c>
      <c r="S43" s="42">
        <v>86.985299999999995</v>
      </c>
      <c r="T43" s="42">
        <v>101.0744</v>
      </c>
      <c r="U43" s="42">
        <v>7.4394</v>
      </c>
      <c r="V43" s="42">
        <v>0.77510000000000001</v>
      </c>
      <c r="W43" s="42">
        <v>199.85640000000001</v>
      </c>
      <c r="X43" s="42">
        <v>1</v>
      </c>
      <c r="Y43" s="42">
        <v>184.459</v>
      </c>
      <c r="Z43" s="42">
        <v>58.1755</v>
      </c>
      <c r="AA43" s="42">
        <v>60.274799999999999</v>
      </c>
      <c r="AB43" s="42">
        <v>8.5164000000000009</v>
      </c>
      <c r="AC43" s="42">
        <v>4</v>
      </c>
      <c r="AD43" s="42">
        <v>0</v>
      </c>
      <c r="AE43" s="42">
        <v>426.56610000000001</v>
      </c>
      <c r="AF43" s="42">
        <v>415.83269999999999</v>
      </c>
      <c r="AG43" s="42">
        <v>169.33410000000001</v>
      </c>
      <c r="AH43" s="42">
        <v>22.569299999999998</v>
      </c>
      <c r="AI43" s="42">
        <v>106.4765</v>
      </c>
      <c r="AJ43" s="42">
        <v>83.042100000000005</v>
      </c>
      <c r="AK43" s="42">
        <v>2835421184</v>
      </c>
      <c r="AL43" s="42">
        <v>482158080</v>
      </c>
      <c r="AM43" s="42">
        <v>50050</v>
      </c>
      <c r="AN43" s="42">
        <v>192900</v>
      </c>
      <c r="AO43" s="33" t="s">
        <v>117</v>
      </c>
      <c r="AP43" s="33" t="s">
        <v>117</v>
      </c>
      <c r="AQ43" s="33" t="s">
        <v>117</v>
      </c>
      <c r="AR43" s="33" t="s">
        <v>117</v>
      </c>
      <c r="AS43" s="33" t="s">
        <v>117</v>
      </c>
      <c r="AT43" s="33" t="s">
        <v>117</v>
      </c>
      <c r="AU43" s="33" t="s">
        <v>117</v>
      </c>
      <c r="AV43" s="33" t="s">
        <v>117</v>
      </c>
      <c r="AW43" s="33" t="s">
        <v>117</v>
      </c>
      <c r="AX43" s="33" t="s">
        <v>117</v>
      </c>
      <c r="AY43" s="33" t="s">
        <v>117</v>
      </c>
      <c r="AZ43" s="33" t="s">
        <v>117</v>
      </c>
      <c r="BA43" s="42">
        <v>0</v>
      </c>
      <c r="BB43" s="42">
        <v>1</v>
      </c>
      <c r="BC43" s="42">
        <v>0</v>
      </c>
      <c r="BD43" s="42">
        <v>426.56610000000001</v>
      </c>
      <c r="BE43" s="42">
        <v>1</v>
      </c>
      <c r="BF43" s="42">
        <v>426.56610000000001</v>
      </c>
      <c r="BG43" s="42">
        <v>0</v>
      </c>
      <c r="BH43" s="42">
        <v>2835421184</v>
      </c>
      <c r="BI43" s="42">
        <v>482158080</v>
      </c>
      <c r="BJ43" s="42">
        <v>4</v>
      </c>
      <c r="BK43" s="42">
        <v>0</v>
      </c>
      <c r="BL43" s="42">
        <v>0</v>
      </c>
      <c r="BM43" s="46" t="s">
        <v>117</v>
      </c>
      <c r="BN43" s="33"/>
      <c r="BO43" s="34"/>
    </row>
    <row r="44" spans="1:67" x14ac:dyDescent="0.25">
      <c r="A44" s="32">
        <v>41</v>
      </c>
      <c r="B44" s="42" t="s">
        <v>190</v>
      </c>
      <c r="C44" s="42">
        <v>0</v>
      </c>
      <c r="D44" s="42">
        <v>1.24</v>
      </c>
      <c r="E44" s="42">
        <v>-56.222200000000001</v>
      </c>
      <c r="F44" s="42">
        <v>7.5327999999999999</v>
      </c>
      <c r="G44" s="42">
        <v>0</v>
      </c>
      <c r="H44" s="42">
        <v>87.753299999999996</v>
      </c>
      <c r="I44" s="42">
        <v>0</v>
      </c>
      <c r="J44" s="42">
        <v>5</v>
      </c>
      <c r="K44" s="42">
        <v>4</v>
      </c>
      <c r="L44" s="42">
        <v>0.32119999999999999</v>
      </c>
      <c r="M44" s="42">
        <v>33.073700000000002</v>
      </c>
      <c r="N44" s="42">
        <v>1</v>
      </c>
      <c r="O44" s="42">
        <v>3900.1541000000002</v>
      </c>
      <c r="P44" s="57">
        <v>200</v>
      </c>
      <c r="Q44" s="42">
        <v>0.76349999999999996</v>
      </c>
      <c r="R44" s="42">
        <v>9711.8127000000004</v>
      </c>
      <c r="S44" s="42">
        <v>72.584400000000002</v>
      </c>
      <c r="T44" s="42">
        <v>24.279399999999999</v>
      </c>
      <c r="U44" s="42">
        <v>8.8124000000000002</v>
      </c>
      <c r="V44" s="42">
        <v>1</v>
      </c>
      <c r="W44" s="42">
        <v>64.031099999999995</v>
      </c>
      <c r="X44" s="42">
        <v>0.86629999999999996</v>
      </c>
      <c r="Y44" s="42">
        <v>1.6265000000000001</v>
      </c>
      <c r="Z44" s="42">
        <v>191.0335</v>
      </c>
      <c r="AA44" s="42">
        <v>44.249600000000001</v>
      </c>
      <c r="AB44" s="42">
        <v>5.9372999999999996</v>
      </c>
      <c r="AC44" s="42">
        <v>1</v>
      </c>
      <c r="AD44" s="42">
        <v>2</v>
      </c>
      <c r="AE44" s="42">
        <v>195.87700000000001</v>
      </c>
      <c r="AF44" s="42">
        <v>197.19900000000001</v>
      </c>
      <c r="AG44" s="42">
        <v>109.9528</v>
      </c>
      <c r="AH44" s="42">
        <v>50.753700000000002</v>
      </c>
      <c r="AI44" s="42">
        <v>155.0797</v>
      </c>
      <c r="AJ44" s="42">
        <v>118.1955</v>
      </c>
      <c r="AK44" s="42">
        <v>3405478656</v>
      </c>
      <c r="AL44" s="42">
        <v>964645120</v>
      </c>
      <c r="AM44" s="42">
        <v>51400</v>
      </c>
      <c r="AN44" s="42">
        <v>198050</v>
      </c>
      <c r="AO44" s="33" t="s">
        <v>117</v>
      </c>
      <c r="AP44" s="33" t="s">
        <v>117</v>
      </c>
      <c r="AQ44" s="33" t="s">
        <v>117</v>
      </c>
      <c r="AR44" s="33" t="s">
        <v>117</v>
      </c>
      <c r="AS44" s="33" t="s">
        <v>117</v>
      </c>
      <c r="AT44" s="33" t="s">
        <v>117</v>
      </c>
      <c r="AU44" s="33" t="s">
        <v>117</v>
      </c>
      <c r="AV44" s="33" t="s">
        <v>117</v>
      </c>
      <c r="AW44" s="33" t="s">
        <v>117</v>
      </c>
      <c r="AX44" s="33" t="s">
        <v>117</v>
      </c>
      <c r="AY44" s="33" t="s">
        <v>117</v>
      </c>
      <c r="AZ44" s="33" t="s">
        <v>117</v>
      </c>
      <c r="BA44" s="42">
        <v>1</v>
      </c>
      <c r="BB44" s="42">
        <v>0.76349999999999996</v>
      </c>
      <c r="BC44" s="42">
        <v>1</v>
      </c>
      <c r="BD44" s="42">
        <v>1</v>
      </c>
      <c r="BE44" s="42">
        <v>0.76349999999999996</v>
      </c>
      <c r="BF44" s="42">
        <v>1</v>
      </c>
      <c r="BG44" s="42">
        <v>1</v>
      </c>
      <c r="BH44" s="42">
        <v>51400</v>
      </c>
      <c r="BI44" s="42">
        <v>964645120</v>
      </c>
      <c r="BJ44" s="42">
        <v>5</v>
      </c>
      <c r="BK44" s="42">
        <v>1</v>
      </c>
      <c r="BL44" s="42">
        <v>0</v>
      </c>
      <c r="BM44" s="46" t="s">
        <v>117</v>
      </c>
      <c r="BN44" s="33"/>
      <c r="BO44" s="34"/>
    </row>
    <row r="45" spans="1:67" x14ac:dyDescent="0.25">
      <c r="A45" s="32">
        <v>42</v>
      </c>
      <c r="B45" s="42" t="s">
        <v>232</v>
      </c>
      <c r="C45" s="42">
        <v>0</v>
      </c>
      <c r="D45" s="42">
        <v>5.24</v>
      </c>
      <c r="E45" s="42">
        <v>-23.822800000000001</v>
      </c>
      <c r="F45" s="42">
        <v>-1.966</v>
      </c>
      <c r="G45" s="42">
        <v>0</v>
      </c>
      <c r="H45" s="42">
        <v>144.6865</v>
      </c>
      <c r="I45" s="42">
        <v>0</v>
      </c>
      <c r="J45" s="42">
        <v>3</v>
      </c>
      <c r="K45" s="42">
        <v>3</v>
      </c>
      <c r="L45" s="42">
        <v>1</v>
      </c>
      <c r="M45" s="42">
        <v>6.9196</v>
      </c>
      <c r="N45" s="42">
        <v>1</v>
      </c>
      <c r="O45" s="42">
        <v>1098.8140000000001</v>
      </c>
      <c r="P45" s="57">
        <v>10</v>
      </c>
      <c r="Q45" s="42">
        <v>0.9849</v>
      </c>
      <c r="R45" s="42">
        <v>14691.258400000001</v>
      </c>
      <c r="S45" s="42">
        <v>126.81619999999999</v>
      </c>
      <c r="T45" s="42">
        <v>91.0946</v>
      </c>
      <c r="U45" s="42">
        <v>6.0382999999999996</v>
      </c>
      <c r="V45" s="42">
        <v>0.88190000000000002</v>
      </c>
      <c r="W45" s="42">
        <v>66.7958</v>
      </c>
      <c r="X45" s="42">
        <v>0.52139999999999997</v>
      </c>
      <c r="Y45" s="42">
        <v>127.5504</v>
      </c>
      <c r="Z45" s="42">
        <v>102.5351</v>
      </c>
      <c r="AA45" s="42">
        <v>118.8439</v>
      </c>
      <c r="AB45" s="42">
        <v>3.9710999999999999</v>
      </c>
      <c r="AC45" s="42">
        <v>1</v>
      </c>
      <c r="AD45" s="42">
        <v>3</v>
      </c>
      <c r="AE45" s="42">
        <v>92.661600000000007</v>
      </c>
      <c r="AF45" s="42">
        <v>118.7179</v>
      </c>
      <c r="AG45" s="42">
        <v>293.56920000000002</v>
      </c>
      <c r="AH45" s="42">
        <v>404.33519999999999</v>
      </c>
      <c r="AI45" s="42">
        <v>463.30239999999998</v>
      </c>
      <c r="AJ45" s="42">
        <v>332.00389999999999</v>
      </c>
      <c r="AK45" s="42">
        <v>3193459200</v>
      </c>
      <c r="AL45" s="42">
        <v>4121219072</v>
      </c>
      <c r="AM45" s="42">
        <v>52750</v>
      </c>
      <c r="AN45" s="42">
        <v>203200</v>
      </c>
      <c r="AO45" s="33" t="s">
        <v>117</v>
      </c>
      <c r="AP45" s="33" t="s">
        <v>117</v>
      </c>
      <c r="AQ45" s="33" t="s">
        <v>117</v>
      </c>
      <c r="AR45" s="33" t="s">
        <v>117</v>
      </c>
      <c r="AS45" s="33" t="s">
        <v>117</v>
      </c>
      <c r="AT45" s="33" t="s">
        <v>117</v>
      </c>
      <c r="AU45" s="33" t="s">
        <v>117</v>
      </c>
      <c r="AV45" s="33" t="s">
        <v>117</v>
      </c>
      <c r="AW45" s="33" t="s">
        <v>117</v>
      </c>
      <c r="AX45" s="33" t="s">
        <v>117</v>
      </c>
      <c r="AY45" s="33" t="s">
        <v>117</v>
      </c>
      <c r="AZ45" s="33" t="s">
        <v>117</v>
      </c>
      <c r="BA45" s="42">
        <v>0</v>
      </c>
      <c r="BB45" s="42">
        <v>1</v>
      </c>
      <c r="BC45" s="42">
        <v>0</v>
      </c>
      <c r="BD45" s="42">
        <v>118.7179</v>
      </c>
      <c r="BE45" s="42">
        <v>1</v>
      </c>
      <c r="BF45" s="42">
        <v>118.7179</v>
      </c>
      <c r="BG45" s="42">
        <v>0</v>
      </c>
      <c r="BH45" s="42">
        <v>3193459200</v>
      </c>
      <c r="BI45" s="42">
        <v>4121219072</v>
      </c>
      <c r="BJ45" s="42">
        <v>3</v>
      </c>
      <c r="BK45" s="42">
        <v>0</v>
      </c>
      <c r="BL45" s="42">
        <v>0</v>
      </c>
      <c r="BM45" s="46" t="s">
        <v>117</v>
      </c>
      <c r="BN45" s="33"/>
      <c r="BO45" s="34"/>
    </row>
    <row r="46" spans="1:67" x14ac:dyDescent="0.25">
      <c r="A46" s="32">
        <v>43</v>
      </c>
      <c r="B46" s="42" t="s">
        <v>191</v>
      </c>
      <c r="C46" s="42">
        <v>0</v>
      </c>
      <c r="D46" s="42">
        <v>4171.5883999999996</v>
      </c>
      <c r="E46" s="42">
        <v>-20.435300000000002</v>
      </c>
      <c r="F46" s="42">
        <v>-5.8937999999999997</v>
      </c>
      <c r="G46" s="42">
        <v>0</v>
      </c>
      <c r="H46" s="42">
        <v>101.855</v>
      </c>
      <c r="I46" s="42">
        <v>0</v>
      </c>
      <c r="J46" s="42">
        <v>4</v>
      </c>
      <c r="K46" s="42">
        <v>5</v>
      </c>
      <c r="L46" s="42">
        <v>0.73919999999999997</v>
      </c>
      <c r="M46" s="42">
        <v>478.88069999999999</v>
      </c>
      <c r="N46" s="42">
        <v>1</v>
      </c>
      <c r="O46" s="42">
        <v>13686.025900000001</v>
      </c>
      <c r="P46" s="42">
        <v>13.142899999999999</v>
      </c>
      <c r="Q46" s="57">
        <v>1.1000000000000001E-3</v>
      </c>
      <c r="R46" s="42">
        <v>12952.5255</v>
      </c>
      <c r="S46" s="42">
        <v>169.72120000000001</v>
      </c>
      <c r="T46" s="42">
        <v>51.920699999999997</v>
      </c>
      <c r="U46" s="42">
        <v>1.3888</v>
      </c>
      <c r="V46" s="42">
        <v>0.55249999999999999</v>
      </c>
      <c r="W46" s="42">
        <v>104.3231</v>
      </c>
      <c r="X46" s="42">
        <v>0.59560000000000002</v>
      </c>
      <c r="Y46" s="42">
        <v>50.186799999999998</v>
      </c>
      <c r="Z46" s="42">
        <v>178.99160000000001</v>
      </c>
      <c r="AA46" s="42">
        <v>113.56780000000001</v>
      </c>
      <c r="AB46" s="42">
        <v>2.5428999999999999</v>
      </c>
      <c r="AC46" s="42">
        <v>0</v>
      </c>
      <c r="AD46" s="42">
        <v>3</v>
      </c>
      <c r="AE46" s="42">
        <v>377.57470000000001</v>
      </c>
      <c r="AF46" s="42">
        <v>397.17669999999998</v>
      </c>
      <c r="AG46" s="42">
        <v>321.12150000000003</v>
      </c>
      <c r="AH46" s="42">
        <v>377.15539999999999</v>
      </c>
      <c r="AI46" s="42">
        <v>274.05599999999998</v>
      </c>
      <c r="AJ46" s="42">
        <v>78.941500000000005</v>
      </c>
      <c r="AK46" s="42">
        <v>140365056</v>
      </c>
      <c r="AL46" s="42">
        <v>972051200</v>
      </c>
      <c r="AM46" s="42">
        <v>54100</v>
      </c>
      <c r="AN46" s="42">
        <v>208350</v>
      </c>
      <c r="AO46" s="33" t="s">
        <v>117</v>
      </c>
      <c r="AP46" s="33" t="s">
        <v>117</v>
      </c>
      <c r="AQ46" s="33" t="s">
        <v>117</v>
      </c>
      <c r="AR46" s="33" t="s">
        <v>117</v>
      </c>
      <c r="AS46" s="33" t="s">
        <v>117</v>
      </c>
      <c r="AT46" s="33" t="s">
        <v>117</v>
      </c>
      <c r="AU46" s="33" t="s">
        <v>117</v>
      </c>
      <c r="AV46" s="33" t="s">
        <v>117</v>
      </c>
      <c r="AW46" s="33" t="s">
        <v>117</v>
      </c>
      <c r="AX46" s="33" t="s">
        <v>117</v>
      </c>
      <c r="AY46" s="33" t="s">
        <v>117</v>
      </c>
      <c r="AZ46" s="33" t="s">
        <v>117</v>
      </c>
      <c r="BA46" s="42">
        <v>0</v>
      </c>
      <c r="BB46" s="42">
        <v>0.73919999999999997</v>
      </c>
      <c r="BC46" s="42">
        <v>0</v>
      </c>
      <c r="BD46" s="42">
        <v>377.57470000000001</v>
      </c>
      <c r="BE46" s="42">
        <v>0.73919999999999997</v>
      </c>
      <c r="BF46" s="42">
        <v>377.57470000000001</v>
      </c>
      <c r="BG46" s="42">
        <v>0</v>
      </c>
      <c r="BH46" s="42">
        <v>140365056</v>
      </c>
      <c r="BI46" s="42">
        <v>972051200</v>
      </c>
      <c r="BJ46" s="42">
        <v>4</v>
      </c>
      <c r="BK46" s="42">
        <v>0</v>
      </c>
      <c r="BL46" s="42">
        <v>0</v>
      </c>
      <c r="BM46" s="46" t="s">
        <v>117</v>
      </c>
      <c r="BN46" s="33"/>
      <c r="BO46" s="34"/>
    </row>
    <row r="47" spans="1:67" x14ac:dyDescent="0.25">
      <c r="A47" s="32">
        <v>44</v>
      </c>
      <c r="B47" s="42" t="s">
        <v>192</v>
      </c>
      <c r="C47" s="42">
        <v>3</v>
      </c>
      <c r="D47" s="42">
        <v>5580.7534999999998</v>
      </c>
      <c r="E47" s="42">
        <v>-43.4178</v>
      </c>
      <c r="F47" s="42">
        <v>-3.1507000000000001</v>
      </c>
      <c r="G47" s="42">
        <v>0</v>
      </c>
      <c r="H47" s="42">
        <v>34.882199999999997</v>
      </c>
      <c r="I47" s="42">
        <v>0</v>
      </c>
      <c r="J47" s="42">
        <v>5</v>
      </c>
      <c r="K47" s="42">
        <v>5</v>
      </c>
      <c r="L47" s="42">
        <v>1</v>
      </c>
      <c r="M47" s="42">
        <v>105.245</v>
      </c>
      <c r="N47" s="42">
        <v>1</v>
      </c>
      <c r="O47" s="42">
        <v>3312.6437999999998</v>
      </c>
      <c r="P47" s="42">
        <v>19.7363</v>
      </c>
      <c r="Q47" s="57">
        <v>1</v>
      </c>
      <c r="R47" s="42">
        <v>10315.364799999999</v>
      </c>
      <c r="S47" s="42">
        <v>115.1421</v>
      </c>
      <c r="T47" s="42">
        <v>171.93960000000001</v>
      </c>
      <c r="U47" s="42">
        <v>4.0654000000000003</v>
      </c>
      <c r="V47" s="42">
        <v>0.63290000000000002</v>
      </c>
      <c r="W47" s="42">
        <v>143.2148</v>
      </c>
      <c r="X47" s="42">
        <v>1</v>
      </c>
      <c r="Y47" s="42">
        <v>71.990799999999993</v>
      </c>
      <c r="Z47" s="42">
        <v>102.1754</v>
      </c>
      <c r="AA47" s="42">
        <v>85.688599999999994</v>
      </c>
      <c r="AB47" s="42">
        <v>6.1204999999999998</v>
      </c>
      <c r="AC47" s="42">
        <v>2</v>
      </c>
      <c r="AD47" s="42">
        <v>5</v>
      </c>
      <c r="AE47" s="42">
        <v>317.07839999999999</v>
      </c>
      <c r="AF47" s="42">
        <v>403.24740000000003</v>
      </c>
      <c r="AG47" s="42">
        <v>225.10419999999999</v>
      </c>
      <c r="AH47" s="42">
        <v>332.09410000000003</v>
      </c>
      <c r="AI47" s="42">
        <v>357.37369999999999</v>
      </c>
      <c r="AJ47" s="42">
        <v>142.63470000000001</v>
      </c>
      <c r="AK47" s="42">
        <v>771316736</v>
      </c>
      <c r="AL47" s="42">
        <v>4074359296</v>
      </c>
      <c r="AM47" s="42">
        <v>55450</v>
      </c>
      <c r="AN47" s="42">
        <v>213500</v>
      </c>
      <c r="AO47" s="33" t="s">
        <v>117</v>
      </c>
      <c r="AP47" s="33" t="s">
        <v>117</v>
      </c>
      <c r="AQ47" s="33" t="s">
        <v>117</v>
      </c>
      <c r="AR47" s="33" t="s">
        <v>117</v>
      </c>
      <c r="AS47" s="33" t="s">
        <v>117</v>
      </c>
      <c r="AT47" s="33" t="s">
        <v>117</v>
      </c>
      <c r="AU47" s="33" t="s">
        <v>117</v>
      </c>
      <c r="AV47" s="33" t="s">
        <v>117</v>
      </c>
      <c r="AW47" s="33" t="s">
        <v>117</v>
      </c>
      <c r="AX47" s="33" t="s">
        <v>117</v>
      </c>
      <c r="AY47" s="33" t="s">
        <v>117</v>
      </c>
      <c r="AZ47" s="33" t="s">
        <v>117</v>
      </c>
      <c r="BA47" s="42">
        <v>0</v>
      </c>
      <c r="BB47" s="42">
        <v>1</v>
      </c>
      <c r="BC47" s="42">
        <v>0</v>
      </c>
      <c r="BD47" s="42">
        <v>1</v>
      </c>
      <c r="BE47" s="42">
        <v>1</v>
      </c>
      <c r="BF47" s="42">
        <v>1</v>
      </c>
      <c r="BG47" s="42">
        <v>0</v>
      </c>
      <c r="BH47" s="42">
        <v>771316736</v>
      </c>
      <c r="BI47" s="42">
        <v>4074359296</v>
      </c>
      <c r="BJ47" s="42">
        <v>5</v>
      </c>
      <c r="BK47" s="42">
        <v>0</v>
      </c>
      <c r="BL47" s="42">
        <v>0</v>
      </c>
      <c r="BM47" s="46" t="s">
        <v>117</v>
      </c>
      <c r="BN47" s="33"/>
      <c r="BO47" s="34"/>
    </row>
    <row r="48" spans="1:67" x14ac:dyDescent="0.25">
      <c r="A48" s="32">
        <v>45</v>
      </c>
      <c r="B48" s="42" t="s">
        <v>230</v>
      </c>
      <c r="C48" s="42">
        <v>0</v>
      </c>
      <c r="D48" s="42">
        <v>736.23</v>
      </c>
      <c r="E48" s="42">
        <v>1.1776</v>
      </c>
      <c r="F48" s="42">
        <v>-1.3221000000000001</v>
      </c>
      <c r="G48" s="42">
        <v>0</v>
      </c>
      <c r="H48" s="42">
        <v>55.889499999999998</v>
      </c>
      <c r="I48" s="42">
        <v>0</v>
      </c>
      <c r="J48" s="42">
        <v>3</v>
      </c>
      <c r="K48" s="42">
        <v>4</v>
      </c>
      <c r="L48" s="42">
        <v>0.3281</v>
      </c>
      <c r="M48" s="42">
        <v>447.37869999999998</v>
      </c>
      <c r="N48" s="42">
        <v>1</v>
      </c>
      <c r="O48" s="42">
        <v>12686.794599999999</v>
      </c>
      <c r="P48" s="42">
        <v>141.1738</v>
      </c>
      <c r="Q48" s="57">
        <v>0.5</v>
      </c>
      <c r="R48" s="42">
        <v>12089.5661</v>
      </c>
      <c r="S48" s="42">
        <v>194.6592</v>
      </c>
      <c r="T48" s="42">
        <v>102.4539</v>
      </c>
      <c r="U48" s="42">
        <v>4.4137000000000004</v>
      </c>
      <c r="V48" s="42">
        <v>1</v>
      </c>
      <c r="W48" s="42">
        <v>112.3058</v>
      </c>
      <c r="X48" s="42">
        <v>1</v>
      </c>
      <c r="Y48" s="42">
        <v>172.62710000000001</v>
      </c>
      <c r="Z48" s="42">
        <v>113.65130000000001</v>
      </c>
      <c r="AA48" s="42">
        <v>222.0111</v>
      </c>
      <c r="AB48" s="42">
        <v>10</v>
      </c>
      <c r="AC48" s="42">
        <v>0</v>
      </c>
      <c r="AD48" s="42">
        <v>1</v>
      </c>
      <c r="AE48" s="42">
        <v>463.80650000000003</v>
      </c>
      <c r="AF48" s="42">
        <v>459.1123</v>
      </c>
      <c r="AG48" s="42">
        <v>396.7054</v>
      </c>
      <c r="AH48" s="42">
        <v>440.09899999999999</v>
      </c>
      <c r="AI48" s="42">
        <v>402.35359999999997</v>
      </c>
      <c r="AJ48" s="42">
        <v>128.35579999999999</v>
      </c>
      <c r="AK48" s="42">
        <v>1646440192</v>
      </c>
      <c r="AL48" s="42">
        <v>1723426048</v>
      </c>
      <c r="AM48" s="42">
        <v>56800</v>
      </c>
      <c r="AN48" s="42">
        <v>218650</v>
      </c>
      <c r="AO48" s="33" t="s">
        <v>117</v>
      </c>
      <c r="AP48" s="33" t="s">
        <v>117</v>
      </c>
      <c r="AQ48" s="33" t="s">
        <v>117</v>
      </c>
      <c r="AR48" s="33" t="s">
        <v>117</v>
      </c>
      <c r="AS48" s="33" t="s">
        <v>117</v>
      </c>
      <c r="AT48" s="33" t="s">
        <v>117</v>
      </c>
      <c r="AU48" s="33" t="s">
        <v>117</v>
      </c>
      <c r="AV48" s="33" t="s">
        <v>117</v>
      </c>
      <c r="AW48" s="33" t="s">
        <v>117</v>
      </c>
      <c r="AX48" s="33" t="s">
        <v>117</v>
      </c>
      <c r="AY48" s="33" t="s">
        <v>117</v>
      </c>
      <c r="AZ48" s="33" t="s">
        <v>117</v>
      </c>
      <c r="BA48" s="42">
        <v>1</v>
      </c>
      <c r="BB48" s="42">
        <v>0.5</v>
      </c>
      <c r="BC48" s="42">
        <v>1</v>
      </c>
      <c r="BD48" s="42">
        <v>463.80650000000003</v>
      </c>
      <c r="BE48" s="42">
        <v>0.5</v>
      </c>
      <c r="BF48" s="42">
        <v>463.80650000000003</v>
      </c>
      <c r="BG48" s="42">
        <v>1</v>
      </c>
      <c r="BH48" s="42">
        <v>56800</v>
      </c>
      <c r="BI48" s="42">
        <v>1723426048</v>
      </c>
      <c r="BJ48" s="42">
        <v>3</v>
      </c>
      <c r="BK48" s="42">
        <v>1</v>
      </c>
      <c r="BL48" s="42">
        <v>0</v>
      </c>
      <c r="BM48" s="46" t="s">
        <v>117</v>
      </c>
      <c r="BN48" s="33"/>
      <c r="BO48" s="34"/>
    </row>
    <row r="49" spans="1:67" x14ac:dyDescent="0.25">
      <c r="A49" s="32">
        <v>46</v>
      </c>
      <c r="B49" s="42" t="s">
        <v>193</v>
      </c>
      <c r="C49" s="42">
        <v>0</v>
      </c>
      <c r="D49" s="42">
        <v>7904.4633999999996</v>
      </c>
      <c r="E49" s="42">
        <v>-72.114800000000002</v>
      </c>
      <c r="F49" s="42">
        <v>-6.7938000000000001</v>
      </c>
      <c r="G49" s="42">
        <v>0</v>
      </c>
      <c r="H49" s="42">
        <v>17.538699999999999</v>
      </c>
      <c r="I49" s="42">
        <v>1</v>
      </c>
      <c r="J49" s="42">
        <v>0</v>
      </c>
      <c r="K49" s="42">
        <v>4</v>
      </c>
      <c r="L49" s="42">
        <v>0.99829999999999997</v>
      </c>
      <c r="M49" s="42">
        <v>223.2919</v>
      </c>
      <c r="N49" s="42">
        <v>1</v>
      </c>
      <c r="O49" s="42">
        <v>16008.7816</v>
      </c>
      <c r="P49" s="42">
        <v>44.145699999999998</v>
      </c>
      <c r="Q49" s="42">
        <v>8.6999999999999994E-3</v>
      </c>
      <c r="R49" s="57">
        <v>0</v>
      </c>
      <c r="S49" s="42">
        <v>196.2064</v>
      </c>
      <c r="T49" s="42">
        <v>51.010300000000001</v>
      </c>
      <c r="U49" s="42">
        <v>10</v>
      </c>
      <c r="V49" s="42">
        <v>0.49819999999999998</v>
      </c>
      <c r="W49" s="42">
        <v>136.1721</v>
      </c>
      <c r="X49" s="42">
        <v>0.71609999999999996</v>
      </c>
      <c r="Y49" s="42">
        <v>164.01079999999999</v>
      </c>
      <c r="Z49" s="42">
        <v>20.0791</v>
      </c>
      <c r="AA49" s="42">
        <v>141.3014</v>
      </c>
      <c r="AB49" s="42">
        <v>0.48209999999999997</v>
      </c>
      <c r="AC49" s="42">
        <v>2</v>
      </c>
      <c r="AD49" s="42">
        <v>4</v>
      </c>
      <c r="AE49" s="42">
        <v>96.598799999999997</v>
      </c>
      <c r="AF49" s="42">
        <v>288.4298</v>
      </c>
      <c r="AG49" s="42">
        <v>199.9477</v>
      </c>
      <c r="AH49" s="42">
        <v>416.76499999999999</v>
      </c>
      <c r="AI49" s="42">
        <v>353.10860000000002</v>
      </c>
      <c r="AJ49" s="42">
        <v>360.83390000000003</v>
      </c>
      <c r="AK49" s="42">
        <v>3333600768</v>
      </c>
      <c r="AL49" s="42">
        <v>2672202752</v>
      </c>
      <c r="AM49" s="42">
        <v>58150</v>
      </c>
      <c r="AN49" s="42">
        <v>223800</v>
      </c>
      <c r="AO49" s="33" t="s">
        <v>117</v>
      </c>
      <c r="AP49" s="33" t="s">
        <v>117</v>
      </c>
      <c r="AQ49" s="33" t="s">
        <v>117</v>
      </c>
      <c r="AR49" s="33" t="s">
        <v>117</v>
      </c>
      <c r="AS49" s="33" t="s">
        <v>117</v>
      </c>
      <c r="AT49" s="33" t="s">
        <v>117</v>
      </c>
      <c r="AU49" s="33" t="s">
        <v>117</v>
      </c>
      <c r="AV49" s="33" t="s">
        <v>117</v>
      </c>
      <c r="AW49" s="33" t="s">
        <v>117</v>
      </c>
      <c r="AX49" s="33" t="s">
        <v>117</v>
      </c>
      <c r="AY49" s="33" t="s">
        <v>117</v>
      </c>
      <c r="AZ49" s="33" t="s">
        <v>117</v>
      </c>
      <c r="BA49" s="42">
        <v>0</v>
      </c>
      <c r="BB49" s="42">
        <v>1</v>
      </c>
      <c r="BC49" s="42">
        <v>0</v>
      </c>
      <c r="BD49" s="42">
        <v>96.598799999999997</v>
      </c>
      <c r="BE49" s="42">
        <v>1</v>
      </c>
      <c r="BF49" s="42">
        <v>96.598799999999997</v>
      </c>
      <c r="BG49" s="42">
        <v>0</v>
      </c>
      <c r="BH49" s="42">
        <v>3333600768</v>
      </c>
      <c r="BI49" s="42">
        <v>2672202752</v>
      </c>
      <c r="BJ49" s="42">
        <v>4</v>
      </c>
      <c r="BK49" s="42">
        <v>0</v>
      </c>
      <c r="BL49" s="42">
        <v>1</v>
      </c>
      <c r="BM49" s="46" t="s">
        <v>117</v>
      </c>
      <c r="BN49" s="33"/>
      <c r="BO49" s="34"/>
    </row>
    <row r="50" spans="1:67" x14ac:dyDescent="0.25">
      <c r="A50" s="32">
        <v>47</v>
      </c>
      <c r="B50" s="42" t="s">
        <v>194</v>
      </c>
      <c r="C50" s="42">
        <v>2</v>
      </c>
      <c r="D50" s="42">
        <v>3375.5403000000001</v>
      </c>
      <c r="E50" s="42">
        <v>3.9683999999999999</v>
      </c>
      <c r="F50" s="42">
        <v>3.0165000000000002</v>
      </c>
      <c r="G50" s="42">
        <v>0</v>
      </c>
      <c r="H50" s="42">
        <v>196.7653</v>
      </c>
      <c r="I50" s="42">
        <v>1</v>
      </c>
      <c r="J50" s="42">
        <v>3</v>
      </c>
      <c r="K50" s="42">
        <v>2</v>
      </c>
      <c r="L50" s="42">
        <v>6.7400000000000002E-2</v>
      </c>
      <c r="M50" s="42">
        <v>85.227800000000002</v>
      </c>
      <c r="N50" s="42">
        <v>1</v>
      </c>
      <c r="O50" s="42">
        <v>13090.143099999999</v>
      </c>
      <c r="P50" s="42">
        <v>73.564499999999995</v>
      </c>
      <c r="Q50" s="42">
        <v>1</v>
      </c>
      <c r="R50" s="57">
        <v>16383.75</v>
      </c>
      <c r="S50" s="42">
        <v>111.9573</v>
      </c>
      <c r="T50" s="42">
        <v>153.60579999999999</v>
      </c>
      <c r="U50" s="42">
        <v>5.6767000000000003</v>
      </c>
      <c r="V50" s="42">
        <v>0.11020000000000001</v>
      </c>
      <c r="W50" s="42">
        <v>107.8428</v>
      </c>
      <c r="X50" s="42">
        <v>1</v>
      </c>
      <c r="Y50" s="42">
        <v>151.66929999999999</v>
      </c>
      <c r="Z50" s="42">
        <v>13.4163</v>
      </c>
      <c r="AA50" s="42">
        <v>198.71950000000001</v>
      </c>
      <c r="AB50" s="42">
        <v>6.5243000000000002</v>
      </c>
      <c r="AC50" s="42">
        <v>2</v>
      </c>
      <c r="AD50" s="42">
        <v>2</v>
      </c>
      <c r="AE50" s="42">
        <v>71.410799999999995</v>
      </c>
      <c r="AF50" s="42">
        <v>152.30959999999999</v>
      </c>
      <c r="AG50" s="42">
        <v>430.90230000000003</v>
      </c>
      <c r="AH50" s="42">
        <v>429.9939</v>
      </c>
      <c r="AI50" s="42">
        <v>337.678</v>
      </c>
      <c r="AJ50" s="42">
        <v>440.64449999999999</v>
      </c>
      <c r="AK50" s="42">
        <v>3319701760</v>
      </c>
      <c r="AL50" s="42">
        <v>3910862592</v>
      </c>
      <c r="AM50" s="42">
        <v>59500</v>
      </c>
      <c r="AN50" s="42">
        <v>228950</v>
      </c>
      <c r="AO50" s="33" t="s">
        <v>117</v>
      </c>
      <c r="AP50" s="33" t="s">
        <v>117</v>
      </c>
      <c r="AQ50" s="33" t="s">
        <v>117</v>
      </c>
      <c r="AR50" s="33" t="s">
        <v>117</v>
      </c>
      <c r="AS50" s="33" t="s">
        <v>117</v>
      </c>
      <c r="AT50" s="33" t="s">
        <v>117</v>
      </c>
      <c r="AU50" s="33" t="s">
        <v>117</v>
      </c>
      <c r="AV50" s="33" t="s">
        <v>117</v>
      </c>
      <c r="AW50" s="33" t="s">
        <v>117</v>
      </c>
      <c r="AX50" s="33" t="s">
        <v>117</v>
      </c>
      <c r="AY50" s="33" t="s">
        <v>117</v>
      </c>
      <c r="AZ50" s="33" t="s">
        <v>117</v>
      </c>
      <c r="BA50" s="42">
        <v>1</v>
      </c>
      <c r="BB50" s="42">
        <v>1</v>
      </c>
      <c r="BC50" s="42">
        <v>1</v>
      </c>
      <c r="BD50" s="42">
        <v>85.227800000000002</v>
      </c>
      <c r="BE50" s="42">
        <v>1</v>
      </c>
      <c r="BF50" s="42">
        <v>85.227800000000002</v>
      </c>
      <c r="BG50" s="42">
        <v>1</v>
      </c>
      <c r="BH50" s="42">
        <v>3319701760</v>
      </c>
      <c r="BI50" s="42">
        <v>3910862592</v>
      </c>
      <c r="BJ50" s="42">
        <v>3</v>
      </c>
      <c r="BK50" s="42">
        <v>0</v>
      </c>
      <c r="BL50" s="42">
        <v>1</v>
      </c>
      <c r="BM50" s="46" t="s">
        <v>117</v>
      </c>
      <c r="BN50" s="33"/>
      <c r="BO50" s="34"/>
    </row>
    <row r="51" spans="1:67" x14ac:dyDescent="0.25">
      <c r="A51" s="32">
        <v>48</v>
      </c>
      <c r="B51" s="42" t="s">
        <v>234</v>
      </c>
      <c r="C51" s="42">
        <v>0</v>
      </c>
      <c r="D51" s="42">
        <v>14165.1816</v>
      </c>
      <c r="E51" s="42">
        <v>94.038300000000007</v>
      </c>
      <c r="F51" s="42">
        <v>-7.9123999999999999</v>
      </c>
      <c r="G51" s="42">
        <v>0</v>
      </c>
      <c r="H51" s="42">
        <v>57.000399999999999</v>
      </c>
      <c r="I51" s="42">
        <v>1</v>
      </c>
      <c r="J51" s="42">
        <v>1</v>
      </c>
      <c r="K51" s="42">
        <v>4</v>
      </c>
      <c r="L51" s="42">
        <v>1</v>
      </c>
      <c r="M51" s="42">
        <v>144.1371</v>
      </c>
      <c r="N51" s="42">
        <v>1</v>
      </c>
      <c r="O51" s="42">
        <v>7872.4188999999997</v>
      </c>
      <c r="P51" s="42">
        <v>154.7422</v>
      </c>
      <c r="Q51" s="42">
        <v>1</v>
      </c>
      <c r="R51" s="57">
        <v>3000</v>
      </c>
      <c r="S51" s="42">
        <v>88.464500000000001</v>
      </c>
      <c r="T51" s="42">
        <v>236.33699999999999</v>
      </c>
      <c r="U51" s="42">
        <v>6.5118999999999998</v>
      </c>
      <c r="V51" s="42">
        <v>1</v>
      </c>
      <c r="W51" s="42">
        <v>150.9599</v>
      </c>
      <c r="X51" s="42">
        <v>0.86509999999999998</v>
      </c>
      <c r="Y51" s="42">
        <v>190.2029</v>
      </c>
      <c r="Z51" s="42">
        <v>78.980699999999999</v>
      </c>
      <c r="AA51" s="42">
        <v>188.4109</v>
      </c>
      <c r="AB51" s="42">
        <v>5.3829000000000002</v>
      </c>
      <c r="AC51" s="42">
        <v>2</v>
      </c>
      <c r="AD51" s="42">
        <v>5</v>
      </c>
      <c r="AE51" s="42">
        <v>240.2517</v>
      </c>
      <c r="AF51" s="42">
        <v>470.26729999999998</v>
      </c>
      <c r="AG51" s="42">
        <v>33.338299999999997</v>
      </c>
      <c r="AH51" s="42">
        <v>28.420400000000001</v>
      </c>
      <c r="AI51" s="42">
        <v>90.810199999999995</v>
      </c>
      <c r="AJ51" s="42">
        <v>342.67169999999999</v>
      </c>
      <c r="AK51" s="42">
        <v>2982600704</v>
      </c>
      <c r="AL51" s="42">
        <v>556379648</v>
      </c>
      <c r="AM51" s="42">
        <v>60850</v>
      </c>
      <c r="AN51" s="42">
        <v>234100</v>
      </c>
      <c r="AO51" s="33" t="s">
        <v>117</v>
      </c>
      <c r="AP51" s="33" t="s">
        <v>117</v>
      </c>
      <c r="AQ51" s="33" t="s">
        <v>117</v>
      </c>
      <c r="AR51" s="33" t="s">
        <v>117</v>
      </c>
      <c r="AS51" s="33" t="s">
        <v>117</v>
      </c>
      <c r="AT51" s="33" t="s">
        <v>117</v>
      </c>
      <c r="AU51" s="33" t="s">
        <v>117</v>
      </c>
      <c r="AV51" s="33" t="s">
        <v>117</v>
      </c>
      <c r="AW51" s="33" t="s">
        <v>117</v>
      </c>
      <c r="AX51" s="33" t="s">
        <v>117</v>
      </c>
      <c r="AY51" s="33" t="s">
        <v>117</v>
      </c>
      <c r="AZ51" s="33" t="s">
        <v>117</v>
      </c>
      <c r="BA51" s="42">
        <v>0</v>
      </c>
      <c r="BB51" s="42">
        <v>1</v>
      </c>
      <c r="BC51" s="42">
        <v>0</v>
      </c>
      <c r="BD51" s="42">
        <v>470.26729999999998</v>
      </c>
      <c r="BE51" s="42">
        <v>1</v>
      </c>
      <c r="BF51" s="42">
        <v>470.26729999999998</v>
      </c>
      <c r="BG51" s="42">
        <v>0</v>
      </c>
      <c r="BH51" s="42">
        <v>2982600704</v>
      </c>
      <c r="BI51" s="42">
        <v>556379648</v>
      </c>
      <c r="BJ51" s="42">
        <v>1</v>
      </c>
      <c r="BK51" s="42">
        <v>0</v>
      </c>
      <c r="BL51" s="42">
        <v>1</v>
      </c>
      <c r="BM51" s="46" t="s">
        <v>117</v>
      </c>
      <c r="BN51" s="33"/>
      <c r="BO51" s="34"/>
    </row>
    <row r="52" spans="1:67" x14ac:dyDescent="0.25">
      <c r="A52" s="32">
        <v>49</v>
      </c>
      <c r="B52" s="42" t="s">
        <v>195</v>
      </c>
      <c r="C52" s="42">
        <v>3</v>
      </c>
      <c r="D52" s="42">
        <v>9644.5323000000008</v>
      </c>
      <c r="E52" s="42">
        <v>12.057700000000001</v>
      </c>
      <c r="F52" s="42">
        <v>-5.694</v>
      </c>
      <c r="G52" s="42">
        <v>0</v>
      </c>
      <c r="H52" s="42">
        <v>124.23820000000001</v>
      </c>
      <c r="I52" s="42">
        <v>1</v>
      </c>
      <c r="J52" s="42">
        <v>1</v>
      </c>
      <c r="K52" s="42">
        <v>3</v>
      </c>
      <c r="L52" s="42">
        <v>1</v>
      </c>
      <c r="M52" s="42">
        <v>375.8272</v>
      </c>
      <c r="N52" s="42">
        <v>1</v>
      </c>
      <c r="O52" s="42">
        <v>11172.026</v>
      </c>
      <c r="P52" s="42">
        <v>43.593899999999998</v>
      </c>
      <c r="Q52" s="42">
        <v>0.66369999999999996</v>
      </c>
      <c r="R52" s="42">
        <v>9750.6661000000004</v>
      </c>
      <c r="S52" s="57">
        <v>0</v>
      </c>
      <c r="T52" s="42">
        <v>118.65300000000001</v>
      </c>
      <c r="U52" s="42">
        <v>8.8933999999999997</v>
      </c>
      <c r="V52" s="42">
        <v>0.33119999999999999</v>
      </c>
      <c r="W52" s="42">
        <v>84.408900000000003</v>
      </c>
      <c r="X52" s="42">
        <v>1</v>
      </c>
      <c r="Y52" s="42">
        <v>7.2625999999999999</v>
      </c>
      <c r="Z52" s="42">
        <v>185.24719999999999</v>
      </c>
      <c r="AA52" s="42">
        <v>157.0616</v>
      </c>
      <c r="AB52" s="42">
        <v>3.9135</v>
      </c>
      <c r="AC52" s="42">
        <v>0</v>
      </c>
      <c r="AD52" s="42">
        <v>1</v>
      </c>
      <c r="AE52" s="42">
        <v>299.16739999999999</v>
      </c>
      <c r="AF52" s="42">
        <v>382.42180000000002</v>
      </c>
      <c r="AG52" s="42">
        <v>183.5994</v>
      </c>
      <c r="AH52" s="42">
        <v>409.12009999999998</v>
      </c>
      <c r="AI52" s="42">
        <v>51.661700000000003</v>
      </c>
      <c r="AJ52" s="42">
        <v>306.13170000000002</v>
      </c>
      <c r="AK52" s="42">
        <v>3788120832</v>
      </c>
      <c r="AL52" s="42">
        <v>1750710528</v>
      </c>
      <c r="AM52" s="42">
        <v>100</v>
      </c>
      <c r="AN52" s="42">
        <v>0</v>
      </c>
      <c r="AO52" s="33" t="s">
        <v>117</v>
      </c>
      <c r="AP52" s="33" t="s">
        <v>117</v>
      </c>
      <c r="AQ52" s="33" t="s">
        <v>117</v>
      </c>
      <c r="AR52" s="33" t="s">
        <v>117</v>
      </c>
      <c r="AS52" s="33" t="s">
        <v>117</v>
      </c>
      <c r="AT52" s="33" t="s">
        <v>117</v>
      </c>
      <c r="AU52" s="33" t="s">
        <v>117</v>
      </c>
      <c r="AV52" s="33" t="s">
        <v>117</v>
      </c>
      <c r="AW52" s="33" t="s">
        <v>117</v>
      </c>
      <c r="AX52" s="33" t="s">
        <v>117</v>
      </c>
      <c r="AY52" s="33" t="s">
        <v>117</v>
      </c>
      <c r="AZ52" s="33" t="s">
        <v>117</v>
      </c>
      <c r="BA52" s="42">
        <v>1</v>
      </c>
      <c r="BB52" s="42">
        <v>1</v>
      </c>
      <c r="BC52" s="42">
        <v>1</v>
      </c>
      <c r="BD52" s="42">
        <v>299.16739999999999</v>
      </c>
      <c r="BE52" s="42">
        <v>1</v>
      </c>
      <c r="BF52" s="42">
        <v>299.16739999999999</v>
      </c>
      <c r="BG52" s="42">
        <v>1</v>
      </c>
      <c r="BH52" s="42">
        <v>3788120832</v>
      </c>
      <c r="BI52" s="42">
        <v>1750710528</v>
      </c>
      <c r="BJ52" s="42">
        <v>3</v>
      </c>
      <c r="BK52" s="42">
        <v>0</v>
      </c>
      <c r="BL52" s="42">
        <v>1</v>
      </c>
      <c r="BM52" s="46" t="s">
        <v>117</v>
      </c>
      <c r="BN52" s="33"/>
      <c r="BO52" s="34"/>
    </row>
    <row r="53" spans="1:67" x14ac:dyDescent="0.25">
      <c r="A53" s="32">
        <v>50</v>
      </c>
      <c r="B53" s="42" t="s">
        <v>196</v>
      </c>
      <c r="C53" s="42">
        <v>0</v>
      </c>
      <c r="D53" s="42">
        <v>12368.9841</v>
      </c>
      <c r="E53" s="42">
        <v>82.75</v>
      </c>
      <c r="F53" s="42">
        <v>4.5429000000000004</v>
      </c>
      <c r="G53" s="42">
        <v>0</v>
      </c>
      <c r="H53" s="42">
        <v>61.6325</v>
      </c>
      <c r="I53" s="42">
        <v>1</v>
      </c>
      <c r="J53" s="42">
        <v>4</v>
      </c>
      <c r="K53" s="42">
        <v>0</v>
      </c>
      <c r="L53" s="42">
        <v>0.58919999999999995</v>
      </c>
      <c r="M53" s="42">
        <v>427.79629999999997</v>
      </c>
      <c r="N53" s="42">
        <v>1</v>
      </c>
      <c r="O53" s="42">
        <v>4540.3543</v>
      </c>
      <c r="P53" s="42">
        <v>67.822299999999998</v>
      </c>
      <c r="Q53" s="42">
        <v>0.91439999999999999</v>
      </c>
      <c r="R53" s="42">
        <v>15574.744199999999</v>
      </c>
      <c r="S53" s="57">
        <v>200</v>
      </c>
      <c r="T53" s="42">
        <v>189.989</v>
      </c>
      <c r="U53" s="42">
        <v>8.4001999999999999</v>
      </c>
      <c r="V53" s="42">
        <v>0.4929</v>
      </c>
      <c r="W53" s="42">
        <v>83.098600000000005</v>
      </c>
      <c r="X53" s="42">
        <v>0.157</v>
      </c>
      <c r="Y53" s="42">
        <v>142.53899999999999</v>
      </c>
      <c r="Z53" s="42">
        <v>50.505499999999998</v>
      </c>
      <c r="AA53" s="42">
        <v>171.2474</v>
      </c>
      <c r="AB53" s="42">
        <v>5.8152999999999997</v>
      </c>
      <c r="AC53" s="42">
        <v>4</v>
      </c>
      <c r="AD53" s="42">
        <v>0</v>
      </c>
      <c r="AE53" s="42">
        <v>398.39839999999998</v>
      </c>
      <c r="AF53" s="42">
        <v>270.61950000000002</v>
      </c>
      <c r="AG53" s="42">
        <v>324.30239999999998</v>
      </c>
      <c r="AH53" s="42">
        <v>455.52719999999999</v>
      </c>
      <c r="AI53" s="42">
        <v>473.45650000000001</v>
      </c>
      <c r="AJ53" s="42">
        <v>123.5703</v>
      </c>
      <c r="AK53" s="42">
        <v>1720474112</v>
      </c>
      <c r="AL53" s="42">
        <v>884316160</v>
      </c>
      <c r="AM53" s="42">
        <v>200</v>
      </c>
      <c r="AN53" s="42">
        <v>0</v>
      </c>
      <c r="AO53" s="33" t="s">
        <v>117</v>
      </c>
      <c r="AP53" s="33" t="s">
        <v>117</v>
      </c>
      <c r="AQ53" s="33" t="s">
        <v>117</v>
      </c>
      <c r="AR53" s="33" t="s">
        <v>117</v>
      </c>
      <c r="AS53" s="33" t="s">
        <v>117</v>
      </c>
      <c r="AT53" s="33" t="s">
        <v>117</v>
      </c>
      <c r="AU53" s="33" t="s">
        <v>117</v>
      </c>
      <c r="AV53" s="33" t="s">
        <v>117</v>
      </c>
      <c r="AW53" s="33" t="s">
        <v>117</v>
      </c>
      <c r="AX53" s="33" t="s">
        <v>117</v>
      </c>
      <c r="AY53" s="33" t="s">
        <v>117</v>
      </c>
      <c r="AZ53" s="33" t="s">
        <v>117</v>
      </c>
      <c r="BA53" s="42">
        <v>1</v>
      </c>
      <c r="BB53" s="42">
        <v>0.58919999999999995</v>
      </c>
      <c r="BC53" s="42">
        <v>1</v>
      </c>
      <c r="BD53" s="42">
        <v>398.39839999999998</v>
      </c>
      <c r="BE53" s="42">
        <v>0.58919999999999995</v>
      </c>
      <c r="BF53" s="42">
        <v>398.39839999999998</v>
      </c>
      <c r="BG53" s="42">
        <v>1</v>
      </c>
      <c r="BH53" s="42">
        <v>1720474112</v>
      </c>
      <c r="BI53" s="42">
        <v>884316160</v>
      </c>
      <c r="BJ53" s="42">
        <v>4</v>
      </c>
      <c r="BK53" s="42">
        <v>0</v>
      </c>
      <c r="BL53" s="42">
        <v>1</v>
      </c>
      <c r="BM53" s="46" t="s">
        <v>117</v>
      </c>
      <c r="BN53" s="33"/>
      <c r="BO53" s="34"/>
    </row>
    <row r="54" spans="1:67" x14ac:dyDescent="0.25">
      <c r="A54" s="32">
        <v>51</v>
      </c>
      <c r="B54" s="42" t="s">
        <v>235</v>
      </c>
      <c r="C54" s="42">
        <v>0</v>
      </c>
      <c r="D54" s="42">
        <v>15203.1324</v>
      </c>
      <c r="E54" s="42">
        <v>32.108499999999999</v>
      </c>
      <c r="F54" s="42">
        <v>0.59360000000000002</v>
      </c>
      <c r="G54" s="42">
        <v>0</v>
      </c>
      <c r="H54" s="42">
        <v>171.3142</v>
      </c>
      <c r="I54" s="42">
        <v>1</v>
      </c>
      <c r="J54" s="42">
        <v>2</v>
      </c>
      <c r="K54" s="42">
        <v>1</v>
      </c>
      <c r="L54" s="42">
        <v>0.84230000000000005</v>
      </c>
      <c r="M54" s="42">
        <v>128.28970000000001</v>
      </c>
      <c r="N54" s="42">
        <v>1</v>
      </c>
      <c r="O54" s="42">
        <v>1321.3115</v>
      </c>
      <c r="P54" s="42">
        <v>55.974299999999999</v>
      </c>
      <c r="Q54" s="42">
        <v>1</v>
      </c>
      <c r="R54" s="42">
        <v>15494.305899999999</v>
      </c>
      <c r="S54" s="57">
        <v>5</v>
      </c>
      <c r="T54" s="42">
        <v>240.69210000000001</v>
      </c>
      <c r="U54" s="42">
        <v>2.988</v>
      </c>
      <c r="V54" s="42">
        <v>1</v>
      </c>
      <c r="W54" s="42">
        <v>124.6066</v>
      </c>
      <c r="X54" s="42">
        <v>0.77629999999999999</v>
      </c>
      <c r="Y54" s="42">
        <v>10.030099999999999</v>
      </c>
      <c r="Z54" s="42">
        <v>40.744799999999998</v>
      </c>
      <c r="AA54" s="42">
        <v>164.33920000000001</v>
      </c>
      <c r="AB54" s="42">
        <v>4.1914999999999996</v>
      </c>
      <c r="AC54" s="42">
        <v>1</v>
      </c>
      <c r="AD54" s="42">
        <v>0</v>
      </c>
      <c r="AE54" s="42">
        <v>368.49020000000002</v>
      </c>
      <c r="AF54" s="42">
        <v>72.811199999999999</v>
      </c>
      <c r="AG54" s="42">
        <v>225.25309999999999</v>
      </c>
      <c r="AH54" s="42">
        <v>100.5556</v>
      </c>
      <c r="AI54" s="42">
        <v>392.54289999999997</v>
      </c>
      <c r="AJ54" s="42">
        <v>389.4676</v>
      </c>
      <c r="AK54" s="42">
        <v>3387012352</v>
      </c>
      <c r="AL54" s="42">
        <v>2581461760</v>
      </c>
      <c r="AM54" s="42">
        <v>300</v>
      </c>
      <c r="AN54" s="42">
        <v>0</v>
      </c>
      <c r="AO54" s="33" t="s">
        <v>117</v>
      </c>
      <c r="AP54" s="33" t="s">
        <v>117</v>
      </c>
      <c r="AQ54" s="33" t="s">
        <v>117</v>
      </c>
      <c r="AR54" s="33" t="s">
        <v>117</v>
      </c>
      <c r="AS54" s="33" t="s">
        <v>117</v>
      </c>
      <c r="AT54" s="33" t="s">
        <v>117</v>
      </c>
      <c r="AU54" s="33" t="s">
        <v>117</v>
      </c>
      <c r="AV54" s="33" t="s">
        <v>117</v>
      </c>
      <c r="AW54" s="33" t="s">
        <v>117</v>
      </c>
      <c r="AX54" s="33" t="s">
        <v>117</v>
      </c>
      <c r="AY54" s="33" t="s">
        <v>117</v>
      </c>
      <c r="AZ54" s="33" t="s">
        <v>117</v>
      </c>
      <c r="BA54" s="42">
        <v>1</v>
      </c>
      <c r="BB54" s="42">
        <v>0.84230000000000005</v>
      </c>
      <c r="BC54" s="42">
        <v>1</v>
      </c>
      <c r="BD54" s="42">
        <v>368.49020000000002</v>
      </c>
      <c r="BE54" s="42">
        <v>0.84230000000000005</v>
      </c>
      <c r="BF54" s="42">
        <v>368.49020000000002</v>
      </c>
      <c r="BG54" s="42">
        <v>1</v>
      </c>
      <c r="BH54" s="42">
        <v>3387012352</v>
      </c>
      <c r="BI54" s="42">
        <v>2581461760</v>
      </c>
      <c r="BJ54" s="42">
        <v>2</v>
      </c>
      <c r="BK54" s="42">
        <v>0</v>
      </c>
      <c r="BL54" s="42">
        <v>1</v>
      </c>
      <c r="BM54" s="46" t="s">
        <v>117</v>
      </c>
      <c r="BN54" s="33"/>
      <c r="BO54" s="34"/>
    </row>
    <row r="55" spans="1:67" x14ac:dyDescent="0.25">
      <c r="A55" s="32">
        <v>52</v>
      </c>
      <c r="B55" s="42" t="s">
        <v>197</v>
      </c>
      <c r="C55" s="42">
        <v>0</v>
      </c>
      <c r="D55" s="42">
        <v>5423.6291000000001</v>
      </c>
      <c r="E55" s="42">
        <v>-11.336</v>
      </c>
      <c r="F55" s="42">
        <v>-6.1554000000000002</v>
      </c>
      <c r="G55" s="42">
        <v>0</v>
      </c>
      <c r="H55" s="42">
        <v>0.5</v>
      </c>
      <c r="I55" s="42">
        <v>1</v>
      </c>
      <c r="J55" s="42">
        <v>2</v>
      </c>
      <c r="K55" s="42">
        <v>2</v>
      </c>
      <c r="L55" s="42">
        <v>1</v>
      </c>
      <c r="M55" s="42">
        <v>174.0505</v>
      </c>
      <c r="N55" s="42">
        <v>1</v>
      </c>
      <c r="O55" s="42">
        <v>5565.1922000000004</v>
      </c>
      <c r="P55" s="42">
        <v>97.443899999999999</v>
      </c>
      <c r="Q55" s="42">
        <v>1</v>
      </c>
      <c r="R55" s="42">
        <v>11690.4355</v>
      </c>
      <c r="S55" s="42">
        <v>170.96420000000001</v>
      </c>
      <c r="T55" s="57">
        <v>0</v>
      </c>
      <c r="U55" s="42">
        <v>0.71260000000000001</v>
      </c>
      <c r="V55" s="42">
        <v>1.66E-2</v>
      </c>
      <c r="W55" s="42">
        <v>176.28890000000001</v>
      </c>
      <c r="X55" s="42">
        <v>0.32819999999999999</v>
      </c>
      <c r="Y55" s="42">
        <v>77.533699999999996</v>
      </c>
      <c r="Z55" s="42">
        <v>93.422200000000004</v>
      </c>
      <c r="AA55" s="42">
        <v>187.92840000000001</v>
      </c>
      <c r="AB55" s="42">
        <v>7.1311999999999998</v>
      </c>
      <c r="AC55" s="42">
        <v>0</v>
      </c>
      <c r="AD55" s="42">
        <v>2</v>
      </c>
      <c r="AE55" s="42">
        <v>374.90460000000002</v>
      </c>
      <c r="AF55" s="42">
        <v>230.97540000000001</v>
      </c>
      <c r="AG55" s="42">
        <v>273.26569999999998</v>
      </c>
      <c r="AH55" s="42">
        <v>278.71469999999999</v>
      </c>
      <c r="AI55" s="42">
        <v>306.4153</v>
      </c>
      <c r="AJ55" s="42">
        <v>405.82990000000001</v>
      </c>
      <c r="AK55" s="42">
        <v>990749696</v>
      </c>
      <c r="AL55" s="42">
        <v>4222669312</v>
      </c>
      <c r="AM55" s="42">
        <v>66250</v>
      </c>
      <c r="AN55" s="42">
        <v>1</v>
      </c>
      <c r="AO55" s="33" t="s">
        <v>117</v>
      </c>
      <c r="AP55" s="33" t="s">
        <v>117</v>
      </c>
      <c r="AQ55" s="33" t="s">
        <v>117</v>
      </c>
      <c r="AR55" s="33" t="s">
        <v>117</v>
      </c>
      <c r="AS55" s="33" t="s">
        <v>117</v>
      </c>
      <c r="AT55" s="33" t="s">
        <v>117</v>
      </c>
      <c r="AU55" s="33" t="s">
        <v>117</v>
      </c>
      <c r="AV55" s="33" t="s">
        <v>117</v>
      </c>
      <c r="AW55" s="33" t="s">
        <v>117</v>
      </c>
      <c r="AX55" s="33" t="s">
        <v>117</v>
      </c>
      <c r="AY55" s="33" t="s">
        <v>117</v>
      </c>
      <c r="AZ55" s="33" t="s">
        <v>117</v>
      </c>
      <c r="BA55" s="42">
        <v>1</v>
      </c>
      <c r="BB55" s="42">
        <v>1</v>
      </c>
      <c r="BC55" s="42">
        <v>1</v>
      </c>
      <c r="BD55" s="42">
        <v>374.90460000000002</v>
      </c>
      <c r="BE55" s="42">
        <v>1</v>
      </c>
      <c r="BF55" s="42">
        <v>374.90460000000002</v>
      </c>
      <c r="BG55" s="42">
        <v>1</v>
      </c>
      <c r="BH55" s="42">
        <v>990749696</v>
      </c>
      <c r="BI55" s="42">
        <v>4222669312</v>
      </c>
      <c r="BJ55" s="42">
        <v>2</v>
      </c>
      <c r="BK55" s="42">
        <v>0</v>
      </c>
      <c r="BL55" s="42">
        <v>1</v>
      </c>
      <c r="BM55" s="46" t="s">
        <v>117</v>
      </c>
      <c r="BN55" s="33"/>
      <c r="BO55" s="34"/>
    </row>
    <row r="56" spans="1:67" x14ac:dyDescent="0.25">
      <c r="A56" s="32">
        <v>53</v>
      </c>
      <c r="B56" s="42" t="s">
        <v>198</v>
      </c>
      <c r="C56" s="42">
        <v>0</v>
      </c>
      <c r="D56" s="42">
        <v>10</v>
      </c>
      <c r="E56" s="42">
        <v>39.291899999999998</v>
      </c>
      <c r="F56" s="42">
        <v>10</v>
      </c>
      <c r="G56" s="42">
        <v>0</v>
      </c>
      <c r="H56" s="42">
        <v>1.5</v>
      </c>
      <c r="I56" s="42">
        <v>1</v>
      </c>
      <c r="J56" s="42">
        <v>1</v>
      </c>
      <c r="K56" s="42">
        <v>5</v>
      </c>
      <c r="L56" s="42">
        <v>7.7999999999999996E-3</v>
      </c>
      <c r="M56" s="42">
        <v>434.91390000000001</v>
      </c>
      <c r="N56" s="42">
        <v>1</v>
      </c>
      <c r="O56" s="42">
        <v>3953.0589</v>
      </c>
      <c r="P56" s="42">
        <v>193.9462</v>
      </c>
      <c r="Q56" s="42">
        <v>0.93049999999999999</v>
      </c>
      <c r="R56" s="42">
        <v>5540.2429000000002</v>
      </c>
      <c r="S56" s="42">
        <v>75.185599999999994</v>
      </c>
      <c r="T56" s="57">
        <v>250</v>
      </c>
      <c r="U56" s="42">
        <v>4.6378000000000004</v>
      </c>
      <c r="V56" s="42">
        <v>1</v>
      </c>
      <c r="W56" s="42">
        <v>32.8108</v>
      </c>
      <c r="X56" s="42">
        <v>1</v>
      </c>
      <c r="Y56" s="42">
        <v>199.28</v>
      </c>
      <c r="Z56" s="42">
        <v>103.8918</v>
      </c>
      <c r="AA56" s="42">
        <v>30.129000000000001</v>
      </c>
      <c r="AB56" s="42">
        <v>6.1692</v>
      </c>
      <c r="AC56" s="42">
        <v>4</v>
      </c>
      <c r="AD56" s="42">
        <v>1</v>
      </c>
      <c r="AE56" s="42">
        <v>449.06029999999998</v>
      </c>
      <c r="AF56" s="42">
        <v>154.38399999999999</v>
      </c>
      <c r="AG56" s="42">
        <v>219.20259999999999</v>
      </c>
      <c r="AH56" s="42">
        <v>494.82310000000001</v>
      </c>
      <c r="AI56" s="42">
        <v>393.07220000000001</v>
      </c>
      <c r="AJ56" s="42">
        <v>12.099299999999999</v>
      </c>
      <c r="AK56" s="42">
        <v>3322271488</v>
      </c>
      <c r="AL56" s="42">
        <v>1381256448</v>
      </c>
      <c r="AM56" s="42">
        <v>67600</v>
      </c>
      <c r="AN56" s="42">
        <v>2</v>
      </c>
      <c r="AO56" s="33" t="s">
        <v>117</v>
      </c>
      <c r="AP56" s="33" t="s">
        <v>117</v>
      </c>
      <c r="AQ56" s="33" t="s">
        <v>117</v>
      </c>
      <c r="AR56" s="33" t="s">
        <v>117</v>
      </c>
      <c r="AS56" s="33" t="s">
        <v>117</v>
      </c>
      <c r="AT56" s="33" t="s">
        <v>117</v>
      </c>
      <c r="AU56" s="33" t="s">
        <v>117</v>
      </c>
      <c r="AV56" s="33" t="s">
        <v>117</v>
      </c>
      <c r="AW56" s="33" t="s">
        <v>117</v>
      </c>
      <c r="AX56" s="33" t="s">
        <v>117</v>
      </c>
      <c r="AY56" s="33" t="s">
        <v>117</v>
      </c>
      <c r="AZ56" s="33" t="s">
        <v>117</v>
      </c>
      <c r="BA56" s="42">
        <v>1</v>
      </c>
      <c r="BB56" s="42">
        <v>7.7999999999999996E-3</v>
      </c>
      <c r="BC56" s="42">
        <v>1</v>
      </c>
      <c r="BD56" s="42">
        <v>1</v>
      </c>
      <c r="BE56" s="42">
        <v>7.7999999999999996E-3</v>
      </c>
      <c r="BF56" s="42">
        <v>1</v>
      </c>
      <c r="BG56" s="42">
        <v>1</v>
      </c>
      <c r="BH56" s="42">
        <v>3322271488</v>
      </c>
      <c r="BI56" s="42">
        <v>1381256448</v>
      </c>
      <c r="BJ56" s="42">
        <v>5</v>
      </c>
      <c r="BK56" s="42">
        <v>0</v>
      </c>
      <c r="BL56" s="42">
        <v>1</v>
      </c>
      <c r="BM56" s="46" t="s">
        <v>117</v>
      </c>
      <c r="BN56" s="33"/>
      <c r="BO56" s="34"/>
    </row>
    <row r="57" spans="1:67" x14ac:dyDescent="0.25">
      <c r="A57" s="32">
        <v>54</v>
      </c>
      <c r="B57" s="42" t="s">
        <v>236</v>
      </c>
      <c r="C57" s="42">
        <v>0</v>
      </c>
      <c r="D57" s="42">
        <v>1322.1074000000001</v>
      </c>
      <c r="E57" s="42">
        <v>-87.037300000000002</v>
      </c>
      <c r="F57" s="42">
        <v>-0.1008</v>
      </c>
      <c r="G57" s="42">
        <v>0</v>
      </c>
      <c r="H57" s="42">
        <v>3.2</v>
      </c>
      <c r="I57" s="42">
        <v>1</v>
      </c>
      <c r="J57" s="42">
        <v>5</v>
      </c>
      <c r="K57" s="42">
        <v>5</v>
      </c>
      <c r="L57" s="42">
        <v>1</v>
      </c>
      <c r="M57" s="42">
        <v>430.18020000000001</v>
      </c>
      <c r="N57" s="42">
        <v>1</v>
      </c>
      <c r="O57" s="42">
        <v>7176.3851000000004</v>
      </c>
      <c r="P57" s="42">
        <v>133.64359999999999</v>
      </c>
      <c r="Q57" s="42">
        <v>0.378</v>
      </c>
      <c r="R57" s="42">
        <v>1920.8106</v>
      </c>
      <c r="S57" s="42">
        <v>109.14919999999999</v>
      </c>
      <c r="T57" s="57">
        <v>10</v>
      </c>
      <c r="U57" s="42">
        <v>0.87780000000000002</v>
      </c>
      <c r="V57" s="42">
        <v>0.91390000000000005</v>
      </c>
      <c r="W57" s="42">
        <v>13.976100000000001</v>
      </c>
      <c r="X57" s="42">
        <v>1</v>
      </c>
      <c r="Y57" s="42">
        <v>54.707000000000001</v>
      </c>
      <c r="Z57" s="42">
        <v>56.914900000000003</v>
      </c>
      <c r="AA57" s="42">
        <v>246.93549999999999</v>
      </c>
      <c r="AB57" s="42">
        <v>1.2961</v>
      </c>
      <c r="AC57" s="42">
        <v>2</v>
      </c>
      <c r="AD57" s="42">
        <v>0</v>
      </c>
      <c r="AE57" s="42">
        <v>415.99009999999998</v>
      </c>
      <c r="AF57" s="42">
        <v>411.39839999999998</v>
      </c>
      <c r="AG57" s="42">
        <v>80.161000000000001</v>
      </c>
      <c r="AH57" s="42">
        <v>318.38479999999998</v>
      </c>
      <c r="AI57" s="42">
        <v>116.07259999999999</v>
      </c>
      <c r="AJ57" s="42">
        <v>442.76650000000001</v>
      </c>
      <c r="AK57" s="42">
        <v>2041134592</v>
      </c>
      <c r="AL57" s="42">
        <v>1242946560</v>
      </c>
      <c r="AM57" s="42">
        <v>68950</v>
      </c>
      <c r="AN57" s="42">
        <v>3</v>
      </c>
      <c r="AO57" s="33" t="s">
        <v>117</v>
      </c>
      <c r="AP57" s="33" t="s">
        <v>117</v>
      </c>
      <c r="AQ57" s="33" t="s">
        <v>117</v>
      </c>
      <c r="AR57" s="33" t="s">
        <v>117</v>
      </c>
      <c r="AS57" s="33" t="s">
        <v>117</v>
      </c>
      <c r="AT57" s="33" t="s">
        <v>117</v>
      </c>
      <c r="AU57" s="33" t="s">
        <v>117</v>
      </c>
      <c r="AV57" s="33" t="s">
        <v>117</v>
      </c>
      <c r="AW57" s="33" t="s">
        <v>117</v>
      </c>
      <c r="AX57" s="33" t="s">
        <v>117</v>
      </c>
      <c r="AY57" s="33" t="s">
        <v>117</v>
      </c>
      <c r="AZ57" s="33" t="s">
        <v>117</v>
      </c>
      <c r="BA57" s="42">
        <v>1</v>
      </c>
      <c r="BB57" s="42">
        <v>1</v>
      </c>
      <c r="BC57" s="42">
        <v>1</v>
      </c>
      <c r="BD57" s="42">
        <v>1</v>
      </c>
      <c r="BE57" s="42">
        <v>1</v>
      </c>
      <c r="BF57" s="42">
        <v>1</v>
      </c>
      <c r="BG57" s="42">
        <v>1</v>
      </c>
      <c r="BH57" s="42">
        <v>2041134592</v>
      </c>
      <c r="BI57" s="42">
        <v>1242946560</v>
      </c>
      <c r="BJ57" s="42">
        <v>5</v>
      </c>
      <c r="BK57" s="42">
        <v>0</v>
      </c>
      <c r="BL57" s="42">
        <v>1</v>
      </c>
      <c r="BM57" s="46" t="s">
        <v>117</v>
      </c>
      <c r="BN57" s="33"/>
      <c r="BO57" s="34"/>
    </row>
    <row r="58" spans="1:67" x14ac:dyDescent="0.25">
      <c r="A58" s="32">
        <v>55</v>
      </c>
      <c r="B58" s="42" t="s">
        <v>199</v>
      </c>
      <c r="C58" s="42">
        <v>4</v>
      </c>
      <c r="D58" s="42">
        <v>10.25</v>
      </c>
      <c r="E58" s="42">
        <v>0</v>
      </c>
      <c r="F58" s="42">
        <v>-9.9155999999999995</v>
      </c>
      <c r="G58" s="42">
        <v>0</v>
      </c>
      <c r="H58" s="42">
        <v>0.25</v>
      </c>
      <c r="I58" s="42">
        <v>1</v>
      </c>
      <c r="J58" s="42">
        <v>0</v>
      </c>
      <c r="K58" s="42">
        <v>2</v>
      </c>
      <c r="L58" s="42">
        <v>1</v>
      </c>
      <c r="M58" s="42">
        <v>208.33109999999999</v>
      </c>
      <c r="N58" s="42">
        <v>1</v>
      </c>
      <c r="O58" s="42">
        <v>5417.7685000000001</v>
      </c>
      <c r="P58" s="42">
        <v>167.1259</v>
      </c>
      <c r="Q58" s="42">
        <v>1</v>
      </c>
      <c r="R58" s="42">
        <v>8329.9038</v>
      </c>
      <c r="S58" s="42">
        <v>1.0629</v>
      </c>
      <c r="T58" s="42">
        <v>200.3</v>
      </c>
      <c r="U58" s="57">
        <v>0</v>
      </c>
      <c r="V58" s="42">
        <v>0.41899999999999998</v>
      </c>
      <c r="W58" s="42">
        <v>48.974200000000003</v>
      </c>
      <c r="X58" s="42">
        <v>1</v>
      </c>
      <c r="Y58" s="42">
        <v>65.116200000000006</v>
      </c>
      <c r="Z58" s="42">
        <v>181.73769999999999</v>
      </c>
      <c r="AA58" s="42">
        <v>162.3537</v>
      </c>
      <c r="AB58" s="42">
        <v>2.7555999999999998</v>
      </c>
      <c r="AC58" s="42">
        <v>0</v>
      </c>
      <c r="AD58" s="42">
        <v>3</v>
      </c>
      <c r="AE58" s="42">
        <v>40.929299999999998</v>
      </c>
      <c r="AF58" s="42">
        <v>403.90350000000001</v>
      </c>
      <c r="AG58" s="42">
        <v>493.09750000000003</v>
      </c>
      <c r="AH58" s="42">
        <v>277.30829999999997</v>
      </c>
      <c r="AI58" s="42">
        <v>90.276899999999998</v>
      </c>
      <c r="AJ58" s="42">
        <v>244.00710000000001</v>
      </c>
      <c r="AK58" s="42">
        <v>2434468096</v>
      </c>
      <c r="AL58" s="42">
        <v>533540608</v>
      </c>
      <c r="AM58" s="42">
        <v>70300</v>
      </c>
      <c r="AN58" s="42">
        <v>270150</v>
      </c>
      <c r="AO58" s="33" t="s">
        <v>117</v>
      </c>
      <c r="AP58" s="33" t="s">
        <v>117</v>
      </c>
      <c r="AQ58" s="33" t="s">
        <v>117</v>
      </c>
      <c r="AR58" s="33" t="s">
        <v>117</v>
      </c>
      <c r="AS58" s="33" t="s">
        <v>117</v>
      </c>
      <c r="AT58" s="33" t="s">
        <v>117</v>
      </c>
      <c r="AU58" s="33" t="s">
        <v>117</v>
      </c>
      <c r="AV58" s="33" t="s">
        <v>117</v>
      </c>
      <c r="AW58" s="33" t="s">
        <v>117</v>
      </c>
      <c r="AX58" s="33" t="s">
        <v>117</v>
      </c>
      <c r="AY58" s="33" t="s">
        <v>117</v>
      </c>
      <c r="AZ58" s="33" t="s">
        <v>117</v>
      </c>
      <c r="BA58" s="42">
        <v>1</v>
      </c>
      <c r="BB58" s="42">
        <v>1</v>
      </c>
      <c r="BC58" s="42">
        <v>1</v>
      </c>
      <c r="BD58" s="42">
        <v>244.00710000000001</v>
      </c>
      <c r="BE58" s="42">
        <v>1</v>
      </c>
      <c r="BF58" s="42">
        <v>244.00710000000001</v>
      </c>
      <c r="BG58" s="42">
        <v>1</v>
      </c>
      <c r="BH58" s="42">
        <v>2434468096</v>
      </c>
      <c r="BI58" s="42">
        <v>533540608</v>
      </c>
      <c r="BJ58" s="42">
        <v>0</v>
      </c>
      <c r="BK58" s="42">
        <v>0</v>
      </c>
      <c r="BL58" s="42">
        <v>1</v>
      </c>
      <c r="BM58" s="46" t="s">
        <v>117</v>
      </c>
      <c r="BN58" s="33"/>
      <c r="BO58" s="34"/>
    </row>
    <row r="59" spans="1:67" x14ac:dyDescent="0.25">
      <c r="A59" s="32">
        <v>56</v>
      </c>
      <c r="B59" s="42" t="s">
        <v>200</v>
      </c>
      <c r="C59" s="42">
        <v>0</v>
      </c>
      <c r="D59" s="42">
        <v>15.36</v>
      </c>
      <c r="E59" s="42">
        <v>0</v>
      </c>
      <c r="F59" s="42">
        <v>-1.0571999999999999</v>
      </c>
      <c r="G59" s="42">
        <v>0</v>
      </c>
      <c r="H59" s="42">
        <v>5.36</v>
      </c>
      <c r="I59" s="42">
        <v>1</v>
      </c>
      <c r="J59" s="42">
        <v>2</v>
      </c>
      <c r="K59" s="42">
        <v>5</v>
      </c>
      <c r="L59" s="42">
        <v>0.18679999999999999</v>
      </c>
      <c r="M59" s="42">
        <v>298.47309999999999</v>
      </c>
      <c r="N59" s="42">
        <v>1</v>
      </c>
      <c r="O59" s="42">
        <v>10512.6101</v>
      </c>
      <c r="P59" s="42">
        <v>94.392600000000002</v>
      </c>
      <c r="Q59" s="42">
        <v>0.47249999999999998</v>
      </c>
      <c r="R59" s="42">
        <v>1426.1883</v>
      </c>
      <c r="S59" s="42">
        <v>29.845500000000001</v>
      </c>
      <c r="T59" s="42">
        <v>225.63</v>
      </c>
      <c r="U59" s="57">
        <v>10</v>
      </c>
      <c r="V59" s="42">
        <v>0.64610000000000001</v>
      </c>
      <c r="W59" s="42">
        <v>96.435299999999998</v>
      </c>
      <c r="X59" s="42">
        <v>1</v>
      </c>
      <c r="Y59" s="42">
        <v>185.755</v>
      </c>
      <c r="Z59" s="42">
        <v>44.0306</v>
      </c>
      <c r="AA59" s="42">
        <v>83.398399999999995</v>
      </c>
      <c r="AB59" s="42">
        <v>4.1689999999999996</v>
      </c>
      <c r="AC59" s="42">
        <v>4</v>
      </c>
      <c r="AD59" s="42">
        <v>2</v>
      </c>
      <c r="AE59" s="42">
        <v>303.56950000000001</v>
      </c>
      <c r="AF59" s="42">
        <v>108.0368</v>
      </c>
      <c r="AG59" s="42">
        <v>487.79700000000003</v>
      </c>
      <c r="AH59" s="42">
        <v>76.805400000000006</v>
      </c>
      <c r="AI59" s="42">
        <v>452.69150000000002</v>
      </c>
      <c r="AJ59" s="42">
        <v>33.752000000000002</v>
      </c>
      <c r="AK59" s="42">
        <v>598845440</v>
      </c>
      <c r="AL59" s="42">
        <v>1471362560</v>
      </c>
      <c r="AM59" s="42">
        <v>71650</v>
      </c>
      <c r="AN59" s="42">
        <v>275300</v>
      </c>
      <c r="AO59" s="33" t="s">
        <v>117</v>
      </c>
      <c r="AP59" s="33" t="s">
        <v>117</v>
      </c>
      <c r="AQ59" s="33" t="s">
        <v>117</v>
      </c>
      <c r="AR59" s="33" t="s">
        <v>117</v>
      </c>
      <c r="AS59" s="33" t="s">
        <v>117</v>
      </c>
      <c r="AT59" s="33" t="s">
        <v>117</v>
      </c>
      <c r="AU59" s="33" t="s">
        <v>117</v>
      </c>
      <c r="AV59" s="33" t="s">
        <v>117</v>
      </c>
      <c r="AW59" s="33" t="s">
        <v>117</v>
      </c>
      <c r="AX59" s="33" t="s">
        <v>117</v>
      </c>
      <c r="AY59" s="33" t="s">
        <v>117</v>
      </c>
      <c r="AZ59" s="33" t="s">
        <v>117</v>
      </c>
      <c r="BA59" s="42">
        <v>2</v>
      </c>
      <c r="BB59" s="42">
        <v>0.64610000000000001</v>
      </c>
      <c r="BC59" s="42">
        <v>2</v>
      </c>
      <c r="BD59" s="42">
        <v>1</v>
      </c>
      <c r="BE59" s="42">
        <v>0.64610000000000001</v>
      </c>
      <c r="BF59" s="42">
        <v>1</v>
      </c>
      <c r="BG59" s="42">
        <v>2</v>
      </c>
      <c r="BH59" s="42">
        <v>598845440</v>
      </c>
      <c r="BI59" s="42">
        <v>1471362560</v>
      </c>
      <c r="BJ59" s="42">
        <v>5</v>
      </c>
      <c r="BK59" s="42">
        <v>0</v>
      </c>
      <c r="BL59" s="42">
        <v>1</v>
      </c>
      <c r="BM59" s="46" t="s">
        <v>117</v>
      </c>
      <c r="BN59" s="33"/>
      <c r="BO59" s="34"/>
    </row>
    <row r="60" spans="1:67" x14ac:dyDescent="0.25">
      <c r="A60" s="32">
        <v>57</v>
      </c>
      <c r="B60" s="42" t="s">
        <v>237</v>
      </c>
      <c r="C60" s="42">
        <v>0</v>
      </c>
      <c r="D60" s="42">
        <v>66.239999999999995</v>
      </c>
      <c r="E60" s="42">
        <v>0</v>
      </c>
      <c r="F60" s="42">
        <v>-3.9369000000000001</v>
      </c>
      <c r="G60" s="42">
        <v>0</v>
      </c>
      <c r="H60" s="42">
        <v>6.24</v>
      </c>
      <c r="I60" s="42">
        <v>1</v>
      </c>
      <c r="J60" s="42">
        <v>3</v>
      </c>
      <c r="K60" s="42">
        <v>3</v>
      </c>
      <c r="L60" s="42">
        <v>1</v>
      </c>
      <c r="M60" s="42">
        <v>95.031300000000002</v>
      </c>
      <c r="N60" s="42">
        <v>1</v>
      </c>
      <c r="O60" s="42">
        <v>7035.6257999999998</v>
      </c>
      <c r="P60" s="42">
        <v>66.139200000000002</v>
      </c>
      <c r="Q60" s="42">
        <v>1</v>
      </c>
      <c r="R60" s="42">
        <v>4623.5329000000002</v>
      </c>
      <c r="S60" s="42">
        <v>164.11429999999999</v>
      </c>
      <c r="T60" s="42">
        <v>248</v>
      </c>
      <c r="U60" s="57">
        <v>1</v>
      </c>
      <c r="V60" s="42">
        <v>0.11219999999999999</v>
      </c>
      <c r="W60" s="42">
        <v>36.873699999999999</v>
      </c>
      <c r="X60" s="42">
        <v>0.13730000000000001</v>
      </c>
      <c r="Y60" s="42">
        <v>109.42700000000001</v>
      </c>
      <c r="Z60" s="42">
        <v>186.55500000000001</v>
      </c>
      <c r="AA60" s="42">
        <v>235.92859999999999</v>
      </c>
      <c r="AB60" s="42">
        <v>6.6151999999999997</v>
      </c>
      <c r="AC60" s="42">
        <v>5</v>
      </c>
      <c r="AD60" s="42">
        <v>3</v>
      </c>
      <c r="AE60" s="42">
        <v>444.04410000000001</v>
      </c>
      <c r="AF60" s="42">
        <v>41.010199999999998</v>
      </c>
      <c r="AG60" s="42">
        <v>152.9402</v>
      </c>
      <c r="AH60" s="42">
        <v>240.72980000000001</v>
      </c>
      <c r="AI60" s="42">
        <v>357.43389999999999</v>
      </c>
      <c r="AJ60" s="42">
        <v>172.6361</v>
      </c>
      <c r="AK60" s="42">
        <v>2435435264</v>
      </c>
      <c r="AL60" s="42">
        <v>3034390784</v>
      </c>
      <c r="AM60" s="42">
        <v>73000</v>
      </c>
      <c r="AN60" s="42">
        <v>280450</v>
      </c>
      <c r="AO60" s="33" t="s">
        <v>117</v>
      </c>
      <c r="AP60" s="33" t="s">
        <v>117</v>
      </c>
      <c r="AQ60" s="33" t="s">
        <v>117</v>
      </c>
      <c r="AR60" s="33" t="s">
        <v>117</v>
      </c>
      <c r="AS60" s="33" t="s">
        <v>117</v>
      </c>
      <c r="AT60" s="33" t="s">
        <v>117</v>
      </c>
      <c r="AU60" s="33" t="s">
        <v>117</v>
      </c>
      <c r="AV60" s="33" t="s">
        <v>117</v>
      </c>
      <c r="AW60" s="33" t="s">
        <v>117</v>
      </c>
      <c r="AX60" s="33" t="s">
        <v>117</v>
      </c>
      <c r="AY60" s="33" t="s">
        <v>117</v>
      </c>
      <c r="AZ60" s="33" t="s">
        <v>117</v>
      </c>
      <c r="BA60" s="42">
        <v>1</v>
      </c>
      <c r="BB60" s="42">
        <v>1</v>
      </c>
      <c r="BC60" s="42">
        <v>1</v>
      </c>
      <c r="BD60" s="42">
        <v>444.04410000000001</v>
      </c>
      <c r="BE60" s="42">
        <v>1</v>
      </c>
      <c r="BF60" s="42">
        <v>444.04410000000001</v>
      </c>
      <c r="BG60" s="42">
        <v>1</v>
      </c>
      <c r="BH60" s="42">
        <v>2435435264</v>
      </c>
      <c r="BI60" s="42">
        <v>3034390784</v>
      </c>
      <c r="BJ60" s="42">
        <v>3</v>
      </c>
      <c r="BK60" s="42">
        <v>0</v>
      </c>
      <c r="BL60" s="42">
        <v>1</v>
      </c>
      <c r="BM60" s="46" t="s">
        <v>117</v>
      </c>
      <c r="BN60" s="33"/>
      <c r="BO60" s="34"/>
    </row>
    <row r="61" spans="1:67" x14ac:dyDescent="0.25">
      <c r="A61" s="32">
        <v>58</v>
      </c>
      <c r="B61" s="42" t="s">
        <v>201</v>
      </c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>
        <v>0</v>
      </c>
      <c r="I61" s="42">
        <v>1</v>
      </c>
      <c r="J61" s="42">
        <v>3</v>
      </c>
      <c r="K61" s="42">
        <v>5</v>
      </c>
      <c r="L61" s="42">
        <v>8.8300000000000003E-2</v>
      </c>
      <c r="M61" s="42">
        <v>473.09739999999999</v>
      </c>
      <c r="N61" s="42">
        <v>1</v>
      </c>
      <c r="O61" s="42">
        <v>13789.4105</v>
      </c>
      <c r="P61" s="42">
        <v>174.19649999999999</v>
      </c>
      <c r="Q61" s="42">
        <v>1</v>
      </c>
      <c r="R61" s="42">
        <v>5586.9822999999997</v>
      </c>
      <c r="S61" s="42">
        <v>91.895399999999995</v>
      </c>
      <c r="T61" s="42">
        <v>25.462800000000001</v>
      </c>
      <c r="U61" s="42">
        <v>6.3277999999999999</v>
      </c>
      <c r="V61" s="57">
        <v>0</v>
      </c>
      <c r="W61" s="42">
        <v>155.5309</v>
      </c>
      <c r="X61" s="42">
        <v>1</v>
      </c>
      <c r="Y61" s="42">
        <v>72.083600000000004</v>
      </c>
      <c r="Z61" s="42">
        <v>55.709600000000002</v>
      </c>
      <c r="AA61" s="42">
        <v>15.657400000000001</v>
      </c>
      <c r="AB61" s="42">
        <v>6.0301</v>
      </c>
      <c r="AC61" s="42">
        <v>0</v>
      </c>
      <c r="AD61" s="42">
        <v>1</v>
      </c>
      <c r="AE61" s="42">
        <v>211.52799999999999</v>
      </c>
      <c r="AF61" s="42">
        <v>319.71350000000001</v>
      </c>
      <c r="AG61" s="42">
        <v>174.87950000000001</v>
      </c>
      <c r="AH61" s="42">
        <v>279.05340000000001</v>
      </c>
      <c r="AI61" s="42">
        <v>140.4419</v>
      </c>
      <c r="AJ61" s="42">
        <v>448.971</v>
      </c>
      <c r="AK61" s="42">
        <v>3373097472</v>
      </c>
      <c r="AL61" s="42">
        <v>4274741248</v>
      </c>
      <c r="AM61" s="42">
        <v>74350</v>
      </c>
      <c r="AN61" s="42">
        <v>285600</v>
      </c>
      <c r="AO61" s="33" t="s">
        <v>117</v>
      </c>
      <c r="AP61" s="33" t="s">
        <v>117</v>
      </c>
      <c r="AQ61" s="33" t="s">
        <v>117</v>
      </c>
      <c r="AR61" s="33" t="s">
        <v>117</v>
      </c>
      <c r="AS61" s="33" t="s">
        <v>117</v>
      </c>
      <c r="AT61" s="33" t="s">
        <v>117</v>
      </c>
      <c r="AU61" s="33" t="s">
        <v>117</v>
      </c>
      <c r="AV61" s="33" t="s">
        <v>117</v>
      </c>
      <c r="AW61" s="33" t="s">
        <v>117</v>
      </c>
      <c r="AX61" s="33" t="s">
        <v>117</v>
      </c>
      <c r="AY61" s="33" t="s">
        <v>117</v>
      </c>
      <c r="AZ61" s="33" t="s">
        <v>117</v>
      </c>
      <c r="BA61" s="42">
        <v>2</v>
      </c>
      <c r="BB61" s="42">
        <v>0</v>
      </c>
      <c r="BC61" s="42">
        <v>2</v>
      </c>
      <c r="BD61" s="42">
        <v>140.4419</v>
      </c>
      <c r="BE61" s="42">
        <v>0</v>
      </c>
      <c r="BF61" s="42">
        <v>140.4419</v>
      </c>
      <c r="BG61" s="42">
        <v>2</v>
      </c>
      <c r="BH61" s="42">
        <v>3373097472</v>
      </c>
      <c r="BI61" s="42">
        <v>4274741248</v>
      </c>
      <c r="BJ61" s="42">
        <v>3</v>
      </c>
      <c r="BK61" s="42">
        <v>0</v>
      </c>
      <c r="BL61" s="42">
        <v>1</v>
      </c>
      <c r="BM61" s="46" t="s">
        <v>117</v>
      </c>
      <c r="BN61" s="33"/>
      <c r="BO61" s="34"/>
    </row>
    <row r="62" spans="1:67" x14ac:dyDescent="0.25">
      <c r="A62" s="32">
        <v>59</v>
      </c>
      <c r="B62" s="42" t="s">
        <v>202</v>
      </c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1</v>
      </c>
      <c r="J62" s="42">
        <v>4</v>
      </c>
      <c r="K62" s="42">
        <v>2</v>
      </c>
      <c r="L62" s="42">
        <v>1</v>
      </c>
      <c r="M62" s="42">
        <v>129.596</v>
      </c>
      <c r="N62" s="42">
        <v>1</v>
      </c>
      <c r="O62" s="42">
        <v>7631.7019</v>
      </c>
      <c r="P62" s="42">
        <v>119.32089999999999</v>
      </c>
      <c r="Q62" s="42">
        <v>0.1079</v>
      </c>
      <c r="R62" s="42">
        <v>15064.2003</v>
      </c>
      <c r="S62" s="42">
        <v>158.477</v>
      </c>
      <c r="T62" s="42">
        <v>109.83459999999999</v>
      </c>
      <c r="U62" s="42">
        <v>0.87460000000000004</v>
      </c>
      <c r="V62" s="57">
        <v>1</v>
      </c>
      <c r="W62" s="42">
        <v>17.329699999999999</v>
      </c>
      <c r="X62" s="42">
        <v>0.6905</v>
      </c>
      <c r="Y62" s="42">
        <v>15.7835</v>
      </c>
      <c r="Z62" s="42">
        <v>98.250299999999996</v>
      </c>
      <c r="AA62" s="42">
        <v>11.5753</v>
      </c>
      <c r="AB62" s="42">
        <v>6.0872999999999999</v>
      </c>
      <c r="AC62" s="42">
        <v>3</v>
      </c>
      <c r="AD62" s="42">
        <v>5</v>
      </c>
      <c r="AE62" s="42">
        <v>436.27249999999998</v>
      </c>
      <c r="AF62" s="42">
        <v>96.001599999999996</v>
      </c>
      <c r="AG62" s="42">
        <v>145.4734</v>
      </c>
      <c r="AH62" s="42">
        <v>420.8612</v>
      </c>
      <c r="AI62" s="42">
        <v>390.03140000000002</v>
      </c>
      <c r="AJ62" s="42">
        <v>389.87389999999999</v>
      </c>
      <c r="AK62" s="42">
        <v>3497958656</v>
      </c>
      <c r="AL62" s="42">
        <v>2898043648</v>
      </c>
      <c r="AM62" s="42">
        <v>75700</v>
      </c>
      <c r="AN62" s="42">
        <v>290750</v>
      </c>
      <c r="AO62" s="33" t="s">
        <v>117</v>
      </c>
      <c r="AP62" s="33" t="s">
        <v>117</v>
      </c>
      <c r="AQ62" s="33" t="s">
        <v>117</v>
      </c>
      <c r="AR62" s="33" t="s">
        <v>117</v>
      </c>
      <c r="AS62" s="33" t="s">
        <v>117</v>
      </c>
      <c r="AT62" s="33" t="s">
        <v>117</v>
      </c>
      <c r="AU62" s="33" t="s">
        <v>117</v>
      </c>
      <c r="AV62" s="33" t="s">
        <v>117</v>
      </c>
      <c r="AW62" s="33" t="s">
        <v>117</v>
      </c>
      <c r="AX62" s="33" t="s">
        <v>117</v>
      </c>
      <c r="AY62" s="33" t="s">
        <v>117</v>
      </c>
      <c r="AZ62" s="33" t="s">
        <v>117</v>
      </c>
      <c r="BA62" s="42">
        <v>2</v>
      </c>
      <c r="BB62" s="42">
        <v>1</v>
      </c>
      <c r="BC62" s="42">
        <v>2</v>
      </c>
      <c r="BD62" s="42">
        <v>436.27249999999998</v>
      </c>
      <c r="BE62" s="42">
        <v>1</v>
      </c>
      <c r="BF62" s="42">
        <v>436.27249999999998</v>
      </c>
      <c r="BG62" s="42">
        <v>2</v>
      </c>
      <c r="BH62" s="42">
        <v>3497958656</v>
      </c>
      <c r="BI62" s="42">
        <v>2898043648</v>
      </c>
      <c r="BJ62" s="42">
        <v>4</v>
      </c>
      <c r="BK62" s="42">
        <v>0</v>
      </c>
      <c r="BL62" s="42">
        <v>1</v>
      </c>
      <c r="BM62" s="46" t="s">
        <v>117</v>
      </c>
      <c r="BN62" s="33"/>
      <c r="BO62" s="34"/>
    </row>
    <row r="63" spans="1:67" x14ac:dyDescent="0.25">
      <c r="A63" s="32">
        <v>60</v>
      </c>
      <c r="B63" s="42" t="s">
        <v>238</v>
      </c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1</v>
      </c>
      <c r="J63" s="42">
        <v>0</v>
      </c>
      <c r="K63" s="42">
        <v>4</v>
      </c>
      <c r="L63" s="42">
        <v>1</v>
      </c>
      <c r="M63" s="42">
        <v>8.9535</v>
      </c>
      <c r="N63" s="42">
        <v>1</v>
      </c>
      <c r="O63" s="42">
        <v>7346.9691000000003</v>
      </c>
      <c r="P63" s="42">
        <v>66.496300000000005</v>
      </c>
      <c r="Q63" s="42">
        <v>1</v>
      </c>
      <c r="R63" s="42">
        <v>14044.801100000001</v>
      </c>
      <c r="S63" s="42">
        <v>94.895399999999995</v>
      </c>
      <c r="T63" s="42">
        <v>164.1421</v>
      </c>
      <c r="U63" s="42">
        <v>4.5444000000000004</v>
      </c>
      <c r="V63" s="57">
        <v>1.1000000000000001E-3</v>
      </c>
      <c r="W63" s="42">
        <v>67.559399999999997</v>
      </c>
      <c r="X63" s="42">
        <v>1</v>
      </c>
      <c r="Y63" s="42">
        <v>174.61179999999999</v>
      </c>
      <c r="Z63" s="42">
        <v>3.0527000000000002</v>
      </c>
      <c r="AA63" s="42">
        <v>120.3212</v>
      </c>
      <c r="AB63" s="42">
        <v>10</v>
      </c>
      <c r="AC63" s="42">
        <v>5</v>
      </c>
      <c r="AD63" s="42">
        <v>2</v>
      </c>
      <c r="AE63" s="42">
        <v>397.79410000000001</v>
      </c>
      <c r="AF63" s="42">
        <v>401.33710000000002</v>
      </c>
      <c r="AG63" s="42">
        <v>343.59989999999999</v>
      </c>
      <c r="AH63" s="42">
        <v>195.596</v>
      </c>
      <c r="AI63" s="42">
        <v>62.765999999999998</v>
      </c>
      <c r="AJ63" s="42">
        <v>229.7363</v>
      </c>
      <c r="AK63" s="42">
        <v>483847168</v>
      </c>
      <c r="AL63" s="42">
        <v>4021606912</v>
      </c>
      <c r="AM63" s="42">
        <v>77050</v>
      </c>
      <c r="AN63" s="42">
        <v>295900</v>
      </c>
      <c r="AO63" s="33" t="s">
        <v>117</v>
      </c>
      <c r="AP63" s="33" t="s">
        <v>117</v>
      </c>
      <c r="AQ63" s="33" t="s">
        <v>117</v>
      </c>
      <c r="AR63" s="33" t="s">
        <v>117</v>
      </c>
      <c r="AS63" s="33" t="s">
        <v>117</v>
      </c>
      <c r="AT63" s="33" t="s">
        <v>117</v>
      </c>
      <c r="AU63" s="33" t="s">
        <v>117</v>
      </c>
      <c r="AV63" s="33" t="s">
        <v>117</v>
      </c>
      <c r="AW63" s="33" t="s">
        <v>117</v>
      </c>
      <c r="AX63" s="33" t="s">
        <v>117</v>
      </c>
      <c r="AY63" s="33" t="s">
        <v>117</v>
      </c>
      <c r="AZ63" s="33" t="s">
        <v>117</v>
      </c>
      <c r="BA63" s="42">
        <v>2</v>
      </c>
      <c r="BB63" s="42">
        <v>1.1000000000000001E-3</v>
      </c>
      <c r="BC63" s="42">
        <v>2</v>
      </c>
      <c r="BD63" s="42">
        <v>397.79410000000001</v>
      </c>
      <c r="BE63" s="42">
        <v>1.1000000000000001E-3</v>
      </c>
      <c r="BF63" s="42">
        <v>397.79410000000001</v>
      </c>
      <c r="BG63" s="42">
        <v>2</v>
      </c>
      <c r="BH63" s="42">
        <v>483847168</v>
      </c>
      <c r="BI63" s="42">
        <v>4021606912</v>
      </c>
      <c r="BJ63" s="42">
        <v>0</v>
      </c>
      <c r="BK63" s="42">
        <v>0</v>
      </c>
      <c r="BL63" s="42">
        <v>1</v>
      </c>
      <c r="BM63" s="46" t="s">
        <v>117</v>
      </c>
      <c r="BN63" s="33"/>
      <c r="BO63" s="34"/>
    </row>
    <row r="64" spans="1:67" x14ac:dyDescent="0.25">
      <c r="A64" s="32">
        <v>61</v>
      </c>
      <c r="B64" s="42" t="s">
        <v>203</v>
      </c>
      <c r="C64" s="42">
        <v>0</v>
      </c>
      <c r="D64" s="42">
        <v>0</v>
      </c>
      <c r="E64" s="42">
        <v>57.682200000000002</v>
      </c>
      <c r="F64" s="42">
        <v>-6.2854000000000001</v>
      </c>
      <c r="G64" s="42">
        <v>0</v>
      </c>
      <c r="H64" s="42">
        <v>63.967399999999998</v>
      </c>
      <c r="I64" s="42">
        <v>2</v>
      </c>
      <c r="J64" s="42">
        <v>1</v>
      </c>
      <c r="K64" s="42">
        <v>1</v>
      </c>
      <c r="L64" s="42">
        <v>1</v>
      </c>
      <c r="M64" s="42">
        <v>161.48990000000001</v>
      </c>
      <c r="N64" s="42">
        <v>1</v>
      </c>
      <c r="O64" s="42">
        <v>10200.258900000001</v>
      </c>
      <c r="P64" s="42">
        <v>111.01220000000001</v>
      </c>
      <c r="Q64" s="42">
        <v>0.89629999999999999</v>
      </c>
      <c r="R64" s="42">
        <v>0</v>
      </c>
      <c r="S64" s="42">
        <v>15.3378</v>
      </c>
      <c r="T64" s="42">
        <v>130.01349999999999</v>
      </c>
      <c r="U64" s="42">
        <v>6.1672000000000002</v>
      </c>
      <c r="V64" s="42">
        <v>8.8400000000000006E-2</v>
      </c>
      <c r="W64" s="57">
        <v>0</v>
      </c>
      <c r="X64" s="42">
        <v>0.4214</v>
      </c>
      <c r="Y64" s="42">
        <v>67.530600000000007</v>
      </c>
      <c r="Z64" s="42">
        <v>28.0595</v>
      </c>
      <c r="AA64" s="42">
        <v>179.1474</v>
      </c>
      <c r="AB64" s="42">
        <v>8.4613999999999994</v>
      </c>
      <c r="AC64" s="42">
        <v>2</v>
      </c>
      <c r="AD64" s="42">
        <v>1</v>
      </c>
      <c r="AE64" s="42">
        <v>453.03210000000001</v>
      </c>
      <c r="AF64" s="42">
        <v>175.74959999999999</v>
      </c>
      <c r="AG64" s="42">
        <v>264.7645</v>
      </c>
      <c r="AH64" s="42">
        <v>364.83569999999997</v>
      </c>
      <c r="AI64" s="42">
        <v>124.4213</v>
      </c>
      <c r="AJ64" s="42">
        <v>313.65429999999998</v>
      </c>
      <c r="AK64" s="42">
        <v>3217686272</v>
      </c>
      <c r="AL64" s="42">
        <v>1885877504</v>
      </c>
      <c r="AM64" s="42">
        <v>78400</v>
      </c>
      <c r="AN64" s="42">
        <v>301050</v>
      </c>
      <c r="AO64" s="33" t="s">
        <v>117</v>
      </c>
      <c r="AP64" s="33" t="s">
        <v>117</v>
      </c>
      <c r="AQ64" s="33" t="s">
        <v>117</v>
      </c>
      <c r="AR64" s="33" t="s">
        <v>117</v>
      </c>
      <c r="AS64" s="33" t="s">
        <v>117</v>
      </c>
      <c r="AT64" s="33" t="s">
        <v>117</v>
      </c>
      <c r="AU64" s="33" t="s">
        <v>117</v>
      </c>
      <c r="AV64" s="33" t="s">
        <v>117</v>
      </c>
      <c r="AW64" s="33" t="s">
        <v>117</v>
      </c>
      <c r="AX64" s="33" t="s">
        <v>117</v>
      </c>
      <c r="AY64" s="33" t="s">
        <v>117</v>
      </c>
      <c r="AZ64" s="33" t="s">
        <v>117</v>
      </c>
      <c r="BA64" s="42">
        <v>3</v>
      </c>
      <c r="BB64" s="42">
        <v>0.4214</v>
      </c>
      <c r="BC64" s="42">
        <v>3</v>
      </c>
      <c r="BD64" s="42">
        <v>453.03210000000001</v>
      </c>
      <c r="BE64" s="42">
        <v>0.4214</v>
      </c>
      <c r="BF64" s="42">
        <v>453.03210000000001</v>
      </c>
      <c r="BG64" s="42">
        <v>3</v>
      </c>
      <c r="BH64" s="42">
        <v>3217686272</v>
      </c>
      <c r="BI64" s="42">
        <v>78400</v>
      </c>
      <c r="BJ64" s="42">
        <v>1</v>
      </c>
      <c r="BK64" s="42">
        <v>1</v>
      </c>
      <c r="BL64" s="42">
        <v>0</v>
      </c>
      <c r="BM64" s="46" t="s">
        <v>117</v>
      </c>
      <c r="BN64" s="33"/>
      <c r="BO64" s="34"/>
    </row>
    <row r="65" spans="1:67" x14ac:dyDescent="0.25">
      <c r="A65" s="32">
        <v>62</v>
      </c>
      <c r="B65" s="42" t="s">
        <v>204</v>
      </c>
      <c r="C65" s="42">
        <v>0</v>
      </c>
      <c r="D65" s="42">
        <v>0</v>
      </c>
      <c r="E65" s="42">
        <v>-89.897199999999998</v>
      </c>
      <c r="F65" s="42">
        <v>-7.7154999999999996</v>
      </c>
      <c r="G65" s="42">
        <v>0</v>
      </c>
      <c r="H65" s="42">
        <v>27.262899999999998</v>
      </c>
      <c r="I65" s="42">
        <v>2</v>
      </c>
      <c r="J65" s="42">
        <v>0</v>
      </c>
      <c r="K65" s="42">
        <v>0</v>
      </c>
      <c r="L65" s="42">
        <v>1</v>
      </c>
      <c r="M65" s="42">
        <v>300.74790000000002</v>
      </c>
      <c r="N65" s="42">
        <v>1</v>
      </c>
      <c r="O65" s="42">
        <v>11003.8181</v>
      </c>
      <c r="P65" s="42">
        <v>5.2759999999999998</v>
      </c>
      <c r="Q65" s="42">
        <v>1</v>
      </c>
      <c r="R65" s="42">
        <v>0</v>
      </c>
      <c r="S65" s="42">
        <v>47.354999999999997</v>
      </c>
      <c r="T65" s="42">
        <v>206.8304</v>
      </c>
      <c r="U65" s="42">
        <v>6.7148000000000003</v>
      </c>
      <c r="V65" s="42">
        <v>1</v>
      </c>
      <c r="W65" s="57">
        <v>200</v>
      </c>
      <c r="X65" s="42">
        <v>1</v>
      </c>
      <c r="Y65" s="42">
        <v>72.000500000000002</v>
      </c>
      <c r="Z65" s="42">
        <v>18.734400000000001</v>
      </c>
      <c r="AA65" s="42">
        <v>86.7898</v>
      </c>
      <c r="AB65" s="42">
        <v>8.3253000000000004</v>
      </c>
      <c r="AC65" s="42">
        <v>3</v>
      </c>
      <c r="AD65" s="42">
        <v>4</v>
      </c>
      <c r="AE65" s="42">
        <v>436.60379999999998</v>
      </c>
      <c r="AF65" s="42">
        <v>2.1989999999999998</v>
      </c>
      <c r="AG65" s="42">
        <v>426.03179999999998</v>
      </c>
      <c r="AH65" s="42">
        <v>93.227999999999994</v>
      </c>
      <c r="AI65" s="42">
        <v>164.07169999999999</v>
      </c>
      <c r="AJ65" s="42">
        <v>468.72859999999997</v>
      </c>
      <c r="AK65" s="42">
        <v>788317696</v>
      </c>
      <c r="AL65" s="42">
        <v>2172265472</v>
      </c>
      <c r="AM65" s="42">
        <v>79750</v>
      </c>
      <c r="AN65" s="42">
        <v>306200</v>
      </c>
      <c r="AO65" s="33" t="s">
        <v>117</v>
      </c>
      <c r="AP65" s="33" t="s">
        <v>117</v>
      </c>
      <c r="AQ65" s="33" t="s">
        <v>117</v>
      </c>
      <c r="AR65" s="33" t="s">
        <v>117</v>
      </c>
      <c r="AS65" s="33" t="s">
        <v>117</v>
      </c>
      <c r="AT65" s="33" t="s">
        <v>117</v>
      </c>
      <c r="AU65" s="33" t="s">
        <v>117</v>
      </c>
      <c r="AV65" s="33" t="s">
        <v>117</v>
      </c>
      <c r="AW65" s="33" t="s">
        <v>117</v>
      </c>
      <c r="AX65" s="33" t="s">
        <v>117</v>
      </c>
      <c r="AY65" s="33" t="s">
        <v>117</v>
      </c>
      <c r="AZ65" s="33" t="s">
        <v>117</v>
      </c>
      <c r="BA65" s="42">
        <v>2</v>
      </c>
      <c r="BB65" s="42">
        <v>1</v>
      </c>
      <c r="BC65" s="42">
        <v>2</v>
      </c>
      <c r="BD65" s="42">
        <v>436.60379999999998</v>
      </c>
      <c r="BE65" s="42">
        <v>1</v>
      </c>
      <c r="BF65" s="42">
        <v>436.60379999999998</v>
      </c>
      <c r="BG65" s="42">
        <v>2</v>
      </c>
      <c r="BH65" s="42">
        <v>788317696</v>
      </c>
      <c r="BI65" s="42">
        <v>2172265472</v>
      </c>
      <c r="BJ65" s="42">
        <v>0</v>
      </c>
      <c r="BK65" s="42">
        <v>0</v>
      </c>
      <c r="BL65" s="42">
        <v>0</v>
      </c>
      <c r="BM65" s="46" t="s">
        <v>117</v>
      </c>
      <c r="BN65" s="33"/>
      <c r="BO65" s="34"/>
    </row>
    <row r="66" spans="1:67" x14ac:dyDescent="0.25">
      <c r="A66" s="32">
        <v>63</v>
      </c>
      <c r="B66" s="42" t="s">
        <v>240</v>
      </c>
      <c r="C66" s="42">
        <v>0</v>
      </c>
      <c r="D66" s="42">
        <v>0</v>
      </c>
      <c r="E66" s="42">
        <v>4.1212</v>
      </c>
      <c r="F66" s="42">
        <v>-9.7837999999999994</v>
      </c>
      <c r="G66" s="42">
        <v>0</v>
      </c>
      <c r="H66" s="42">
        <v>65.718699999999998</v>
      </c>
      <c r="I66" s="42">
        <v>2</v>
      </c>
      <c r="J66" s="42">
        <v>4</v>
      </c>
      <c r="K66" s="42">
        <v>5</v>
      </c>
      <c r="L66" s="42">
        <v>0.3589</v>
      </c>
      <c r="M66" s="42">
        <v>189.8913</v>
      </c>
      <c r="N66" s="42">
        <v>1</v>
      </c>
      <c r="O66" s="42">
        <v>16344.495199999999</v>
      </c>
      <c r="P66" s="42">
        <v>176.23689999999999</v>
      </c>
      <c r="Q66" s="42">
        <v>0.51019999999999999</v>
      </c>
      <c r="R66" s="42">
        <v>0</v>
      </c>
      <c r="S66" s="42">
        <v>5.9574999999999996</v>
      </c>
      <c r="T66" s="42">
        <v>225.64850000000001</v>
      </c>
      <c r="U66" s="42">
        <v>1.8864000000000001</v>
      </c>
      <c r="V66" s="42">
        <v>3.0599999999999999E-2</v>
      </c>
      <c r="W66" s="57">
        <v>8</v>
      </c>
      <c r="X66" s="42">
        <v>1</v>
      </c>
      <c r="Y66" s="42">
        <v>41.599600000000002</v>
      </c>
      <c r="Z66" s="42">
        <v>188.8107</v>
      </c>
      <c r="AA66" s="42">
        <v>158.5617</v>
      </c>
      <c r="AB66" s="42">
        <v>0.45069999999999999</v>
      </c>
      <c r="AC66" s="42">
        <v>2</v>
      </c>
      <c r="AD66" s="42">
        <v>3</v>
      </c>
      <c r="AE66" s="42">
        <v>131.95050000000001</v>
      </c>
      <c r="AF66" s="42">
        <v>412.75920000000002</v>
      </c>
      <c r="AG66" s="42">
        <v>261.86540000000002</v>
      </c>
      <c r="AH66" s="42">
        <v>43.185200000000002</v>
      </c>
      <c r="AI66" s="42">
        <v>466.99059999999997</v>
      </c>
      <c r="AJ66" s="42">
        <v>129.18940000000001</v>
      </c>
      <c r="AK66" s="42">
        <v>155218176</v>
      </c>
      <c r="AL66" s="42">
        <v>1153455872</v>
      </c>
      <c r="AM66" s="42">
        <v>81100</v>
      </c>
      <c r="AN66" s="42">
        <v>311350</v>
      </c>
      <c r="AO66" s="33" t="s">
        <v>117</v>
      </c>
      <c r="AP66" s="33" t="s">
        <v>117</v>
      </c>
      <c r="AQ66" s="33" t="s">
        <v>117</v>
      </c>
      <c r="AR66" s="33" t="s">
        <v>117</v>
      </c>
      <c r="AS66" s="33" t="s">
        <v>117</v>
      </c>
      <c r="AT66" s="33" t="s">
        <v>117</v>
      </c>
      <c r="AU66" s="33" t="s">
        <v>117</v>
      </c>
      <c r="AV66" s="33" t="s">
        <v>117</v>
      </c>
      <c r="AW66" s="33" t="s">
        <v>117</v>
      </c>
      <c r="AX66" s="33" t="s">
        <v>117</v>
      </c>
      <c r="AY66" s="33" t="s">
        <v>117</v>
      </c>
      <c r="AZ66" s="33" t="s">
        <v>117</v>
      </c>
      <c r="BA66" s="42">
        <v>3</v>
      </c>
      <c r="BB66" s="42">
        <v>1</v>
      </c>
      <c r="BC66" s="42">
        <v>3</v>
      </c>
      <c r="BD66" s="42">
        <v>131.95050000000001</v>
      </c>
      <c r="BE66" s="42">
        <v>1</v>
      </c>
      <c r="BF66" s="42">
        <v>131.95050000000001</v>
      </c>
      <c r="BG66" s="42">
        <v>3</v>
      </c>
      <c r="BH66" s="42">
        <v>155218176</v>
      </c>
      <c r="BI66" s="42">
        <v>81100</v>
      </c>
      <c r="BJ66" s="42">
        <v>4</v>
      </c>
      <c r="BK66" s="42">
        <v>1</v>
      </c>
      <c r="BL66" s="42">
        <v>0</v>
      </c>
      <c r="BM66" s="46" t="s">
        <v>117</v>
      </c>
      <c r="BN66" s="33"/>
      <c r="BO66" s="34"/>
    </row>
    <row r="67" spans="1:67" x14ac:dyDescent="0.25">
      <c r="A67" s="32">
        <v>64</v>
      </c>
      <c r="B67" s="42" t="s">
        <v>205</v>
      </c>
      <c r="C67" s="42">
        <v>0</v>
      </c>
      <c r="D67" s="42">
        <v>3594.9634000000001</v>
      </c>
      <c r="E67" s="42">
        <v>52.1629</v>
      </c>
      <c r="F67" s="42">
        <v>-6.8151999999999999</v>
      </c>
      <c r="G67" s="42">
        <v>0</v>
      </c>
      <c r="H67" s="42">
        <v>152.7621</v>
      </c>
      <c r="I67" s="42">
        <v>2</v>
      </c>
      <c r="J67" s="42">
        <v>5</v>
      </c>
      <c r="K67" s="42">
        <v>3</v>
      </c>
      <c r="L67" s="42">
        <v>0.34939999999999999</v>
      </c>
      <c r="M67" s="42">
        <v>321.75240000000002</v>
      </c>
      <c r="N67" s="42">
        <v>1</v>
      </c>
      <c r="O67" s="42">
        <v>621.47770000000003</v>
      </c>
      <c r="P67" s="42">
        <v>89.534599999999998</v>
      </c>
      <c r="Q67" s="42">
        <v>1</v>
      </c>
      <c r="R67" s="42">
        <v>12569.581200000001</v>
      </c>
      <c r="S67" s="42">
        <v>54.1248</v>
      </c>
      <c r="T67" s="42">
        <v>158.7002</v>
      </c>
      <c r="U67" s="42">
        <v>8.7413000000000007</v>
      </c>
      <c r="V67" s="42">
        <v>0.67569999999999997</v>
      </c>
      <c r="W67" s="42">
        <v>4.32</v>
      </c>
      <c r="X67" s="57">
        <v>1.1000000000000001E-3</v>
      </c>
      <c r="Y67" s="42">
        <v>70.7136</v>
      </c>
      <c r="Z67" s="42">
        <v>43.7164</v>
      </c>
      <c r="AA67" s="42">
        <v>166.9615</v>
      </c>
      <c r="AB67" s="42">
        <v>4.2356999999999996</v>
      </c>
      <c r="AC67" s="42">
        <v>3</v>
      </c>
      <c r="AD67" s="42">
        <v>4</v>
      </c>
      <c r="AE67" s="42">
        <v>323.26799999999997</v>
      </c>
      <c r="AF67" s="42">
        <v>481.84710000000001</v>
      </c>
      <c r="AG67" s="42">
        <v>14.601599999999999</v>
      </c>
      <c r="AH67" s="42">
        <v>252.1046</v>
      </c>
      <c r="AI67" s="42">
        <v>14.4673</v>
      </c>
      <c r="AJ67" s="42">
        <v>238.54990000000001</v>
      </c>
      <c r="AK67" s="42">
        <v>1927376896</v>
      </c>
      <c r="AL67" s="42">
        <v>125419008</v>
      </c>
      <c r="AM67" s="42">
        <v>82450</v>
      </c>
      <c r="AN67" s="42">
        <v>316500</v>
      </c>
      <c r="AO67" s="33" t="s">
        <v>117</v>
      </c>
      <c r="AP67" s="33" t="s">
        <v>117</v>
      </c>
      <c r="AQ67" s="33" t="s">
        <v>117</v>
      </c>
      <c r="AR67" s="33" t="s">
        <v>117</v>
      </c>
      <c r="AS67" s="33" t="s">
        <v>117</v>
      </c>
      <c r="AT67" s="33" t="s">
        <v>117</v>
      </c>
      <c r="AU67" s="33" t="s">
        <v>117</v>
      </c>
      <c r="AV67" s="33" t="s">
        <v>117</v>
      </c>
      <c r="AW67" s="33" t="s">
        <v>117</v>
      </c>
      <c r="AX67" s="33" t="s">
        <v>117</v>
      </c>
      <c r="AY67" s="33" t="s">
        <v>117</v>
      </c>
      <c r="AZ67" s="33" t="s">
        <v>117</v>
      </c>
      <c r="BA67" s="42">
        <v>3</v>
      </c>
      <c r="BB67" s="42">
        <v>1.1000000000000001E-3</v>
      </c>
      <c r="BC67" s="42">
        <v>3</v>
      </c>
      <c r="BD67" s="42">
        <v>1</v>
      </c>
      <c r="BE67" s="42">
        <v>1.1000000000000001E-3</v>
      </c>
      <c r="BF67" s="42">
        <v>1</v>
      </c>
      <c r="BG67" s="42">
        <v>3</v>
      </c>
      <c r="BH67" s="42">
        <v>1927376896</v>
      </c>
      <c r="BI67" s="42">
        <v>82450</v>
      </c>
      <c r="BJ67" s="42">
        <v>5</v>
      </c>
      <c r="BK67" s="42">
        <v>1</v>
      </c>
      <c r="BL67" s="42">
        <v>0</v>
      </c>
      <c r="BM67" s="46" t="s">
        <v>117</v>
      </c>
      <c r="BN67" s="33"/>
      <c r="BO67" s="34"/>
    </row>
    <row r="68" spans="1:67" x14ac:dyDescent="0.25">
      <c r="A68" s="32">
        <v>65</v>
      </c>
      <c r="B68" s="42" t="s">
        <v>206</v>
      </c>
      <c r="C68" s="42">
        <v>0</v>
      </c>
      <c r="D68" s="42">
        <v>82.03</v>
      </c>
      <c r="E68" s="42">
        <v>60.934600000000003</v>
      </c>
      <c r="F68" s="42">
        <v>-2.0743999999999998</v>
      </c>
      <c r="G68" s="42">
        <v>0</v>
      </c>
      <c r="H68" s="42">
        <v>126.087</v>
      </c>
      <c r="I68" s="42">
        <v>2</v>
      </c>
      <c r="J68" s="42">
        <v>1</v>
      </c>
      <c r="K68" s="42">
        <v>5</v>
      </c>
      <c r="L68" s="42">
        <v>1</v>
      </c>
      <c r="M68" s="42">
        <v>371.76339999999999</v>
      </c>
      <c r="N68" s="42">
        <v>1</v>
      </c>
      <c r="O68" s="42">
        <v>9003.7548999999999</v>
      </c>
      <c r="P68" s="42">
        <v>113.7881</v>
      </c>
      <c r="Q68" s="42">
        <v>0.66080000000000005</v>
      </c>
      <c r="R68" s="42">
        <v>15747.393700000001</v>
      </c>
      <c r="S68" s="42">
        <v>74.886099999999999</v>
      </c>
      <c r="T68" s="42">
        <v>187.08969999999999</v>
      </c>
      <c r="U68" s="42">
        <v>7.6299000000000001</v>
      </c>
      <c r="V68" s="42">
        <v>0.43049999999999999</v>
      </c>
      <c r="W68" s="42">
        <v>10.119999999999999</v>
      </c>
      <c r="X68" s="57">
        <v>1</v>
      </c>
      <c r="Y68" s="42">
        <v>106.82510000000001</v>
      </c>
      <c r="Z68" s="42">
        <v>24.2835</v>
      </c>
      <c r="AA68" s="42">
        <v>145.17840000000001</v>
      </c>
      <c r="AB68" s="42">
        <v>10</v>
      </c>
      <c r="AC68" s="42">
        <v>4</v>
      </c>
      <c r="AD68" s="42">
        <v>1</v>
      </c>
      <c r="AE68" s="42">
        <v>258.01159999999999</v>
      </c>
      <c r="AF68" s="42">
        <v>473.3965</v>
      </c>
      <c r="AG68" s="42">
        <v>314.6508</v>
      </c>
      <c r="AH68" s="42">
        <v>43.792400000000001</v>
      </c>
      <c r="AI68" s="42">
        <v>347.70530000000002</v>
      </c>
      <c r="AJ68" s="42">
        <v>227.6583</v>
      </c>
      <c r="AK68" s="42">
        <v>4240077568</v>
      </c>
      <c r="AL68" s="42">
        <v>3383331072</v>
      </c>
      <c r="AM68" s="42">
        <v>83800</v>
      </c>
      <c r="AN68" s="42">
        <v>321650</v>
      </c>
      <c r="AO68" s="33" t="s">
        <v>117</v>
      </c>
      <c r="AP68" s="33" t="s">
        <v>117</v>
      </c>
      <c r="AQ68" s="33" t="s">
        <v>117</v>
      </c>
      <c r="AR68" s="33" t="s">
        <v>117</v>
      </c>
      <c r="AS68" s="33" t="s">
        <v>117</v>
      </c>
      <c r="AT68" s="33" t="s">
        <v>117</v>
      </c>
      <c r="AU68" s="33" t="s">
        <v>117</v>
      </c>
      <c r="AV68" s="33" t="s">
        <v>117</v>
      </c>
      <c r="AW68" s="33" t="s">
        <v>117</v>
      </c>
      <c r="AX68" s="33" t="s">
        <v>117</v>
      </c>
      <c r="AY68" s="33" t="s">
        <v>117</v>
      </c>
      <c r="AZ68" s="33" t="s">
        <v>117</v>
      </c>
      <c r="BA68" s="42">
        <v>3</v>
      </c>
      <c r="BB68" s="42">
        <v>1</v>
      </c>
      <c r="BC68" s="42">
        <v>3</v>
      </c>
      <c r="BD68" s="42">
        <v>258.01159999999999</v>
      </c>
      <c r="BE68" s="42">
        <v>1</v>
      </c>
      <c r="BF68" s="42">
        <v>258.01159999999999</v>
      </c>
      <c r="BG68" s="42">
        <v>3</v>
      </c>
      <c r="BH68" s="42">
        <v>4240077568</v>
      </c>
      <c r="BI68" s="42">
        <v>83800</v>
      </c>
      <c r="BJ68" s="42">
        <v>1</v>
      </c>
      <c r="BK68" s="42">
        <v>1</v>
      </c>
      <c r="BL68" s="42">
        <v>0</v>
      </c>
      <c r="BM68" s="46" t="s">
        <v>117</v>
      </c>
      <c r="BN68" s="33"/>
      <c r="BO68" s="34"/>
    </row>
    <row r="69" spans="1:67" x14ac:dyDescent="0.25">
      <c r="A69" s="32">
        <v>66</v>
      </c>
      <c r="B69" s="42" t="s">
        <v>241</v>
      </c>
      <c r="C69" s="42">
        <v>3</v>
      </c>
      <c r="D69" s="42">
        <v>2136.9063999999998</v>
      </c>
      <c r="E69" s="42">
        <v>-34.633699999999997</v>
      </c>
      <c r="F69" s="42">
        <v>-6.0491999999999999</v>
      </c>
      <c r="G69" s="42">
        <v>0</v>
      </c>
      <c r="H69" s="42">
        <v>193.68459999999999</v>
      </c>
      <c r="I69" s="42">
        <v>2</v>
      </c>
      <c r="J69" s="42">
        <v>1</v>
      </c>
      <c r="K69" s="42">
        <v>4</v>
      </c>
      <c r="L69" s="42">
        <v>1</v>
      </c>
      <c r="M69" s="42">
        <v>356.34120000000001</v>
      </c>
      <c r="N69" s="42">
        <v>1</v>
      </c>
      <c r="O69" s="42">
        <v>884.70259999999996</v>
      </c>
      <c r="P69" s="42">
        <v>32.525799999999997</v>
      </c>
      <c r="Q69" s="42">
        <v>1</v>
      </c>
      <c r="R69" s="42">
        <v>10593.156800000001</v>
      </c>
      <c r="S69" s="42">
        <v>107.2505</v>
      </c>
      <c r="T69" s="42">
        <v>227.09960000000001</v>
      </c>
      <c r="U69" s="42">
        <v>6.9162999999999997</v>
      </c>
      <c r="V69" s="42">
        <v>0.97019999999999995</v>
      </c>
      <c r="W69" s="42">
        <v>18.5</v>
      </c>
      <c r="X69" s="57">
        <v>0.5</v>
      </c>
      <c r="Y69" s="42">
        <v>17.567499999999999</v>
      </c>
      <c r="Z69" s="42">
        <v>127.66719999999999</v>
      </c>
      <c r="AA69" s="42">
        <v>184.59119999999999</v>
      </c>
      <c r="AB69" s="42">
        <v>9.8633000000000006</v>
      </c>
      <c r="AC69" s="42">
        <v>5</v>
      </c>
      <c r="AD69" s="42">
        <v>5</v>
      </c>
      <c r="AE69" s="42">
        <v>399.08670000000001</v>
      </c>
      <c r="AF69" s="42">
        <v>121.4529</v>
      </c>
      <c r="AG69" s="42">
        <v>207.52359999999999</v>
      </c>
      <c r="AH69" s="42">
        <v>133.4348</v>
      </c>
      <c r="AI69" s="42">
        <v>386.08069999999998</v>
      </c>
      <c r="AJ69" s="42">
        <v>28.807500000000001</v>
      </c>
      <c r="AK69" s="42">
        <v>4210780672</v>
      </c>
      <c r="AL69" s="42">
        <v>3557173248</v>
      </c>
      <c r="AM69" s="42">
        <v>85150</v>
      </c>
      <c r="AN69" s="42">
        <v>326800</v>
      </c>
      <c r="AO69" s="33" t="s">
        <v>117</v>
      </c>
      <c r="AP69" s="33" t="s">
        <v>117</v>
      </c>
      <c r="AQ69" s="33" t="s">
        <v>117</v>
      </c>
      <c r="AR69" s="33" t="s">
        <v>117</v>
      </c>
      <c r="AS69" s="33" t="s">
        <v>117</v>
      </c>
      <c r="AT69" s="33" t="s">
        <v>117</v>
      </c>
      <c r="AU69" s="33" t="s">
        <v>117</v>
      </c>
      <c r="AV69" s="33" t="s">
        <v>117</v>
      </c>
      <c r="AW69" s="33" t="s">
        <v>117</v>
      </c>
      <c r="AX69" s="33" t="s">
        <v>117</v>
      </c>
      <c r="AY69" s="33" t="s">
        <v>117</v>
      </c>
      <c r="AZ69" s="33" t="s">
        <v>117</v>
      </c>
      <c r="BA69" s="42">
        <v>3</v>
      </c>
      <c r="BB69" s="42">
        <v>0.5</v>
      </c>
      <c r="BC69" s="42">
        <v>3</v>
      </c>
      <c r="BD69" s="42">
        <v>399.08670000000001</v>
      </c>
      <c r="BE69" s="42">
        <v>0.5</v>
      </c>
      <c r="BF69" s="42">
        <v>399.08670000000001</v>
      </c>
      <c r="BG69" s="42">
        <v>3</v>
      </c>
      <c r="BH69" s="42">
        <v>4210780672</v>
      </c>
      <c r="BI69" s="42">
        <v>85150</v>
      </c>
      <c r="BJ69" s="42">
        <v>1</v>
      </c>
      <c r="BK69" s="42">
        <v>1</v>
      </c>
      <c r="BL69" s="42">
        <v>0</v>
      </c>
      <c r="BM69" s="46" t="s">
        <v>117</v>
      </c>
      <c r="BN69" s="33"/>
      <c r="BO69" s="34"/>
    </row>
    <row r="70" spans="1:67" x14ac:dyDescent="0.25">
      <c r="A70" s="32">
        <v>67</v>
      </c>
      <c r="B70" s="42" t="s">
        <v>207</v>
      </c>
      <c r="C70" s="42">
        <v>3</v>
      </c>
      <c r="D70" s="42">
        <v>473.28629999999998</v>
      </c>
      <c r="E70" s="42">
        <v>95.518500000000003</v>
      </c>
      <c r="F70" s="42">
        <v>10</v>
      </c>
      <c r="G70" s="42">
        <v>0</v>
      </c>
      <c r="H70" s="42">
        <v>166.36199999999999</v>
      </c>
      <c r="I70" s="42">
        <v>3</v>
      </c>
      <c r="J70" s="42">
        <v>5</v>
      </c>
      <c r="K70" s="42">
        <v>4</v>
      </c>
      <c r="L70" s="42">
        <v>1</v>
      </c>
      <c r="M70" s="42">
        <v>92.694199999999995</v>
      </c>
      <c r="N70" s="42">
        <v>1</v>
      </c>
      <c r="O70" s="42">
        <v>10000.161899999999</v>
      </c>
      <c r="P70" s="42">
        <v>38.005600000000001</v>
      </c>
      <c r="Q70" s="42">
        <v>1</v>
      </c>
      <c r="R70" s="42">
        <v>7798.0317999999997</v>
      </c>
      <c r="S70" s="42">
        <v>165.90039999999999</v>
      </c>
      <c r="T70" s="42">
        <v>155.0976</v>
      </c>
      <c r="U70" s="42">
        <v>1.2629999999999999</v>
      </c>
      <c r="V70" s="42">
        <v>1</v>
      </c>
      <c r="W70" s="42">
        <v>76.631699999999995</v>
      </c>
      <c r="X70" s="42">
        <v>0.88200000000000001</v>
      </c>
      <c r="Y70" s="57">
        <v>0</v>
      </c>
      <c r="Z70" s="42">
        <v>21.4481</v>
      </c>
      <c r="AA70" s="42">
        <v>191.22479999999999</v>
      </c>
      <c r="AB70" s="42">
        <v>8.9877000000000002</v>
      </c>
      <c r="AC70" s="42">
        <v>0</v>
      </c>
      <c r="AD70" s="42">
        <v>4</v>
      </c>
      <c r="AE70" s="42">
        <v>233.86269999999999</v>
      </c>
      <c r="AF70" s="42">
        <v>149.0385</v>
      </c>
      <c r="AG70" s="42">
        <v>247.36320000000001</v>
      </c>
      <c r="AH70" s="42">
        <v>312.05860000000001</v>
      </c>
      <c r="AI70" s="42">
        <v>256.00459999999998</v>
      </c>
      <c r="AJ70" s="42">
        <v>161.60550000000001</v>
      </c>
      <c r="AK70" s="42">
        <v>1557431552</v>
      </c>
      <c r="AL70" s="42">
        <v>1915505408</v>
      </c>
      <c r="AM70" s="42">
        <v>86500</v>
      </c>
      <c r="AN70" s="42">
        <v>331950</v>
      </c>
      <c r="AO70" s="33" t="s">
        <v>117</v>
      </c>
      <c r="AP70" s="33" t="s">
        <v>117</v>
      </c>
      <c r="AQ70" s="33" t="s">
        <v>117</v>
      </c>
      <c r="AR70" s="33" t="s">
        <v>117</v>
      </c>
      <c r="AS70" s="33" t="s">
        <v>117</v>
      </c>
      <c r="AT70" s="33" t="s">
        <v>117</v>
      </c>
      <c r="AU70" s="33" t="s">
        <v>117</v>
      </c>
      <c r="AV70" s="33" t="s">
        <v>117</v>
      </c>
      <c r="AW70" s="33" t="s">
        <v>117</v>
      </c>
      <c r="AX70" s="33" t="s">
        <v>117</v>
      </c>
      <c r="AY70" s="33" t="s">
        <v>117</v>
      </c>
      <c r="AZ70" s="33" t="s">
        <v>117</v>
      </c>
      <c r="BA70" s="42">
        <v>0</v>
      </c>
      <c r="BB70" s="42">
        <v>1</v>
      </c>
      <c r="BC70" s="42">
        <v>0</v>
      </c>
      <c r="BD70" s="42">
        <v>1</v>
      </c>
      <c r="BE70" s="42">
        <v>1</v>
      </c>
      <c r="BF70" s="42">
        <v>1</v>
      </c>
      <c r="BG70" s="42">
        <v>0</v>
      </c>
      <c r="BH70" s="42">
        <v>1557431552</v>
      </c>
      <c r="BI70" s="42">
        <v>1915505408</v>
      </c>
      <c r="BJ70" s="42">
        <v>5</v>
      </c>
      <c r="BK70" s="42">
        <v>0</v>
      </c>
      <c r="BL70" s="42">
        <v>1</v>
      </c>
      <c r="BM70" s="46" t="s">
        <v>117</v>
      </c>
      <c r="BN70" s="33"/>
      <c r="BO70" s="34"/>
    </row>
    <row r="71" spans="1:67" x14ac:dyDescent="0.25">
      <c r="A71" s="32">
        <v>68</v>
      </c>
      <c r="B71" s="42" t="s">
        <v>208</v>
      </c>
      <c r="C71" s="42">
        <v>2</v>
      </c>
      <c r="D71" s="42">
        <v>5659.1554999999998</v>
      </c>
      <c r="E71" s="42">
        <v>61.657699999999998</v>
      </c>
      <c r="F71" s="42">
        <v>8.3145000000000007</v>
      </c>
      <c r="G71" s="42">
        <v>0</v>
      </c>
      <c r="H71" s="42">
        <v>111.357</v>
      </c>
      <c r="I71" s="42">
        <v>3</v>
      </c>
      <c r="J71" s="42">
        <v>1</v>
      </c>
      <c r="K71" s="42">
        <v>5</v>
      </c>
      <c r="L71" s="42">
        <v>0.25440000000000002</v>
      </c>
      <c r="M71" s="42">
        <v>28.919499999999999</v>
      </c>
      <c r="N71" s="42">
        <v>1</v>
      </c>
      <c r="O71" s="42">
        <v>2777.7053000000001</v>
      </c>
      <c r="P71" s="42">
        <v>120.9252</v>
      </c>
      <c r="Q71" s="42">
        <v>0.6704</v>
      </c>
      <c r="R71" s="42">
        <v>4393.8671000000004</v>
      </c>
      <c r="S71" s="42">
        <v>12.658799999999999</v>
      </c>
      <c r="T71" s="42">
        <v>211.333</v>
      </c>
      <c r="U71" s="42">
        <v>2.4178000000000002</v>
      </c>
      <c r="V71" s="42">
        <v>0.26939999999999997</v>
      </c>
      <c r="W71" s="42">
        <v>40.108899999999998</v>
      </c>
      <c r="X71" s="42">
        <v>1</v>
      </c>
      <c r="Y71" s="57">
        <v>200</v>
      </c>
      <c r="Z71" s="42">
        <v>117.7469</v>
      </c>
      <c r="AA71" s="42">
        <v>157.52070000000001</v>
      </c>
      <c r="AB71" s="42">
        <v>7.9211</v>
      </c>
      <c r="AC71" s="42">
        <v>3</v>
      </c>
      <c r="AD71" s="42">
        <v>2</v>
      </c>
      <c r="AE71" s="42">
        <v>174.67429999999999</v>
      </c>
      <c r="AF71" s="42">
        <v>114.3112</v>
      </c>
      <c r="AG71" s="42">
        <v>189.81469999999999</v>
      </c>
      <c r="AH71" s="42">
        <v>405.82810000000001</v>
      </c>
      <c r="AI71" s="42">
        <v>409.32670000000002</v>
      </c>
      <c r="AJ71" s="42">
        <v>121.36839999999999</v>
      </c>
      <c r="AK71" s="42">
        <v>2440377344</v>
      </c>
      <c r="AL71" s="42">
        <v>1342562816</v>
      </c>
      <c r="AM71" s="42">
        <v>87850</v>
      </c>
      <c r="AN71" s="42">
        <v>337100</v>
      </c>
      <c r="AO71" s="33" t="s">
        <v>117</v>
      </c>
      <c r="AP71" s="33" t="s">
        <v>117</v>
      </c>
      <c r="AQ71" s="33" t="s">
        <v>117</v>
      </c>
      <c r="AR71" s="33" t="s">
        <v>117</v>
      </c>
      <c r="AS71" s="33" t="s">
        <v>117</v>
      </c>
      <c r="AT71" s="33" t="s">
        <v>117</v>
      </c>
      <c r="AU71" s="33" t="s">
        <v>117</v>
      </c>
      <c r="AV71" s="33" t="s">
        <v>117</v>
      </c>
      <c r="AW71" s="33" t="s">
        <v>117</v>
      </c>
      <c r="AX71" s="33" t="s">
        <v>117</v>
      </c>
      <c r="AY71" s="33" t="s">
        <v>117</v>
      </c>
      <c r="AZ71" s="33" t="s">
        <v>117</v>
      </c>
      <c r="BA71" s="42">
        <v>0</v>
      </c>
      <c r="BB71" s="42">
        <v>1</v>
      </c>
      <c r="BC71" s="42">
        <v>0</v>
      </c>
      <c r="BD71" s="42">
        <v>28.919499999999999</v>
      </c>
      <c r="BE71" s="42">
        <v>1</v>
      </c>
      <c r="BF71" s="42">
        <v>28.919499999999999</v>
      </c>
      <c r="BG71" s="42">
        <v>0</v>
      </c>
      <c r="BH71" s="42">
        <v>2440377344</v>
      </c>
      <c r="BI71" s="42">
        <v>1342562816</v>
      </c>
      <c r="BJ71" s="42">
        <v>1</v>
      </c>
      <c r="BK71" s="42">
        <v>0</v>
      </c>
      <c r="BL71" s="42">
        <v>1</v>
      </c>
      <c r="BM71" s="46" t="s">
        <v>117</v>
      </c>
      <c r="BN71" s="33"/>
      <c r="BO71" s="34"/>
    </row>
    <row r="72" spans="1:67" x14ac:dyDescent="0.25">
      <c r="A72" s="32">
        <v>69</v>
      </c>
      <c r="B72" s="42" t="s">
        <v>242</v>
      </c>
      <c r="C72" s="42">
        <v>1</v>
      </c>
      <c r="D72" s="42">
        <v>8973.4117000000006</v>
      </c>
      <c r="E72" s="42">
        <v>35.64</v>
      </c>
      <c r="F72" s="42">
        <v>2.2115999999999998</v>
      </c>
      <c r="G72" s="42">
        <v>0</v>
      </c>
      <c r="H72" s="42">
        <v>121.9782</v>
      </c>
      <c r="I72" s="42">
        <v>3</v>
      </c>
      <c r="J72" s="42">
        <v>2</v>
      </c>
      <c r="K72" s="42">
        <v>0</v>
      </c>
      <c r="L72" s="42">
        <v>0.3009</v>
      </c>
      <c r="M72" s="42">
        <v>123.3595</v>
      </c>
      <c r="N72" s="42">
        <v>1</v>
      </c>
      <c r="O72" s="42">
        <v>8107.3271999999997</v>
      </c>
      <c r="P72" s="42">
        <v>13.7768</v>
      </c>
      <c r="Q72" s="42">
        <v>0.51949999999999996</v>
      </c>
      <c r="R72" s="42">
        <v>3892.8706000000002</v>
      </c>
      <c r="S72" s="42">
        <v>140.44649999999999</v>
      </c>
      <c r="T72" s="42">
        <v>67.000799999999998</v>
      </c>
      <c r="U72" s="42">
        <v>9.9312000000000005</v>
      </c>
      <c r="V72" s="42">
        <v>1</v>
      </c>
      <c r="W72" s="42">
        <v>75.664100000000005</v>
      </c>
      <c r="X72" s="42">
        <v>0.33489999999999998</v>
      </c>
      <c r="Y72" s="57">
        <v>12</v>
      </c>
      <c r="Z72" s="42">
        <v>131.614</v>
      </c>
      <c r="AA72" s="42">
        <v>221.60499999999999</v>
      </c>
      <c r="AB72" s="42">
        <v>2.2633999999999999</v>
      </c>
      <c r="AC72" s="42">
        <v>5</v>
      </c>
      <c r="AD72" s="42">
        <v>4</v>
      </c>
      <c r="AE72" s="42">
        <v>357.58969999999999</v>
      </c>
      <c r="AF72" s="42">
        <v>168.3236</v>
      </c>
      <c r="AG72" s="42">
        <v>20.017499999999998</v>
      </c>
      <c r="AH72" s="42">
        <v>333.11599999999999</v>
      </c>
      <c r="AI72" s="42">
        <v>2.6484000000000001</v>
      </c>
      <c r="AJ72" s="42">
        <v>263.32740000000001</v>
      </c>
      <c r="AK72" s="42">
        <v>2500798208</v>
      </c>
      <c r="AL72" s="42">
        <v>3180666112</v>
      </c>
      <c r="AM72" s="42">
        <v>89200</v>
      </c>
      <c r="AN72" s="42">
        <v>342250</v>
      </c>
      <c r="AO72" s="33" t="s">
        <v>117</v>
      </c>
      <c r="AP72" s="33" t="s">
        <v>117</v>
      </c>
      <c r="AQ72" s="33" t="s">
        <v>117</v>
      </c>
      <c r="AR72" s="33" t="s">
        <v>117</v>
      </c>
      <c r="AS72" s="33" t="s">
        <v>117</v>
      </c>
      <c r="AT72" s="33" t="s">
        <v>117</v>
      </c>
      <c r="AU72" s="33" t="s">
        <v>117</v>
      </c>
      <c r="AV72" s="33" t="s">
        <v>117</v>
      </c>
      <c r="AW72" s="33" t="s">
        <v>117</v>
      </c>
      <c r="AX72" s="33" t="s">
        <v>117</v>
      </c>
      <c r="AY72" s="33" t="s">
        <v>117</v>
      </c>
      <c r="AZ72" s="33" t="s">
        <v>117</v>
      </c>
      <c r="BA72" s="42">
        <v>0</v>
      </c>
      <c r="BB72" s="42">
        <v>1</v>
      </c>
      <c r="BC72" s="42">
        <v>0</v>
      </c>
      <c r="BD72" s="42">
        <v>168.3236</v>
      </c>
      <c r="BE72" s="42">
        <v>1</v>
      </c>
      <c r="BF72" s="42">
        <v>168.3236</v>
      </c>
      <c r="BG72" s="42">
        <v>0</v>
      </c>
      <c r="BH72" s="42">
        <v>2500798208</v>
      </c>
      <c r="BI72" s="42">
        <v>3180666112</v>
      </c>
      <c r="BJ72" s="42">
        <v>2</v>
      </c>
      <c r="BK72" s="42">
        <v>0</v>
      </c>
      <c r="BL72" s="42">
        <v>1</v>
      </c>
      <c r="BM72" s="46" t="s">
        <v>117</v>
      </c>
      <c r="BN72" s="33"/>
      <c r="BO72" s="34"/>
    </row>
    <row r="73" spans="1:67" x14ac:dyDescent="0.25">
      <c r="A73" s="32">
        <v>70</v>
      </c>
      <c r="B73" s="42" t="s">
        <v>209</v>
      </c>
      <c r="C73" s="42">
        <v>2</v>
      </c>
      <c r="D73" s="42">
        <v>0</v>
      </c>
      <c r="E73" s="42">
        <v>81.930999999999997</v>
      </c>
      <c r="F73" s="42">
        <v>5.3175999999999997</v>
      </c>
      <c r="G73" s="42">
        <v>0</v>
      </c>
      <c r="H73" s="42">
        <v>0</v>
      </c>
      <c r="I73" s="42">
        <v>3</v>
      </c>
      <c r="J73" s="42">
        <v>2</v>
      </c>
      <c r="K73" s="42">
        <v>4</v>
      </c>
      <c r="L73" s="42">
        <v>0.53990000000000005</v>
      </c>
      <c r="M73" s="42">
        <v>99.386099999999999</v>
      </c>
      <c r="N73" s="42">
        <v>1</v>
      </c>
      <c r="O73" s="42">
        <v>7338.1581999999999</v>
      </c>
      <c r="P73" s="42">
        <v>199.32859999999999</v>
      </c>
      <c r="Q73" s="42">
        <v>0.24660000000000001</v>
      </c>
      <c r="R73" s="42">
        <v>11935.159600000001</v>
      </c>
      <c r="S73" s="42">
        <v>137.3322</v>
      </c>
      <c r="T73" s="42">
        <v>34.688400000000001</v>
      </c>
      <c r="U73" s="42">
        <v>8.77</v>
      </c>
      <c r="V73" s="42">
        <v>0.80269999999999997</v>
      </c>
      <c r="W73" s="42">
        <v>178.47579999999999</v>
      </c>
      <c r="X73" s="42">
        <v>1</v>
      </c>
      <c r="Y73" s="42">
        <v>186.93860000000001</v>
      </c>
      <c r="Z73" s="57">
        <v>0</v>
      </c>
      <c r="AA73" s="42">
        <v>124.7486</v>
      </c>
      <c r="AB73" s="42">
        <v>6.6219000000000001</v>
      </c>
      <c r="AC73" s="42">
        <v>0</v>
      </c>
      <c r="AD73" s="42">
        <v>2</v>
      </c>
      <c r="AE73" s="42">
        <v>262.38659999999999</v>
      </c>
      <c r="AF73" s="42">
        <v>375.93860000000001</v>
      </c>
      <c r="AG73" s="42">
        <v>22.731000000000002</v>
      </c>
      <c r="AH73" s="42">
        <v>144.60730000000001</v>
      </c>
      <c r="AI73" s="42">
        <v>29.7134</v>
      </c>
      <c r="AJ73" s="42">
        <v>493.75049999999999</v>
      </c>
      <c r="AK73" s="42">
        <v>2513260032</v>
      </c>
      <c r="AL73" s="42">
        <v>3482545152</v>
      </c>
      <c r="AM73" s="42">
        <v>90550</v>
      </c>
      <c r="AN73" s="42">
        <v>347400</v>
      </c>
      <c r="AO73" s="33" t="s">
        <v>117</v>
      </c>
      <c r="AP73" s="33" t="s">
        <v>117</v>
      </c>
      <c r="AQ73" s="33" t="s">
        <v>117</v>
      </c>
      <c r="AR73" s="33" t="s">
        <v>117</v>
      </c>
      <c r="AS73" s="33" t="s">
        <v>117</v>
      </c>
      <c r="AT73" s="33" t="s">
        <v>117</v>
      </c>
      <c r="AU73" s="33" t="s">
        <v>117</v>
      </c>
      <c r="AV73" s="33" t="s">
        <v>117</v>
      </c>
      <c r="AW73" s="33" t="s">
        <v>117</v>
      </c>
      <c r="AX73" s="33" t="s">
        <v>117</v>
      </c>
      <c r="AY73" s="33" t="s">
        <v>117</v>
      </c>
      <c r="AZ73" s="33" t="s">
        <v>117</v>
      </c>
      <c r="BA73" s="42">
        <v>3</v>
      </c>
      <c r="BB73" s="42">
        <v>1</v>
      </c>
      <c r="BC73" s="42">
        <v>3</v>
      </c>
      <c r="BD73" s="42">
        <v>99.386099999999999</v>
      </c>
      <c r="BE73" s="42">
        <v>1</v>
      </c>
      <c r="BF73" s="42">
        <v>99.386099999999999</v>
      </c>
      <c r="BG73" s="42">
        <v>3</v>
      </c>
      <c r="BH73" s="42">
        <v>2513260032</v>
      </c>
      <c r="BI73" s="42">
        <v>3482545152</v>
      </c>
      <c r="BJ73" s="42">
        <v>2</v>
      </c>
      <c r="BK73" s="42">
        <v>0</v>
      </c>
      <c r="BL73" s="42">
        <v>1</v>
      </c>
      <c r="BM73" s="46" t="s">
        <v>117</v>
      </c>
      <c r="BN73" s="33"/>
      <c r="BO73" s="34"/>
    </row>
    <row r="74" spans="1:67" x14ac:dyDescent="0.25">
      <c r="A74" s="32">
        <v>71</v>
      </c>
      <c r="B74" s="42" t="s">
        <v>210</v>
      </c>
      <c r="C74" s="42">
        <v>0</v>
      </c>
      <c r="D74" s="42">
        <v>0</v>
      </c>
      <c r="E74" s="42">
        <v>76.031700000000001</v>
      </c>
      <c r="F74" s="42">
        <v>-6.9550000000000001</v>
      </c>
      <c r="G74" s="42">
        <v>0</v>
      </c>
      <c r="H74" s="42">
        <v>0</v>
      </c>
      <c r="I74" s="42">
        <v>3</v>
      </c>
      <c r="J74" s="42">
        <v>1</v>
      </c>
      <c r="K74" s="42">
        <v>1</v>
      </c>
      <c r="L74" s="42">
        <v>6.3E-2</v>
      </c>
      <c r="M74" s="42">
        <v>488.9853</v>
      </c>
      <c r="N74" s="42">
        <v>1</v>
      </c>
      <c r="O74" s="42">
        <v>16212.9658</v>
      </c>
      <c r="P74" s="42">
        <v>188.54079999999999</v>
      </c>
      <c r="Q74" s="42">
        <v>1</v>
      </c>
      <c r="R74" s="42">
        <v>12224.410099999999</v>
      </c>
      <c r="S74" s="42">
        <v>48.616399999999999</v>
      </c>
      <c r="T74" s="42">
        <v>194.11510000000001</v>
      </c>
      <c r="U74" s="42">
        <v>5.1791999999999998</v>
      </c>
      <c r="V74" s="42">
        <v>0.33260000000000001</v>
      </c>
      <c r="W74" s="42">
        <v>83.296599999999998</v>
      </c>
      <c r="X74" s="42">
        <v>0.66080000000000005</v>
      </c>
      <c r="Y74" s="42">
        <v>67.4773</v>
      </c>
      <c r="Z74" s="57">
        <v>200</v>
      </c>
      <c r="AA74" s="42">
        <v>176.19059999999999</v>
      </c>
      <c r="AB74" s="42">
        <v>5.9527999999999999</v>
      </c>
      <c r="AC74" s="42">
        <v>1</v>
      </c>
      <c r="AD74" s="42">
        <v>0</v>
      </c>
      <c r="AE74" s="42">
        <v>283.08499999999998</v>
      </c>
      <c r="AF74" s="42">
        <v>491.20569999999998</v>
      </c>
      <c r="AG74" s="42">
        <v>125.8438</v>
      </c>
      <c r="AH74" s="42">
        <v>270.83699999999999</v>
      </c>
      <c r="AI74" s="42">
        <v>115.0468</v>
      </c>
      <c r="AJ74" s="42">
        <v>181.5498</v>
      </c>
      <c r="AK74" s="42">
        <v>2700007680</v>
      </c>
      <c r="AL74" s="42">
        <v>966033152</v>
      </c>
      <c r="AM74" s="42">
        <v>91900</v>
      </c>
      <c r="AN74" s="42">
        <v>352550</v>
      </c>
      <c r="AO74" s="33" t="s">
        <v>117</v>
      </c>
      <c r="AP74" s="33" t="s">
        <v>117</v>
      </c>
      <c r="AQ74" s="33" t="s">
        <v>117</v>
      </c>
      <c r="AR74" s="33" t="s">
        <v>117</v>
      </c>
      <c r="AS74" s="33" t="s">
        <v>117</v>
      </c>
      <c r="AT74" s="33" t="s">
        <v>117</v>
      </c>
      <c r="AU74" s="33" t="s">
        <v>117</v>
      </c>
      <c r="AV74" s="33" t="s">
        <v>117</v>
      </c>
      <c r="AW74" s="33" t="s">
        <v>117</v>
      </c>
      <c r="AX74" s="33" t="s">
        <v>117</v>
      </c>
      <c r="AY74" s="33" t="s">
        <v>117</v>
      </c>
      <c r="AZ74" s="33" t="s">
        <v>117</v>
      </c>
      <c r="BA74" s="42">
        <v>3</v>
      </c>
      <c r="BB74" s="42">
        <v>6.3E-2</v>
      </c>
      <c r="BC74" s="42">
        <v>3</v>
      </c>
      <c r="BD74" s="42">
        <v>283.08499999999998</v>
      </c>
      <c r="BE74" s="42">
        <v>6.3E-2</v>
      </c>
      <c r="BF74" s="42">
        <v>283.08499999999998</v>
      </c>
      <c r="BG74" s="42">
        <v>3</v>
      </c>
      <c r="BH74" s="42">
        <v>2700007680</v>
      </c>
      <c r="BI74" s="42">
        <v>966033152</v>
      </c>
      <c r="BJ74" s="42">
        <v>1</v>
      </c>
      <c r="BK74" s="42">
        <v>0</v>
      </c>
      <c r="BL74" s="42">
        <v>1</v>
      </c>
      <c r="BM74" s="46" t="s">
        <v>117</v>
      </c>
      <c r="BN74" s="33"/>
      <c r="BO74" s="34"/>
    </row>
    <row r="75" spans="1:67" x14ac:dyDescent="0.25">
      <c r="A75" s="32">
        <v>72</v>
      </c>
      <c r="B75" s="42" t="s">
        <v>243</v>
      </c>
      <c r="C75" s="42">
        <v>0</v>
      </c>
      <c r="D75" s="42">
        <v>0</v>
      </c>
      <c r="E75" s="42">
        <v>-16.253699999999998</v>
      </c>
      <c r="F75" s="42">
        <v>-4.5864000000000003</v>
      </c>
      <c r="G75" s="42">
        <v>0</v>
      </c>
      <c r="H75" s="42">
        <v>0</v>
      </c>
      <c r="I75" s="42">
        <v>3</v>
      </c>
      <c r="J75" s="42">
        <v>5</v>
      </c>
      <c r="K75" s="42">
        <v>1</v>
      </c>
      <c r="L75" s="42">
        <v>0.6482</v>
      </c>
      <c r="M75" s="42">
        <v>88.994600000000005</v>
      </c>
      <c r="N75" s="42">
        <v>1</v>
      </c>
      <c r="O75" s="42">
        <v>9824.4691999999995</v>
      </c>
      <c r="P75" s="42">
        <v>178.7389</v>
      </c>
      <c r="Q75" s="42">
        <v>0.71550000000000002</v>
      </c>
      <c r="R75" s="42">
        <v>2623.2586999999999</v>
      </c>
      <c r="S75" s="42">
        <v>93.877300000000005</v>
      </c>
      <c r="T75" s="42">
        <v>14.678699999999999</v>
      </c>
      <c r="U75" s="42">
        <v>8.9871999999999996</v>
      </c>
      <c r="V75" s="42">
        <v>0.16520000000000001</v>
      </c>
      <c r="W75" s="42">
        <v>18.004200000000001</v>
      </c>
      <c r="X75" s="42">
        <v>1</v>
      </c>
      <c r="Y75" s="42">
        <v>187.50489999999999</v>
      </c>
      <c r="Z75" s="57">
        <v>5</v>
      </c>
      <c r="AA75" s="42">
        <v>96.058599999999998</v>
      </c>
      <c r="AB75" s="42">
        <v>3.0529999999999999</v>
      </c>
      <c r="AC75" s="42">
        <v>3</v>
      </c>
      <c r="AD75" s="42">
        <v>1</v>
      </c>
      <c r="AE75" s="42">
        <v>233.066</v>
      </c>
      <c r="AF75" s="42">
        <v>404.262</v>
      </c>
      <c r="AG75" s="42">
        <v>202.78909999999999</v>
      </c>
      <c r="AH75" s="42">
        <v>176.93090000000001</v>
      </c>
      <c r="AI75" s="42">
        <v>79.504800000000003</v>
      </c>
      <c r="AJ75" s="42">
        <v>450.53989999999999</v>
      </c>
      <c r="AK75" s="42">
        <v>3346413568</v>
      </c>
      <c r="AL75" s="42">
        <v>194856448</v>
      </c>
      <c r="AM75" s="42">
        <v>93250</v>
      </c>
      <c r="AN75" s="42">
        <v>357700</v>
      </c>
      <c r="AO75" s="33" t="s">
        <v>117</v>
      </c>
      <c r="AP75" s="33" t="s">
        <v>117</v>
      </c>
      <c r="AQ75" s="33" t="s">
        <v>117</v>
      </c>
      <c r="AR75" s="33" t="s">
        <v>117</v>
      </c>
      <c r="AS75" s="33" t="s">
        <v>117</v>
      </c>
      <c r="AT75" s="33" t="s">
        <v>117</v>
      </c>
      <c r="AU75" s="33" t="s">
        <v>117</v>
      </c>
      <c r="AV75" s="33" t="s">
        <v>117</v>
      </c>
      <c r="AW75" s="33" t="s">
        <v>117</v>
      </c>
      <c r="AX75" s="33" t="s">
        <v>117</v>
      </c>
      <c r="AY75" s="33" t="s">
        <v>117</v>
      </c>
      <c r="AZ75" s="33" t="s">
        <v>117</v>
      </c>
      <c r="BA75" s="42">
        <v>3</v>
      </c>
      <c r="BB75" s="42">
        <v>0.6482</v>
      </c>
      <c r="BC75" s="42">
        <v>3</v>
      </c>
      <c r="BD75" s="42">
        <v>1</v>
      </c>
      <c r="BE75" s="42">
        <v>0.6482</v>
      </c>
      <c r="BF75" s="42">
        <v>1</v>
      </c>
      <c r="BG75" s="42">
        <v>3</v>
      </c>
      <c r="BH75" s="42">
        <v>3346413568</v>
      </c>
      <c r="BI75" s="42">
        <v>194856448</v>
      </c>
      <c r="BJ75" s="42">
        <v>5</v>
      </c>
      <c r="BK75" s="42">
        <v>0</v>
      </c>
      <c r="BL75" s="42">
        <v>1</v>
      </c>
      <c r="BM75" s="46" t="s">
        <v>117</v>
      </c>
      <c r="BN75" s="33"/>
      <c r="BO75" s="34"/>
    </row>
    <row r="76" spans="1:67" x14ac:dyDescent="0.25">
      <c r="A76" s="32">
        <v>73</v>
      </c>
      <c r="B76" s="42" t="s">
        <v>211</v>
      </c>
      <c r="C76" s="42">
        <v>0</v>
      </c>
      <c r="D76" s="42">
        <v>0</v>
      </c>
      <c r="E76" s="42">
        <v>-75.260400000000004</v>
      </c>
      <c r="F76" s="42">
        <v>-9.4068000000000005</v>
      </c>
      <c r="G76" s="42">
        <v>0</v>
      </c>
      <c r="H76" s="42">
        <v>0</v>
      </c>
      <c r="I76" s="42">
        <v>3</v>
      </c>
      <c r="J76" s="42">
        <v>3</v>
      </c>
      <c r="K76" s="42">
        <v>0</v>
      </c>
      <c r="L76" s="42">
        <v>1</v>
      </c>
      <c r="M76" s="42">
        <v>328.71469999999999</v>
      </c>
      <c r="N76" s="42">
        <v>1</v>
      </c>
      <c r="O76" s="42">
        <v>12316.195599999999</v>
      </c>
      <c r="P76" s="42">
        <v>171.32810000000001</v>
      </c>
      <c r="Q76" s="42">
        <v>1</v>
      </c>
      <c r="R76" s="42">
        <v>11544.802900000001</v>
      </c>
      <c r="S76" s="42">
        <v>155.9417</v>
      </c>
      <c r="T76" s="42">
        <v>205.51910000000001</v>
      </c>
      <c r="U76" s="42">
        <v>4.0187999999999997</v>
      </c>
      <c r="V76" s="42">
        <v>1</v>
      </c>
      <c r="W76" s="42">
        <v>198.55850000000001</v>
      </c>
      <c r="X76" s="42">
        <v>1</v>
      </c>
      <c r="Y76" s="42">
        <v>77.678200000000004</v>
      </c>
      <c r="Z76" s="42">
        <v>83.649900000000002</v>
      </c>
      <c r="AA76" s="57">
        <v>0</v>
      </c>
      <c r="AB76" s="42">
        <v>6.5364000000000004</v>
      </c>
      <c r="AC76" s="42">
        <v>3</v>
      </c>
      <c r="AD76" s="42">
        <v>0</v>
      </c>
      <c r="AE76" s="42">
        <v>190.36340000000001</v>
      </c>
      <c r="AF76" s="42">
        <v>483.33949999999999</v>
      </c>
      <c r="AG76" s="42">
        <v>159.27109999999999</v>
      </c>
      <c r="AH76" s="42">
        <v>199.11920000000001</v>
      </c>
      <c r="AI76" s="42">
        <v>370.02449999999999</v>
      </c>
      <c r="AJ76" s="42">
        <v>237.6242</v>
      </c>
      <c r="AK76" s="42">
        <v>740039424</v>
      </c>
      <c r="AL76" s="42">
        <v>2506027264</v>
      </c>
      <c r="AM76" s="42">
        <v>94600</v>
      </c>
      <c r="AN76" s="42">
        <v>362850</v>
      </c>
      <c r="AO76" s="33" t="s">
        <v>117</v>
      </c>
      <c r="AP76" s="33" t="s">
        <v>117</v>
      </c>
      <c r="AQ76" s="33" t="s">
        <v>117</v>
      </c>
      <c r="AR76" s="33" t="s">
        <v>117</v>
      </c>
      <c r="AS76" s="33" t="s">
        <v>117</v>
      </c>
      <c r="AT76" s="33" t="s">
        <v>117</v>
      </c>
      <c r="AU76" s="33" t="s">
        <v>117</v>
      </c>
      <c r="AV76" s="33" t="s">
        <v>117</v>
      </c>
      <c r="AW76" s="33" t="s">
        <v>117</v>
      </c>
      <c r="AX76" s="33" t="s">
        <v>117</v>
      </c>
      <c r="AY76" s="33" t="s">
        <v>117</v>
      </c>
      <c r="AZ76" s="33" t="s">
        <v>117</v>
      </c>
      <c r="BA76" s="42">
        <v>3</v>
      </c>
      <c r="BB76" s="42">
        <v>1</v>
      </c>
      <c r="BC76" s="42">
        <v>3</v>
      </c>
      <c r="BD76" s="42">
        <v>190.36340000000001</v>
      </c>
      <c r="BE76" s="42">
        <v>1</v>
      </c>
      <c r="BF76" s="42">
        <v>190.36340000000001</v>
      </c>
      <c r="BG76" s="42">
        <v>3</v>
      </c>
      <c r="BH76" s="42">
        <v>740039424</v>
      </c>
      <c r="BI76" s="42">
        <v>2506027264</v>
      </c>
      <c r="BJ76" s="42">
        <v>0</v>
      </c>
      <c r="BK76" s="42">
        <v>0</v>
      </c>
      <c r="BL76" s="42">
        <v>1</v>
      </c>
      <c r="BM76" s="46" t="s">
        <v>117</v>
      </c>
      <c r="BN76" s="33"/>
      <c r="BO76" s="34"/>
    </row>
    <row r="77" spans="1:67" x14ac:dyDescent="0.25">
      <c r="A77" s="32">
        <v>74</v>
      </c>
      <c r="B77" s="42" t="s">
        <v>212</v>
      </c>
      <c r="C77" s="42">
        <v>0</v>
      </c>
      <c r="D77" s="42">
        <v>0</v>
      </c>
      <c r="E77" s="42">
        <v>91.785700000000006</v>
      </c>
      <c r="F77" s="42">
        <v>7.3859000000000004</v>
      </c>
      <c r="G77" s="42">
        <v>0</v>
      </c>
      <c r="H77" s="42">
        <v>0</v>
      </c>
      <c r="I77" s="42">
        <v>3</v>
      </c>
      <c r="J77" s="42">
        <v>3</v>
      </c>
      <c r="K77" s="42">
        <v>5</v>
      </c>
      <c r="L77" s="42">
        <v>0.47920000000000001</v>
      </c>
      <c r="M77" s="42">
        <v>455.404</v>
      </c>
      <c r="N77" s="42">
        <v>1</v>
      </c>
      <c r="O77" s="42">
        <v>4684.0092999999997</v>
      </c>
      <c r="P77" s="42">
        <v>190.94720000000001</v>
      </c>
      <c r="Q77" s="42">
        <v>0.50819999999999999</v>
      </c>
      <c r="R77" s="42">
        <v>2439.9789000000001</v>
      </c>
      <c r="S77" s="42">
        <v>167.6447</v>
      </c>
      <c r="T77" s="42">
        <v>32.217199999999998</v>
      </c>
      <c r="U77" s="42">
        <v>9.8702000000000005</v>
      </c>
      <c r="V77" s="42">
        <v>0.49469999999999997</v>
      </c>
      <c r="W77" s="42">
        <v>92.301500000000004</v>
      </c>
      <c r="X77" s="42">
        <v>1</v>
      </c>
      <c r="Y77" s="42">
        <v>45.827100000000002</v>
      </c>
      <c r="Z77" s="42">
        <v>15.226699999999999</v>
      </c>
      <c r="AA77" s="57">
        <v>250</v>
      </c>
      <c r="AB77" s="42">
        <v>5.5467000000000004</v>
      </c>
      <c r="AC77" s="42">
        <v>4</v>
      </c>
      <c r="AD77" s="42">
        <v>3</v>
      </c>
      <c r="AE77" s="42">
        <v>364.54379999999998</v>
      </c>
      <c r="AF77" s="42">
        <v>8.7112999999999996</v>
      </c>
      <c r="AG77" s="42">
        <v>197.46539999999999</v>
      </c>
      <c r="AH77" s="42">
        <v>128.4881</v>
      </c>
      <c r="AI77" s="42">
        <v>418.17829999999998</v>
      </c>
      <c r="AJ77" s="42">
        <v>315.15170000000001</v>
      </c>
      <c r="AK77" s="42">
        <v>1702261248</v>
      </c>
      <c r="AL77" s="42">
        <v>1753608192</v>
      </c>
      <c r="AM77" s="42">
        <v>95950</v>
      </c>
      <c r="AN77" s="42">
        <v>368000</v>
      </c>
      <c r="AO77" s="33" t="s">
        <v>117</v>
      </c>
      <c r="AP77" s="33" t="s">
        <v>117</v>
      </c>
      <c r="AQ77" s="33" t="s">
        <v>117</v>
      </c>
      <c r="AR77" s="33" t="s">
        <v>117</v>
      </c>
      <c r="AS77" s="33" t="s">
        <v>117</v>
      </c>
      <c r="AT77" s="33" t="s">
        <v>117</v>
      </c>
      <c r="AU77" s="33" t="s">
        <v>117</v>
      </c>
      <c r="AV77" s="33" t="s">
        <v>117</v>
      </c>
      <c r="AW77" s="33" t="s">
        <v>117</v>
      </c>
      <c r="AX77" s="33" t="s">
        <v>117</v>
      </c>
      <c r="AY77" s="33" t="s">
        <v>117</v>
      </c>
      <c r="AZ77" s="33" t="s">
        <v>117</v>
      </c>
      <c r="BA77" s="42">
        <v>3</v>
      </c>
      <c r="BB77" s="42">
        <v>0.47920000000000001</v>
      </c>
      <c r="BC77" s="42">
        <v>3</v>
      </c>
      <c r="BD77" s="42">
        <v>1</v>
      </c>
      <c r="BE77" s="42">
        <v>0.47920000000000001</v>
      </c>
      <c r="BF77" s="42">
        <v>1</v>
      </c>
      <c r="BG77" s="42">
        <v>3</v>
      </c>
      <c r="BH77" s="42">
        <v>1702261248</v>
      </c>
      <c r="BI77" s="42">
        <v>1753608192</v>
      </c>
      <c r="BJ77" s="42">
        <v>5</v>
      </c>
      <c r="BK77" s="42">
        <v>0</v>
      </c>
      <c r="BL77" s="42">
        <v>1</v>
      </c>
      <c r="BM77" s="46" t="s">
        <v>117</v>
      </c>
      <c r="BN77" s="33"/>
      <c r="BO77" s="34"/>
    </row>
    <row r="78" spans="1:67" x14ac:dyDescent="0.25">
      <c r="A78" s="32">
        <v>75</v>
      </c>
      <c r="B78" s="42" t="s">
        <v>244</v>
      </c>
      <c r="C78" s="42">
        <v>0</v>
      </c>
      <c r="D78" s="42">
        <v>0</v>
      </c>
      <c r="E78" s="42">
        <v>60.256799999999998</v>
      </c>
      <c r="F78" s="42">
        <v>6.4508999999999999</v>
      </c>
      <c r="G78" s="42">
        <v>0</v>
      </c>
      <c r="H78" s="42">
        <v>0</v>
      </c>
      <c r="I78" s="42">
        <v>3</v>
      </c>
      <c r="J78" s="42">
        <v>0</v>
      </c>
      <c r="K78" s="42">
        <v>5</v>
      </c>
      <c r="L78" s="42">
        <v>1</v>
      </c>
      <c r="M78" s="42">
        <v>136.20590000000001</v>
      </c>
      <c r="N78" s="42">
        <v>1</v>
      </c>
      <c r="O78" s="42">
        <v>14738.980299999999</v>
      </c>
      <c r="P78" s="42">
        <v>77.116699999999994</v>
      </c>
      <c r="Q78" s="42">
        <v>0.79910000000000003</v>
      </c>
      <c r="R78" s="42">
        <v>4424.2914000000001</v>
      </c>
      <c r="S78" s="42">
        <v>179.53450000000001</v>
      </c>
      <c r="T78" s="42">
        <v>29.0276</v>
      </c>
      <c r="U78" s="42">
        <v>10</v>
      </c>
      <c r="V78" s="42">
        <v>1</v>
      </c>
      <c r="W78" s="42">
        <v>147.54239999999999</v>
      </c>
      <c r="X78" s="42">
        <v>0.17649999999999999</v>
      </c>
      <c r="Y78" s="42">
        <v>57.061900000000001</v>
      </c>
      <c r="Z78" s="42">
        <v>61.293700000000001</v>
      </c>
      <c r="AA78" s="57">
        <v>10</v>
      </c>
      <c r="AB78" s="42">
        <v>9.6968999999999994</v>
      </c>
      <c r="AC78" s="42">
        <v>2</v>
      </c>
      <c r="AD78" s="42">
        <v>1</v>
      </c>
      <c r="AE78" s="42">
        <v>298.60309999999998</v>
      </c>
      <c r="AF78" s="42">
        <v>485.55130000000003</v>
      </c>
      <c r="AG78" s="42">
        <v>453.87979999999999</v>
      </c>
      <c r="AH78" s="42">
        <v>196.04859999999999</v>
      </c>
      <c r="AI78" s="42">
        <v>112.9971</v>
      </c>
      <c r="AJ78" s="42">
        <v>106.9965</v>
      </c>
      <c r="AK78" s="42">
        <v>3011734784</v>
      </c>
      <c r="AL78" s="42">
        <v>1305277184</v>
      </c>
      <c r="AM78" s="42">
        <v>97300</v>
      </c>
      <c r="AN78" s="42">
        <v>373150</v>
      </c>
      <c r="AO78" s="33" t="s">
        <v>117</v>
      </c>
      <c r="AP78" s="33" t="s">
        <v>117</v>
      </c>
      <c r="AQ78" s="33" t="s">
        <v>117</v>
      </c>
      <c r="AR78" s="33" t="s">
        <v>117</v>
      </c>
      <c r="AS78" s="33" t="s">
        <v>117</v>
      </c>
      <c r="AT78" s="33" t="s">
        <v>117</v>
      </c>
      <c r="AU78" s="33" t="s">
        <v>117</v>
      </c>
      <c r="AV78" s="33" t="s">
        <v>117</v>
      </c>
      <c r="AW78" s="33" t="s">
        <v>117</v>
      </c>
      <c r="AX78" s="33" t="s">
        <v>117</v>
      </c>
      <c r="AY78" s="33" t="s">
        <v>117</v>
      </c>
      <c r="AZ78" s="33" t="s">
        <v>117</v>
      </c>
      <c r="BA78" s="42">
        <v>3</v>
      </c>
      <c r="BB78" s="42">
        <v>1</v>
      </c>
      <c r="BC78" s="42">
        <v>3</v>
      </c>
      <c r="BD78" s="42">
        <v>298.60309999999998</v>
      </c>
      <c r="BE78" s="42">
        <v>1</v>
      </c>
      <c r="BF78" s="42">
        <v>298.60309999999998</v>
      </c>
      <c r="BG78" s="42">
        <v>3</v>
      </c>
      <c r="BH78" s="42">
        <v>3011734784</v>
      </c>
      <c r="BI78" s="42">
        <v>1305277184</v>
      </c>
      <c r="BJ78" s="42">
        <v>0</v>
      </c>
      <c r="BK78" s="42">
        <v>0</v>
      </c>
      <c r="BL78" s="42">
        <v>1</v>
      </c>
      <c r="BM78" s="46" t="s">
        <v>117</v>
      </c>
      <c r="BN78" s="33"/>
      <c r="BO78" s="34"/>
    </row>
    <row r="79" spans="1:67" x14ac:dyDescent="0.25">
      <c r="A79" s="32">
        <v>76</v>
      </c>
      <c r="B79" s="42" t="s">
        <v>213</v>
      </c>
      <c r="C79" s="42">
        <v>0</v>
      </c>
      <c r="D79" s="42">
        <v>0</v>
      </c>
      <c r="E79" s="42">
        <v>0</v>
      </c>
      <c r="F79" s="42">
        <v>6.6143000000000001</v>
      </c>
      <c r="G79" s="42">
        <v>0</v>
      </c>
      <c r="H79" s="42">
        <v>0</v>
      </c>
      <c r="I79" s="42">
        <v>3</v>
      </c>
      <c r="J79" s="42">
        <v>5</v>
      </c>
      <c r="K79" s="42">
        <v>1</v>
      </c>
      <c r="L79" s="42">
        <v>1</v>
      </c>
      <c r="M79" s="42">
        <v>128.53450000000001</v>
      </c>
      <c r="N79" s="42">
        <v>1</v>
      </c>
      <c r="O79" s="42">
        <v>13882.4089</v>
      </c>
      <c r="P79" s="42">
        <v>168.96549999999999</v>
      </c>
      <c r="Q79" s="42">
        <v>1</v>
      </c>
      <c r="R79" s="42">
        <v>7898.7853999999998</v>
      </c>
      <c r="S79" s="42">
        <v>90.805700000000002</v>
      </c>
      <c r="T79" s="42">
        <v>86.194999999999993</v>
      </c>
      <c r="U79" s="42">
        <v>2.6741999999999999</v>
      </c>
      <c r="V79" s="42">
        <v>1</v>
      </c>
      <c r="W79" s="42">
        <v>56.348100000000002</v>
      </c>
      <c r="X79" s="42">
        <v>0.53369999999999995</v>
      </c>
      <c r="Y79" s="42">
        <v>163.25020000000001</v>
      </c>
      <c r="Z79" s="42">
        <v>187.13829999999999</v>
      </c>
      <c r="AA79" s="42">
        <v>123.1652</v>
      </c>
      <c r="AB79" s="57">
        <v>0</v>
      </c>
      <c r="AC79" s="42">
        <v>4</v>
      </c>
      <c r="AD79" s="42">
        <v>2</v>
      </c>
      <c r="AE79" s="42">
        <v>347.56779999999998</v>
      </c>
      <c r="AF79" s="42">
        <v>362.15890000000002</v>
      </c>
      <c r="AG79" s="42">
        <v>293.48829999999998</v>
      </c>
      <c r="AH79" s="42">
        <v>395.0591</v>
      </c>
      <c r="AI79" s="42">
        <v>227.14340000000001</v>
      </c>
      <c r="AJ79" s="42">
        <v>125.97369999999999</v>
      </c>
      <c r="AK79" s="42">
        <v>1258847232</v>
      </c>
      <c r="AL79" s="42">
        <v>1908664832</v>
      </c>
      <c r="AM79" s="42">
        <v>98650</v>
      </c>
      <c r="AN79" s="42">
        <v>378300</v>
      </c>
      <c r="AO79" s="33" t="s">
        <v>117</v>
      </c>
      <c r="AP79" s="33" t="s">
        <v>117</v>
      </c>
      <c r="AQ79" s="33" t="s">
        <v>117</v>
      </c>
      <c r="AR79" s="33" t="s">
        <v>117</v>
      </c>
      <c r="AS79" s="33" t="s">
        <v>117</v>
      </c>
      <c r="AT79" s="33" t="s">
        <v>117</v>
      </c>
      <c r="AU79" s="33" t="s">
        <v>117</v>
      </c>
      <c r="AV79" s="33" t="s">
        <v>117</v>
      </c>
      <c r="AW79" s="33" t="s">
        <v>117</v>
      </c>
      <c r="AX79" s="33" t="s">
        <v>117</v>
      </c>
      <c r="AY79" s="33" t="s">
        <v>117</v>
      </c>
      <c r="AZ79" s="33" t="s">
        <v>117</v>
      </c>
      <c r="BA79" s="42">
        <v>3</v>
      </c>
      <c r="BB79" s="42">
        <v>1</v>
      </c>
      <c r="BC79" s="42">
        <v>3</v>
      </c>
      <c r="BD79" s="42">
        <v>1</v>
      </c>
      <c r="BE79" s="42">
        <v>1</v>
      </c>
      <c r="BF79" s="42">
        <v>1</v>
      </c>
      <c r="BG79" s="42">
        <v>3</v>
      </c>
      <c r="BH79" s="42">
        <v>1258847232</v>
      </c>
      <c r="BI79" s="42">
        <v>1908664832</v>
      </c>
      <c r="BJ79" s="42">
        <v>5</v>
      </c>
      <c r="BK79" s="42">
        <v>0</v>
      </c>
      <c r="BL79" s="42">
        <v>1</v>
      </c>
      <c r="BM79" s="46" t="s">
        <v>117</v>
      </c>
      <c r="BN79" s="33"/>
      <c r="BO79" s="34"/>
    </row>
    <row r="80" spans="1:67" x14ac:dyDescent="0.25">
      <c r="A80" s="32">
        <v>77</v>
      </c>
      <c r="B80" s="42" t="s">
        <v>214</v>
      </c>
      <c r="C80" s="42">
        <v>0</v>
      </c>
      <c r="D80" s="42">
        <v>0</v>
      </c>
      <c r="E80" s="42">
        <v>0</v>
      </c>
      <c r="F80" s="42">
        <v>-3.0135000000000001</v>
      </c>
      <c r="G80" s="42">
        <v>0</v>
      </c>
      <c r="H80" s="42">
        <v>0</v>
      </c>
      <c r="I80" s="42">
        <v>3</v>
      </c>
      <c r="J80" s="42">
        <v>0</v>
      </c>
      <c r="K80" s="42">
        <v>3</v>
      </c>
      <c r="L80" s="42">
        <v>0.1739</v>
      </c>
      <c r="M80" s="42">
        <v>386.31479999999999</v>
      </c>
      <c r="N80" s="42">
        <v>1</v>
      </c>
      <c r="O80" s="42">
        <v>5330.6140999999998</v>
      </c>
      <c r="P80" s="42">
        <v>77.035200000000003</v>
      </c>
      <c r="Q80" s="42">
        <v>0.65610000000000002</v>
      </c>
      <c r="R80" s="42">
        <v>5034.6494000000002</v>
      </c>
      <c r="S80" s="42">
        <v>51.357799999999997</v>
      </c>
      <c r="T80" s="42">
        <v>69.959100000000007</v>
      </c>
      <c r="U80" s="42">
        <v>7.4058000000000002</v>
      </c>
      <c r="V80" s="42">
        <v>0.33040000000000003</v>
      </c>
      <c r="W80" s="42">
        <v>43.533000000000001</v>
      </c>
      <c r="X80" s="42">
        <v>0.98370000000000002</v>
      </c>
      <c r="Y80" s="42">
        <v>166.1944</v>
      </c>
      <c r="Z80" s="42">
        <v>60.155299999999997</v>
      </c>
      <c r="AA80" s="42">
        <v>59.087200000000003</v>
      </c>
      <c r="AB80" s="57">
        <v>10</v>
      </c>
      <c r="AC80" s="42">
        <v>4</v>
      </c>
      <c r="AD80" s="42">
        <v>0</v>
      </c>
      <c r="AE80" s="42">
        <v>490.71510000000001</v>
      </c>
      <c r="AF80" s="42">
        <v>411.17180000000002</v>
      </c>
      <c r="AG80" s="42">
        <v>294.27699999999999</v>
      </c>
      <c r="AH80" s="42">
        <v>189.56970000000001</v>
      </c>
      <c r="AI80" s="42">
        <v>128.76499999999999</v>
      </c>
      <c r="AJ80" s="42">
        <v>476.72669999999999</v>
      </c>
      <c r="AK80" s="42">
        <v>2943700736</v>
      </c>
      <c r="AL80" s="42">
        <v>3128624384</v>
      </c>
      <c r="AM80" s="42">
        <v>100000</v>
      </c>
      <c r="AN80" s="42">
        <v>383450</v>
      </c>
      <c r="AO80" s="33" t="s">
        <v>117</v>
      </c>
      <c r="AP80" s="33" t="s">
        <v>117</v>
      </c>
      <c r="AQ80" s="33" t="s">
        <v>117</v>
      </c>
      <c r="AR80" s="33" t="s">
        <v>117</v>
      </c>
      <c r="AS80" s="33" t="s">
        <v>117</v>
      </c>
      <c r="AT80" s="33" t="s">
        <v>117</v>
      </c>
      <c r="AU80" s="33" t="s">
        <v>117</v>
      </c>
      <c r="AV80" s="33" t="s">
        <v>117</v>
      </c>
      <c r="AW80" s="33" t="s">
        <v>117</v>
      </c>
      <c r="AX80" s="33" t="s">
        <v>117</v>
      </c>
      <c r="AY80" s="33" t="s">
        <v>117</v>
      </c>
      <c r="AZ80" s="33" t="s">
        <v>117</v>
      </c>
      <c r="BA80" s="42">
        <v>2</v>
      </c>
      <c r="BB80" s="42">
        <v>0.33040000000000003</v>
      </c>
      <c r="BC80" s="42">
        <v>2</v>
      </c>
      <c r="BD80" s="42">
        <v>490.71510000000001</v>
      </c>
      <c r="BE80" s="42">
        <v>0.33040000000000003</v>
      </c>
      <c r="BF80" s="42">
        <v>490.71510000000001</v>
      </c>
      <c r="BG80" s="42">
        <v>2</v>
      </c>
      <c r="BH80" s="42">
        <v>2943700736</v>
      </c>
      <c r="BI80" s="42">
        <v>3128624384</v>
      </c>
      <c r="BJ80" s="42">
        <v>0</v>
      </c>
      <c r="BK80" s="42">
        <v>0</v>
      </c>
      <c r="BL80" s="42">
        <v>1</v>
      </c>
      <c r="BM80" s="46" t="s">
        <v>117</v>
      </c>
      <c r="BN80" s="33"/>
      <c r="BO80" s="34"/>
    </row>
    <row r="81" spans="1:67" x14ac:dyDescent="0.25">
      <c r="A81" s="32">
        <v>78</v>
      </c>
      <c r="B81" s="42" t="s">
        <v>245</v>
      </c>
      <c r="C81" s="42">
        <v>0</v>
      </c>
      <c r="D81" s="42">
        <v>0</v>
      </c>
      <c r="E81" s="42">
        <v>0</v>
      </c>
      <c r="F81" s="42">
        <v>-0.5302</v>
      </c>
      <c r="G81" s="42">
        <v>0</v>
      </c>
      <c r="H81" s="42">
        <v>0</v>
      </c>
      <c r="I81" s="42">
        <v>3</v>
      </c>
      <c r="J81" s="42">
        <v>4</v>
      </c>
      <c r="K81" s="42">
        <v>2</v>
      </c>
      <c r="L81" s="42">
        <v>1</v>
      </c>
      <c r="M81" s="42">
        <v>380.06869999999998</v>
      </c>
      <c r="N81" s="42">
        <v>1</v>
      </c>
      <c r="O81" s="42">
        <v>14172.228800000001</v>
      </c>
      <c r="P81" s="42">
        <v>90.915000000000006</v>
      </c>
      <c r="Q81" s="42">
        <v>0.45069999999999999</v>
      </c>
      <c r="R81" s="42">
        <v>14502.097400000001</v>
      </c>
      <c r="S81" s="42">
        <v>69.042100000000005</v>
      </c>
      <c r="T81" s="42">
        <v>13.680199999999999</v>
      </c>
      <c r="U81" s="42">
        <v>5.1151999999999997</v>
      </c>
      <c r="V81" s="42">
        <v>1</v>
      </c>
      <c r="W81" s="42">
        <v>124.60980000000001</v>
      </c>
      <c r="X81" s="42">
        <v>1</v>
      </c>
      <c r="Y81" s="42">
        <v>185.27170000000001</v>
      </c>
      <c r="Z81" s="42">
        <v>179.3896</v>
      </c>
      <c r="AA81" s="42">
        <v>28.555599999999998</v>
      </c>
      <c r="AB81" s="57">
        <v>1</v>
      </c>
      <c r="AC81" s="42">
        <v>2</v>
      </c>
      <c r="AD81" s="42">
        <v>4</v>
      </c>
      <c r="AE81" s="42">
        <v>161.64279999999999</v>
      </c>
      <c r="AF81" s="42">
        <v>444.96969999999999</v>
      </c>
      <c r="AG81" s="42">
        <v>199.06200000000001</v>
      </c>
      <c r="AH81" s="42">
        <v>351.4554</v>
      </c>
      <c r="AI81" s="42">
        <v>161.31299999999999</v>
      </c>
      <c r="AJ81" s="42">
        <v>424.15809999999999</v>
      </c>
      <c r="AK81" s="42">
        <v>4047164928</v>
      </c>
      <c r="AL81" s="42">
        <v>847361024</v>
      </c>
      <c r="AM81" s="42">
        <v>101350</v>
      </c>
      <c r="AN81" s="42">
        <v>388600</v>
      </c>
      <c r="AO81" s="33" t="s">
        <v>117</v>
      </c>
      <c r="AP81" s="33" t="s">
        <v>117</v>
      </c>
      <c r="AQ81" s="33" t="s">
        <v>117</v>
      </c>
      <c r="AR81" s="33" t="s">
        <v>117</v>
      </c>
      <c r="AS81" s="33" t="s">
        <v>117</v>
      </c>
      <c r="AT81" s="33" t="s">
        <v>117</v>
      </c>
      <c r="AU81" s="33" t="s">
        <v>117</v>
      </c>
      <c r="AV81" s="33" t="s">
        <v>117</v>
      </c>
      <c r="AW81" s="33" t="s">
        <v>117</v>
      </c>
      <c r="AX81" s="33" t="s">
        <v>117</v>
      </c>
      <c r="AY81" s="33" t="s">
        <v>117</v>
      </c>
      <c r="AZ81" s="33" t="s">
        <v>117</v>
      </c>
      <c r="BA81" s="42">
        <v>2</v>
      </c>
      <c r="BB81" s="42">
        <v>1</v>
      </c>
      <c r="BC81" s="42">
        <v>2</v>
      </c>
      <c r="BD81" s="42">
        <v>161.64279999999999</v>
      </c>
      <c r="BE81" s="42">
        <v>1</v>
      </c>
      <c r="BF81" s="42">
        <v>161.64279999999999</v>
      </c>
      <c r="BG81" s="42">
        <v>2</v>
      </c>
      <c r="BH81" s="42">
        <v>4047164928</v>
      </c>
      <c r="BI81" s="42">
        <v>847361024</v>
      </c>
      <c r="BJ81" s="42">
        <v>4</v>
      </c>
      <c r="BK81" s="42">
        <v>0</v>
      </c>
      <c r="BL81" s="42">
        <v>1</v>
      </c>
      <c r="BM81" s="46" t="s">
        <v>117</v>
      </c>
      <c r="BN81" s="33"/>
      <c r="BO81" s="34"/>
    </row>
    <row r="82" spans="1:67" x14ac:dyDescent="0.25">
      <c r="A82" s="32">
        <v>79</v>
      </c>
      <c r="B82" s="42" t="s">
        <v>215</v>
      </c>
      <c r="C82" s="42">
        <v>2</v>
      </c>
      <c r="D82" s="42">
        <v>0</v>
      </c>
      <c r="E82" s="42">
        <v>0</v>
      </c>
      <c r="F82" s="42">
        <v>0</v>
      </c>
      <c r="G82" s="42">
        <v>0</v>
      </c>
      <c r="H82" s="42">
        <v>0</v>
      </c>
      <c r="I82" s="42">
        <v>3</v>
      </c>
      <c r="J82" s="42">
        <v>4</v>
      </c>
      <c r="K82" s="42">
        <v>1</v>
      </c>
      <c r="L82" s="42">
        <v>1</v>
      </c>
      <c r="M82" s="42">
        <v>195.04130000000001</v>
      </c>
      <c r="N82" s="42">
        <v>1</v>
      </c>
      <c r="O82" s="42">
        <v>8391.3343000000004</v>
      </c>
      <c r="P82" s="42">
        <v>169.196</v>
      </c>
      <c r="Q82" s="42">
        <v>0.16389999999999999</v>
      </c>
      <c r="R82" s="42">
        <v>11123.898800000001</v>
      </c>
      <c r="S82" s="42">
        <v>154.6551</v>
      </c>
      <c r="T82" s="42">
        <v>168.0395</v>
      </c>
      <c r="U82" s="42">
        <v>0.33639999999999998</v>
      </c>
      <c r="V82" s="42">
        <v>1</v>
      </c>
      <c r="W82" s="42">
        <v>193.1722</v>
      </c>
      <c r="X82" s="42">
        <v>1</v>
      </c>
      <c r="Y82" s="42">
        <v>81.997799999999998</v>
      </c>
      <c r="Z82" s="42">
        <v>142.01820000000001</v>
      </c>
      <c r="AA82" s="42">
        <v>82.509500000000003</v>
      </c>
      <c r="AB82" s="42">
        <v>2.4020999999999999</v>
      </c>
      <c r="AC82" s="57">
        <v>0</v>
      </c>
      <c r="AD82" s="42">
        <v>3</v>
      </c>
      <c r="AE82" s="42">
        <v>440.7697</v>
      </c>
      <c r="AF82" s="42">
        <v>145.43559999999999</v>
      </c>
      <c r="AG82" s="42">
        <v>356.27190000000002</v>
      </c>
      <c r="AH82" s="42">
        <v>71.215000000000003</v>
      </c>
      <c r="AI82" s="42">
        <v>444.44959999999998</v>
      </c>
      <c r="AJ82" s="42">
        <v>431.66090000000003</v>
      </c>
      <c r="AK82" s="42">
        <v>247873792</v>
      </c>
      <c r="AL82" s="42">
        <v>2213127936</v>
      </c>
      <c r="AM82" s="42">
        <v>102700</v>
      </c>
      <c r="AN82" s="42">
        <v>393750</v>
      </c>
      <c r="AO82" s="33" t="s">
        <v>117</v>
      </c>
      <c r="AP82" s="33" t="s">
        <v>117</v>
      </c>
      <c r="AQ82" s="33" t="s">
        <v>117</v>
      </c>
      <c r="AR82" s="33" t="s">
        <v>117</v>
      </c>
      <c r="AS82" s="33" t="s">
        <v>117</v>
      </c>
      <c r="AT82" s="33" t="s">
        <v>117</v>
      </c>
      <c r="AU82" s="33" t="s">
        <v>117</v>
      </c>
      <c r="AV82" s="33" t="s">
        <v>117</v>
      </c>
      <c r="AW82" s="33" t="s">
        <v>117</v>
      </c>
      <c r="AX82" s="33" t="s">
        <v>117</v>
      </c>
      <c r="AY82" s="33" t="s">
        <v>117</v>
      </c>
      <c r="AZ82" s="33" t="s">
        <v>117</v>
      </c>
      <c r="BA82" s="42">
        <v>2</v>
      </c>
      <c r="BB82" s="42">
        <v>1</v>
      </c>
      <c r="BC82" s="42">
        <v>2</v>
      </c>
      <c r="BD82" s="42">
        <v>195.04130000000001</v>
      </c>
      <c r="BE82" s="42">
        <v>1</v>
      </c>
      <c r="BF82" s="42">
        <v>195.04130000000001</v>
      </c>
      <c r="BG82" s="42">
        <v>2</v>
      </c>
      <c r="BH82" s="42">
        <v>247873792</v>
      </c>
      <c r="BI82" s="42">
        <v>2213127936</v>
      </c>
      <c r="BJ82" s="42">
        <v>4</v>
      </c>
      <c r="BK82" s="42">
        <v>0</v>
      </c>
      <c r="BL82" s="42">
        <v>1</v>
      </c>
      <c r="BM82" s="46" t="s">
        <v>117</v>
      </c>
      <c r="BN82" s="33"/>
      <c r="BO82" s="34"/>
    </row>
    <row r="83" spans="1:67" x14ac:dyDescent="0.25">
      <c r="A83" s="32">
        <v>80</v>
      </c>
      <c r="B83" s="42" t="s">
        <v>216</v>
      </c>
      <c r="C83" s="42">
        <v>4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3</v>
      </c>
      <c r="J83" s="42">
        <v>1</v>
      </c>
      <c r="K83" s="42">
        <v>1</v>
      </c>
      <c r="L83" s="42">
        <v>0.40439999999999998</v>
      </c>
      <c r="M83" s="42">
        <v>77.864500000000007</v>
      </c>
      <c r="N83" s="42">
        <v>1</v>
      </c>
      <c r="O83" s="42">
        <v>3439.9973</v>
      </c>
      <c r="P83" s="42">
        <v>165.02940000000001</v>
      </c>
      <c r="Q83" s="42">
        <v>0.60980000000000001</v>
      </c>
      <c r="R83" s="42">
        <v>10701.0113</v>
      </c>
      <c r="S83" s="42">
        <v>172.75569999999999</v>
      </c>
      <c r="T83" s="42">
        <v>234.70599999999999</v>
      </c>
      <c r="U83" s="42">
        <v>10</v>
      </c>
      <c r="V83" s="42">
        <v>0.1077</v>
      </c>
      <c r="W83" s="42">
        <v>145.04400000000001</v>
      </c>
      <c r="X83" s="42">
        <v>1</v>
      </c>
      <c r="Y83" s="42">
        <v>14.8834</v>
      </c>
      <c r="Z83" s="42">
        <v>84.575400000000002</v>
      </c>
      <c r="AA83" s="42">
        <v>143.3826</v>
      </c>
      <c r="AB83" s="42">
        <v>1.7007000000000001</v>
      </c>
      <c r="AC83" s="57">
        <v>5</v>
      </c>
      <c r="AD83" s="42">
        <v>0</v>
      </c>
      <c r="AE83" s="42">
        <v>444.10250000000002</v>
      </c>
      <c r="AF83" s="42">
        <v>104.4529</v>
      </c>
      <c r="AG83" s="42">
        <v>489.09129999999999</v>
      </c>
      <c r="AH83" s="42">
        <v>264.37990000000002</v>
      </c>
      <c r="AI83" s="42">
        <v>174.54159999999999</v>
      </c>
      <c r="AJ83" s="42">
        <v>327.55459999999999</v>
      </c>
      <c r="AK83" s="42">
        <v>2106589184</v>
      </c>
      <c r="AL83" s="42">
        <v>1396559360</v>
      </c>
      <c r="AM83" s="42">
        <v>104050</v>
      </c>
      <c r="AN83" s="42">
        <v>398900</v>
      </c>
      <c r="AO83" s="33" t="s">
        <v>117</v>
      </c>
      <c r="AP83" s="33" t="s">
        <v>117</v>
      </c>
      <c r="AQ83" s="33" t="s">
        <v>117</v>
      </c>
      <c r="AR83" s="33" t="s">
        <v>117</v>
      </c>
      <c r="AS83" s="33" t="s">
        <v>117</v>
      </c>
      <c r="AT83" s="33" t="s">
        <v>117</v>
      </c>
      <c r="AU83" s="33" t="s">
        <v>117</v>
      </c>
      <c r="AV83" s="33" t="s">
        <v>117</v>
      </c>
      <c r="AW83" s="33" t="s">
        <v>117</v>
      </c>
      <c r="AX83" s="33" t="s">
        <v>117</v>
      </c>
      <c r="AY83" s="33" t="s">
        <v>117</v>
      </c>
      <c r="AZ83" s="33" t="s">
        <v>117</v>
      </c>
      <c r="BA83" s="42">
        <v>2</v>
      </c>
      <c r="BB83" s="42">
        <v>0.1077</v>
      </c>
      <c r="BC83" s="42">
        <v>2</v>
      </c>
      <c r="BD83" s="42">
        <v>489.09129999999999</v>
      </c>
      <c r="BE83" s="42">
        <v>0.1077</v>
      </c>
      <c r="BF83" s="42">
        <v>489.09129999999999</v>
      </c>
      <c r="BG83" s="42">
        <v>2</v>
      </c>
      <c r="BH83" s="42">
        <v>2106589184</v>
      </c>
      <c r="BI83" s="42">
        <v>1396559360</v>
      </c>
      <c r="BJ83" s="42">
        <v>1</v>
      </c>
      <c r="BK83" s="42">
        <v>0</v>
      </c>
      <c r="BL83" s="42">
        <v>1</v>
      </c>
      <c r="BM83" s="46" t="s">
        <v>117</v>
      </c>
      <c r="BN83" s="33"/>
      <c r="BO83" s="34"/>
    </row>
    <row r="84" spans="1:67" x14ac:dyDescent="0.25">
      <c r="A84" s="32">
        <v>81</v>
      </c>
      <c r="B84" s="42" t="s">
        <v>246</v>
      </c>
      <c r="C84" s="42">
        <v>1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3</v>
      </c>
      <c r="J84" s="42">
        <v>5</v>
      </c>
      <c r="K84" s="42">
        <v>0</v>
      </c>
      <c r="L84" s="42">
        <v>0.2079</v>
      </c>
      <c r="M84" s="42">
        <v>286.04050000000001</v>
      </c>
      <c r="N84" s="42">
        <v>1</v>
      </c>
      <c r="O84" s="42">
        <v>14516.8354</v>
      </c>
      <c r="P84" s="42">
        <v>126.1875</v>
      </c>
      <c r="Q84" s="42">
        <v>1</v>
      </c>
      <c r="R84" s="42">
        <v>13944.764300000001</v>
      </c>
      <c r="S84" s="42">
        <v>34.822600000000001</v>
      </c>
      <c r="T84" s="42">
        <v>249.53639999999999</v>
      </c>
      <c r="U84" s="42">
        <v>0.4052</v>
      </c>
      <c r="V84" s="42">
        <v>0.16769999999999999</v>
      </c>
      <c r="W84" s="42">
        <v>155.93979999999999</v>
      </c>
      <c r="X84" s="42">
        <v>0.76519999999999999</v>
      </c>
      <c r="Y84" s="42">
        <v>78.222999999999999</v>
      </c>
      <c r="Z84" s="42">
        <v>200</v>
      </c>
      <c r="AA84" s="42">
        <v>218.12110000000001</v>
      </c>
      <c r="AB84" s="42">
        <v>8.1066000000000003</v>
      </c>
      <c r="AC84" s="57">
        <v>1</v>
      </c>
      <c r="AD84" s="42">
        <v>1</v>
      </c>
      <c r="AE84" s="42">
        <v>259.93239999999997</v>
      </c>
      <c r="AF84" s="42">
        <v>134.6746</v>
      </c>
      <c r="AG84" s="42">
        <v>124.35469999999999</v>
      </c>
      <c r="AH84" s="42">
        <v>218.77279999999999</v>
      </c>
      <c r="AI84" s="42">
        <v>91.028599999999997</v>
      </c>
      <c r="AJ84" s="42">
        <v>477.68650000000002</v>
      </c>
      <c r="AK84" s="42">
        <v>2330903296</v>
      </c>
      <c r="AL84" s="42">
        <v>3399309568</v>
      </c>
      <c r="AM84" s="42">
        <v>105400</v>
      </c>
      <c r="AN84" s="42">
        <v>404050</v>
      </c>
      <c r="AO84" s="33" t="s">
        <v>117</v>
      </c>
      <c r="AP84" s="33" t="s">
        <v>117</v>
      </c>
      <c r="AQ84" s="33" t="s">
        <v>117</v>
      </c>
      <c r="AR84" s="33" t="s">
        <v>117</v>
      </c>
      <c r="AS84" s="33" t="s">
        <v>117</v>
      </c>
      <c r="AT84" s="33" t="s">
        <v>117</v>
      </c>
      <c r="AU84" s="33" t="s">
        <v>117</v>
      </c>
      <c r="AV84" s="33" t="s">
        <v>117</v>
      </c>
      <c r="AW84" s="33" t="s">
        <v>117</v>
      </c>
      <c r="AX84" s="33" t="s">
        <v>117</v>
      </c>
      <c r="AY84" s="33" t="s">
        <v>117</v>
      </c>
      <c r="AZ84" s="33" t="s">
        <v>117</v>
      </c>
      <c r="BA84" s="42">
        <v>2</v>
      </c>
      <c r="BB84" s="42">
        <v>0.16769999999999999</v>
      </c>
      <c r="BC84" s="42">
        <v>2</v>
      </c>
      <c r="BD84" s="42">
        <v>1</v>
      </c>
      <c r="BE84" s="42">
        <v>0.16769999999999999</v>
      </c>
      <c r="BF84" s="42">
        <v>1</v>
      </c>
      <c r="BG84" s="42">
        <v>2</v>
      </c>
      <c r="BH84" s="42">
        <v>2330903296</v>
      </c>
      <c r="BI84" s="42">
        <v>3399309568</v>
      </c>
      <c r="BJ84" s="42">
        <v>5</v>
      </c>
      <c r="BK84" s="42">
        <v>0</v>
      </c>
      <c r="BL84" s="42">
        <v>1</v>
      </c>
      <c r="BM84" s="46" t="s">
        <v>117</v>
      </c>
      <c r="BN84" s="33"/>
      <c r="BO84" s="34"/>
    </row>
    <row r="85" spans="1:67" x14ac:dyDescent="0.25">
      <c r="A85" s="32">
        <v>82</v>
      </c>
      <c r="B85" s="65" t="s">
        <v>217</v>
      </c>
      <c r="C85" s="42">
        <v>3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1</v>
      </c>
      <c r="J85" s="42">
        <v>3</v>
      </c>
      <c r="K85" s="42">
        <v>5</v>
      </c>
      <c r="L85" s="42">
        <v>8.8300000000000003E-2</v>
      </c>
      <c r="M85" s="42">
        <v>473.09739999999999</v>
      </c>
      <c r="N85" s="42">
        <v>1</v>
      </c>
      <c r="O85" s="42">
        <v>13789.4105</v>
      </c>
      <c r="P85" s="42">
        <v>174.19649999999999</v>
      </c>
      <c r="Q85" s="42">
        <v>1</v>
      </c>
      <c r="R85" s="42">
        <v>5586.9822999999997</v>
      </c>
      <c r="S85" s="42">
        <v>91.895399999999995</v>
      </c>
      <c r="T85" s="42">
        <v>25.462800000000001</v>
      </c>
      <c r="U85" s="42">
        <v>6.3277999999999999</v>
      </c>
      <c r="V85" s="42">
        <v>0</v>
      </c>
      <c r="W85" s="42">
        <v>155.5309</v>
      </c>
      <c r="X85" s="42">
        <v>1</v>
      </c>
      <c r="Y85" s="42">
        <v>72.083600000000004</v>
      </c>
      <c r="Z85" s="42">
        <v>55.709600000000002</v>
      </c>
      <c r="AA85" s="42">
        <v>15.657400000000001</v>
      </c>
      <c r="AB85" s="42">
        <v>6.0301</v>
      </c>
      <c r="AC85" s="42">
        <v>0</v>
      </c>
      <c r="AD85" s="57">
        <v>0</v>
      </c>
      <c r="AE85" s="42">
        <v>211.52799999999999</v>
      </c>
      <c r="AF85" s="42">
        <v>319.71350000000001</v>
      </c>
      <c r="AG85" s="42">
        <v>174.87950000000001</v>
      </c>
      <c r="AH85" s="42">
        <v>279.05340000000001</v>
      </c>
      <c r="AI85" s="42">
        <v>140.4419</v>
      </c>
      <c r="AJ85" s="42">
        <v>448.971</v>
      </c>
      <c r="AK85" s="42">
        <v>3373097472</v>
      </c>
      <c r="AL85" s="42">
        <v>4274741248</v>
      </c>
      <c r="AM85" s="42">
        <v>74350</v>
      </c>
      <c r="AN85" s="42">
        <v>285600</v>
      </c>
      <c r="AO85" s="33" t="s">
        <v>117</v>
      </c>
      <c r="AP85" s="33" t="s">
        <v>117</v>
      </c>
      <c r="AQ85" s="33" t="s">
        <v>117</v>
      </c>
      <c r="AR85" s="33" t="s">
        <v>117</v>
      </c>
      <c r="AS85" s="33" t="s">
        <v>117</v>
      </c>
      <c r="AT85" s="33" t="s">
        <v>117</v>
      </c>
      <c r="AU85" s="33" t="s">
        <v>117</v>
      </c>
      <c r="AV85" s="33" t="s">
        <v>117</v>
      </c>
      <c r="AW85" s="33" t="s">
        <v>117</v>
      </c>
      <c r="AX85" s="33" t="s">
        <v>117</v>
      </c>
      <c r="AY85" s="33" t="s">
        <v>117</v>
      </c>
      <c r="AZ85" s="33" t="s">
        <v>117</v>
      </c>
      <c r="BA85" s="42">
        <v>2</v>
      </c>
      <c r="BB85" s="42">
        <v>0</v>
      </c>
      <c r="BC85" s="42">
        <v>2</v>
      </c>
      <c r="BD85" s="42">
        <v>140.4419</v>
      </c>
      <c r="BE85" s="42">
        <v>0</v>
      </c>
      <c r="BF85" s="42">
        <v>140.4419</v>
      </c>
      <c r="BG85" s="42">
        <v>2</v>
      </c>
      <c r="BH85" s="42">
        <v>3373097472</v>
      </c>
      <c r="BI85" s="42">
        <v>4274741248</v>
      </c>
      <c r="BJ85" s="42">
        <v>3</v>
      </c>
      <c r="BK85" s="42">
        <v>0</v>
      </c>
      <c r="BL85" s="42">
        <v>1</v>
      </c>
      <c r="BM85" s="46" t="s">
        <v>117</v>
      </c>
      <c r="BN85" s="33"/>
      <c r="BO85" s="34"/>
    </row>
    <row r="86" spans="1:67" x14ac:dyDescent="0.25">
      <c r="A86" s="32">
        <v>83</v>
      </c>
      <c r="B86" s="65" t="s">
        <v>218</v>
      </c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1</v>
      </c>
      <c r="J86" s="42">
        <v>4</v>
      </c>
      <c r="K86" s="42">
        <v>2</v>
      </c>
      <c r="L86" s="42">
        <v>1</v>
      </c>
      <c r="M86" s="42">
        <v>129.596</v>
      </c>
      <c r="N86" s="42">
        <v>1</v>
      </c>
      <c r="O86" s="42">
        <v>7631.7019</v>
      </c>
      <c r="P86" s="42">
        <v>119.32089999999999</v>
      </c>
      <c r="Q86" s="42">
        <v>0.1079</v>
      </c>
      <c r="R86" s="42">
        <v>15064.2003</v>
      </c>
      <c r="S86" s="42">
        <v>158.477</v>
      </c>
      <c r="T86" s="42">
        <v>109.83459999999999</v>
      </c>
      <c r="U86" s="42">
        <v>0.87460000000000004</v>
      </c>
      <c r="V86" s="42">
        <v>1</v>
      </c>
      <c r="W86" s="42">
        <v>17.329699999999999</v>
      </c>
      <c r="X86" s="42">
        <v>0.6905</v>
      </c>
      <c r="Y86" s="42">
        <v>15.7835</v>
      </c>
      <c r="Z86" s="42">
        <v>98.250299999999996</v>
      </c>
      <c r="AA86" s="42">
        <v>11.5753</v>
      </c>
      <c r="AB86" s="42">
        <v>6.0872999999999999</v>
      </c>
      <c r="AC86" s="42">
        <v>3</v>
      </c>
      <c r="AD86" s="57">
        <v>5</v>
      </c>
      <c r="AE86" s="42">
        <v>436.27249999999998</v>
      </c>
      <c r="AF86" s="42">
        <v>96.001599999999996</v>
      </c>
      <c r="AG86" s="42">
        <v>145.4734</v>
      </c>
      <c r="AH86" s="42">
        <v>420.8612</v>
      </c>
      <c r="AI86" s="42">
        <v>390.03140000000002</v>
      </c>
      <c r="AJ86" s="42">
        <v>389.87389999999999</v>
      </c>
      <c r="AK86" s="42">
        <v>3497958656</v>
      </c>
      <c r="AL86" s="42">
        <v>2898043648</v>
      </c>
      <c r="AM86" s="42">
        <v>75700</v>
      </c>
      <c r="AN86" s="42">
        <v>290750</v>
      </c>
      <c r="AO86" s="33" t="s">
        <v>117</v>
      </c>
      <c r="AP86" s="33" t="s">
        <v>117</v>
      </c>
      <c r="AQ86" s="33" t="s">
        <v>117</v>
      </c>
      <c r="AR86" s="33" t="s">
        <v>117</v>
      </c>
      <c r="AS86" s="33" t="s">
        <v>117</v>
      </c>
      <c r="AT86" s="33" t="s">
        <v>117</v>
      </c>
      <c r="AU86" s="33" t="s">
        <v>117</v>
      </c>
      <c r="AV86" s="33" t="s">
        <v>117</v>
      </c>
      <c r="AW86" s="33" t="s">
        <v>117</v>
      </c>
      <c r="AX86" s="33" t="s">
        <v>117</v>
      </c>
      <c r="AY86" s="33" t="s">
        <v>117</v>
      </c>
      <c r="AZ86" s="33" t="s">
        <v>117</v>
      </c>
      <c r="BA86" s="42">
        <v>2</v>
      </c>
      <c r="BB86" s="42">
        <v>1</v>
      </c>
      <c r="BC86" s="42">
        <v>2</v>
      </c>
      <c r="BD86" s="42">
        <v>436.27249999999998</v>
      </c>
      <c r="BE86" s="42">
        <v>1</v>
      </c>
      <c r="BF86" s="42">
        <v>436.27249999999998</v>
      </c>
      <c r="BG86" s="42">
        <v>2</v>
      </c>
      <c r="BH86" s="42">
        <v>3497958656</v>
      </c>
      <c r="BI86" s="42">
        <v>2898043648</v>
      </c>
      <c r="BJ86" s="42">
        <v>4</v>
      </c>
      <c r="BK86" s="42">
        <v>0</v>
      </c>
      <c r="BL86" s="42">
        <v>1</v>
      </c>
      <c r="BM86" s="46" t="s">
        <v>117</v>
      </c>
      <c r="BN86" s="33"/>
      <c r="BO86" s="34"/>
    </row>
    <row r="87" spans="1:67" x14ac:dyDescent="0.25">
      <c r="A87" s="32">
        <v>84</v>
      </c>
      <c r="B87" s="65" t="s">
        <v>239</v>
      </c>
      <c r="C87" s="42">
        <v>1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1</v>
      </c>
      <c r="J87" s="42">
        <v>0</v>
      </c>
      <c r="K87" s="42">
        <v>4</v>
      </c>
      <c r="L87" s="42">
        <v>1</v>
      </c>
      <c r="M87" s="42">
        <v>8.9535</v>
      </c>
      <c r="N87" s="42">
        <v>1</v>
      </c>
      <c r="O87" s="42">
        <v>7346.9691000000003</v>
      </c>
      <c r="P87" s="42">
        <v>66.496300000000005</v>
      </c>
      <c r="Q87" s="42">
        <v>1</v>
      </c>
      <c r="R87" s="42">
        <v>14044.801100000001</v>
      </c>
      <c r="S87" s="42">
        <v>94.895399999999995</v>
      </c>
      <c r="T87" s="42">
        <v>164.1421</v>
      </c>
      <c r="U87" s="42">
        <v>4.5444000000000004</v>
      </c>
      <c r="V87" s="42">
        <v>1.1000000000000001E-3</v>
      </c>
      <c r="W87" s="42">
        <v>67.559399999999997</v>
      </c>
      <c r="X87" s="42">
        <v>1</v>
      </c>
      <c r="Y87" s="42">
        <v>174.61179999999999</v>
      </c>
      <c r="Z87" s="42">
        <v>3.0527000000000002</v>
      </c>
      <c r="AA87" s="42">
        <v>120.3212</v>
      </c>
      <c r="AB87" s="42">
        <v>10</v>
      </c>
      <c r="AC87" s="42">
        <v>5</v>
      </c>
      <c r="AD87" s="57">
        <v>1</v>
      </c>
      <c r="AE87" s="42">
        <v>397.79410000000001</v>
      </c>
      <c r="AF87" s="42">
        <v>401.33710000000002</v>
      </c>
      <c r="AG87" s="42">
        <v>343.59989999999999</v>
      </c>
      <c r="AH87" s="42">
        <v>195.596</v>
      </c>
      <c r="AI87" s="42">
        <v>62.765999999999998</v>
      </c>
      <c r="AJ87" s="42">
        <v>229.7363</v>
      </c>
      <c r="AK87" s="42">
        <v>483847168</v>
      </c>
      <c r="AL87" s="42">
        <v>4021606912</v>
      </c>
      <c r="AM87" s="42">
        <v>77050</v>
      </c>
      <c r="AN87" s="42">
        <v>295900</v>
      </c>
      <c r="AO87" s="33" t="s">
        <v>117</v>
      </c>
      <c r="AP87" s="33" t="s">
        <v>117</v>
      </c>
      <c r="AQ87" s="33" t="s">
        <v>117</v>
      </c>
      <c r="AR87" s="33" t="s">
        <v>117</v>
      </c>
      <c r="AS87" s="33" t="s">
        <v>117</v>
      </c>
      <c r="AT87" s="33" t="s">
        <v>117</v>
      </c>
      <c r="AU87" s="33" t="s">
        <v>117</v>
      </c>
      <c r="AV87" s="33" t="s">
        <v>117</v>
      </c>
      <c r="AW87" s="33" t="s">
        <v>117</v>
      </c>
      <c r="AX87" s="33" t="s">
        <v>117</v>
      </c>
      <c r="AY87" s="33" t="s">
        <v>117</v>
      </c>
      <c r="AZ87" s="33" t="s">
        <v>117</v>
      </c>
      <c r="BA87" s="42">
        <v>2</v>
      </c>
      <c r="BB87" s="42">
        <v>1.1000000000000001E-3</v>
      </c>
      <c r="BC87" s="42">
        <v>2</v>
      </c>
      <c r="BD87" s="42">
        <v>397.79410000000001</v>
      </c>
      <c r="BE87" s="42">
        <v>1.1000000000000001E-3</v>
      </c>
      <c r="BF87" s="42">
        <v>397.79410000000001</v>
      </c>
      <c r="BG87" s="42">
        <v>2</v>
      </c>
      <c r="BH87" s="42">
        <v>483847168</v>
      </c>
      <c r="BI87" s="42">
        <v>4021606912</v>
      </c>
      <c r="BJ87" s="42">
        <v>0</v>
      </c>
      <c r="BK87" s="42">
        <v>0</v>
      </c>
      <c r="BL87" s="42">
        <v>1</v>
      </c>
      <c r="BM87" s="46" t="s">
        <v>117</v>
      </c>
      <c r="BN87" s="33"/>
      <c r="BO87" s="34"/>
    </row>
    <row r="88" spans="1:67" x14ac:dyDescent="0.25">
      <c r="A88" s="32">
        <v>85</v>
      </c>
      <c r="B88" s="42" t="s">
        <v>219</v>
      </c>
      <c r="C88" s="42">
        <v>4</v>
      </c>
      <c r="D88" s="42">
        <v>0</v>
      </c>
      <c r="E88" s="42">
        <v>-10.154400000000001</v>
      </c>
      <c r="F88" s="42">
        <v>9.5940999999999992</v>
      </c>
      <c r="G88" s="42">
        <v>0</v>
      </c>
      <c r="H88" s="42">
        <v>30.799600000000002</v>
      </c>
      <c r="I88" s="42">
        <v>2</v>
      </c>
      <c r="J88" s="42">
        <v>0</v>
      </c>
      <c r="K88" s="42">
        <v>4</v>
      </c>
      <c r="L88" s="42">
        <v>1</v>
      </c>
      <c r="M88" s="42">
        <v>40.576700000000002</v>
      </c>
      <c r="N88" s="42">
        <v>1</v>
      </c>
      <c r="O88" s="42">
        <v>10729.336799999999</v>
      </c>
      <c r="P88" s="42">
        <v>88.285200000000003</v>
      </c>
      <c r="Q88" s="42">
        <v>0.33339999999999997</v>
      </c>
      <c r="R88" s="42">
        <v>12619.401900000001</v>
      </c>
      <c r="S88" s="42">
        <v>54.771500000000003</v>
      </c>
      <c r="T88" s="42">
        <v>178.4777</v>
      </c>
      <c r="U88" s="42">
        <v>4.7596999999999996</v>
      </c>
      <c r="V88" s="42">
        <v>1</v>
      </c>
      <c r="W88" s="42">
        <v>0</v>
      </c>
      <c r="X88" s="42">
        <v>1</v>
      </c>
      <c r="Y88" s="42">
        <v>58.640999999999998</v>
      </c>
      <c r="Z88" s="42">
        <v>125.9547</v>
      </c>
      <c r="AA88" s="42">
        <v>147.9853</v>
      </c>
      <c r="AB88" s="42">
        <v>3.6545999999999998</v>
      </c>
      <c r="AC88" s="42">
        <v>2</v>
      </c>
      <c r="AD88" s="42">
        <v>3</v>
      </c>
      <c r="AE88" s="42">
        <v>71.981800000000007</v>
      </c>
      <c r="AF88" s="42">
        <v>335.1422</v>
      </c>
      <c r="AG88" s="42">
        <v>287.99790000000002</v>
      </c>
      <c r="AH88" s="65">
        <v>0.1</v>
      </c>
      <c r="AI88" s="65">
        <v>80.686099999999996</v>
      </c>
      <c r="AJ88" s="42">
        <v>385.6105</v>
      </c>
      <c r="AK88" s="42">
        <v>1986848256</v>
      </c>
      <c r="AL88" s="42">
        <v>1935492096</v>
      </c>
      <c r="AM88" s="57">
        <v>0</v>
      </c>
      <c r="AN88" s="42">
        <v>471000</v>
      </c>
      <c r="AO88" s="33" t="s">
        <v>117</v>
      </c>
      <c r="AP88" s="33" t="s">
        <v>117</v>
      </c>
      <c r="AQ88" s="33" t="s">
        <v>117</v>
      </c>
      <c r="AR88" s="33" t="s">
        <v>117</v>
      </c>
      <c r="AS88" s="33" t="s">
        <v>117</v>
      </c>
      <c r="AT88" s="33" t="s">
        <v>117</v>
      </c>
      <c r="AU88" s="33" t="s">
        <v>117</v>
      </c>
      <c r="AV88" s="33" t="s">
        <v>117</v>
      </c>
      <c r="AW88" s="33" t="s">
        <v>117</v>
      </c>
      <c r="AX88" s="33" t="s">
        <v>117</v>
      </c>
      <c r="AY88" s="33" t="s">
        <v>117</v>
      </c>
      <c r="AZ88" s="33" t="s">
        <v>117</v>
      </c>
      <c r="BA88" s="42">
        <v>3</v>
      </c>
      <c r="BB88" s="42">
        <v>1</v>
      </c>
      <c r="BC88" s="42">
        <v>3</v>
      </c>
      <c r="BD88" s="42">
        <v>71.981800000000007</v>
      </c>
      <c r="BE88" s="42">
        <v>1</v>
      </c>
      <c r="BF88" s="42">
        <v>71.981800000000007</v>
      </c>
      <c r="BG88" s="42">
        <v>3</v>
      </c>
      <c r="BH88" s="42">
        <v>1986848256</v>
      </c>
      <c r="BI88" s="42">
        <v>0</v>
      </c>
      <c r="BJ88" s="42">
        <v>0</v>
      </c>
      <c r="BK88" s="42">
        <v>1</v>
      </c>
      <c r="BL88" s="42">
        <v>0</v>
      </c>
      <c r="BM88" s="46" t="s">
        <v>117</v>
      </c>
      <c r="BN88" s="33"/>
      <c r="BO88" s="34"/>
    </row>
    <row r="89" spans="1:67" x14ac:dyDescent="0.25">
      <c r="A89" s="32">
        <v>86</v>
      </c>
      <c r="B89" s="42" t="s">
        <v>220</v>
      </c>
      <c r="C89" s="42">
        <v>0</v>
      </c>
      <c r="D89" s="42">
        <v>0</v>
      </c>
      <c r="E89" s="42">
        <v>-52.558399999999999</v>
      </c>
      <c r="F89" s="42">
        <v>10</v>
      </c>
      <c r="G89" s="42">
        <v>0</v>
      </c>
      <c r="H89" s="42">
        <v>39.798200000000001</v>
      </c>
      <c r="I89" s="42">
        <v>2</v>
      </c>
      <c r="J89" s="42">
        <v>3</v>
      </c>
      <c r="K89" s="42">
        <v>4</v>
      </c>
      <c r="L89" s="42">
        <v>1</v>
      </c>
      <c r="M89" s="42">
        <v>360.91109999999998</v>
      </c>
      <c r="N89" s="42">
        <v>1</v>
      </c>
      <c r="O89" s="42">
        <v>815.19060000000002</v>
      </c>
      <c r="P89" s="42">
        <v>87.773799999999994</v>
      </c>
      <c r="Q89" s="42">
        <v>4.9099999999999998E-2</v>
      </c>
      <c r="R89" s="42">
        <v>1043.2655</v>
      </c>
      <c r="S89" s="42">
        <v>172.53829999999999</v>
      </c>
      <c r="T89" s="42">
        <v>119.0249</v>
      </c>
      <c r="U89" s="42">
        <v>3.9918</v>
      </c>
      <c r="V89" s="42">
        <v>0.47710000000000002</v>
      </c>
      <c r="W89" s="42">
        <v>0</v>
      </c>
      <c r="X89" s="42">
        <v>0.30980000000000002</v>
      </c>
      <c r="Y89" s="42">
        <v>0.41449999999999998</v>
      </c>
      <c r="Z89" s="42">
        <v>197.3083</v>
      </c>
      <c r="AA89" s="42">
        <v>179.40289999999999</v>
      </c>
      <c r="AB89" s="42">
        <v>4.6872999999999996</v>
      </c>
      <c r="AC89" s="42">
        <v>1</v>
      </c>
      <c r="AD89" s="42">
        <v>2</v>
      </c>
      <c r="AE89" s="42">
        <v>99.770099999999999</v>
      </c>
      <c r="AF89" s="42">
        <v>189.73750000000001</v>
      </c>
      <c r="AG89" s="42">
        <v>410.8424</v>
      </c>
      <c r="AH89" s="65">
        <v>500</v>
      </c>
      <c r="AI89" s="65">
        <v>60.694400000000002</v>
      </c>
      <c r="AJ89" s="42">
        <v>371.69529999999997</v>
      </c>
      <c r="AK89" s="42">
        <v>2607812864</v>
      </c>
      <c r="AL89" s="42">
        <v>1670838016</v>
      </c>
      <c r="AM89" s="57">
        <v>4294967295</v>
      </c>
      <c r="AN89" s="42">
        <v>476150</v>
      </c>
      <c r="AO89" s="33" t="s">
        <v>117</v>
      </c>
      <c r="AP89" s="33" t="s">
        <v>117</v>
      </c>
      <c r="AQ89" s="33" t="s">
        <v>117</v>
      </c>
      <c r="AR89" s="33" t="s">
        <v>117</v>
      </c>
      <c r="AS89" s="33" t="s">
        <v>117</v>
      </c>
      <c r="AT89" s="33" t="s">
        <v>117</v>
      </c>
      <c r="AU89" s="33" t="s">
        <v>117</v>
      </c>
      <c r="AV89" s="33" t="s">
        <v>117</v>
      </c>
      <c r="AW89" s="33" t="s">
        <v>117</v>
      </c>
      <c r="AX89" s="33" t="s">
        <v>117</v>
      </c>
      <c r="AY89" s="33" t="s">
        <v>117</v>
      </c>
      <c r="AZ89" s="33" t="s">
        <v>117</v>
      </c>
      <c r="BA89" s="42">
        <v>3</v>
      </c>
      <c r="BB89" s="42">
        <v>0.30980000000000002</v>
      </c>
      <c r="BC89" s="42">
        <v>3</v>
      </c>
      <c r="BD89" s="42">
        <v>99.770099999999999</v>
      </c>
      <c r="BE89" s="42">
        <v>0.30980000000000002</v>
      </c>
      <c r="BF89" s="42">
        <v>99.770099999999999</v>
      </c>
      <c r="BG89" s="42">
        <v>3</v>
      </c>
      <c r="BH89" s="42">
        <v>2607812864</v>
      </c>
      <c r="BI89" s="42">
        <v>4294967295</v>
      </c>
      <c r="BJ89" s="42">
        <v>4</v>
      </c>
      <c r="BK89" s="42">
        <v>1</v>
      </c>
      <c r="BL89" s="42">
        <v>0</v>
      </c>
      <c r="BM89" s="46" t="s">
        <v>117</v>
      </c>
      <c r="BN89" s="33"/>
      <c r="BO89" s="34"/>
    </row>
    <row r="90" spans="1:67" x14ac:dyDescent="0.25">
      <c r="A90" s="32">
        <v>87</v>
      </c>
      <c r="B90" s="42" t="s">
        <v>221</v>
      </c>
      <c r="C90" s="42">
        <v>0</v>
      </c>
      <c r="D90" s="42">
        <v>0</v>
      </c>
      <c r="E90" s="42">
        <v>76.555300000000003</v>
      </c>
      <c r="F90" s="42">
        <v>7.6313000000000004</v>
      </c>
      <c r="G90" s="42">
        <v>0</v>
      </c>
      <c r="H90" s="42">
        <v>75.455200000000005</v>
      </c>
      <c r="I90" s="42">
        <v>2</v>
      </c>
      <c r="J90" s="42">
        <v>5</v>
      </c>
      <c r="K90" s="42">
        <v>3</v>
      </c>
      <c r="L90" s="42">
        <v>0.85550000000000004</v>
      </c>
      <c r="M90" s="42">
        <v>134.47380000000001</v>
      </c>
      <c r="N90" s="42">
        <v>1</v>
      </c>
      <c r="O90" s="42">
        <v>14343.887000000001</v>
      </c>
      <c r="P90" s="42">
        <v>74.230500000000006</v>
      </c>
      <c r="Q90" s="42">
        <v>0.35489999999999999</v>
      </c>
      <c r="R90" s="42">
        <v>6205.3212000000003</v>
      </c>
      <c r="S90" s="42">
        <v>193.8922</v>
      </c>
      <c r="T90" s="42">
        <v>49.615900000000003</v>
      </c>
      <c r="U90" s="42">
        <v>2.7044000000000001</v>
      </c>
      <c r="V90" s="42">
        <v>0.10580000000000001</v>
      </c>
      <c r="W90" s="42">
        <v>0</v>
      </c>
      <c r="X90" s="42">
        <v>0.97760000000000002</v>
      </c>
      <c r="Y90" s="42">
        <v>36.059800000000003</v>
      </c>
      <c r="Z90" s="42">
        <v>32.749099999999999</v>
      </c>
      <c r="AA90" s="42">
        <v>244.15469999999999</v>
      </c>
      <c r="AB90" s="42">
        <v>9.8521999999999998</v>
      </c>
      <c r="AC90" s="42">
        <v>3</v>
      </c>
      <c r="AD90" s="42">
        <v>5</v>
      </c>
      <c r="AE90" s="42">
        <v>291.64940000000001</v>
      </c>
      <c r="AF90" s="42">
        <v>326.18810000000002</v>
      </c>
      <c r="AG90" s="42">
        <v>363.04509999999999</v>
      </c>
      <c r="AH90" s="65">
        <v>195.12379999999999</v>
      </c>
      <c r="AI90" s="65">
        <v>197.31479999999999</v>
      </c>
      <c r="AJ90" s="42">
        <v>32.476799999999997</v>
      </c>
      <c r="AK90" s="42">
        <v>2194837504</v>
      </c>
      <c r="AL90" s="42">
        <v>3447053824</v>
      </c>
      <c r="AM90" s="57">
        <v>125650</v>
      </c>
      <c r="AN90" s="42">
        <v>481300</v>
      </c>
      <c r="AO90" s="33" t="s">
        <v>117</v>
      </c>
      <c r="AP90" s="33" t="s">
        <v>117</v>
      </c>
      <c r="AQ90" s="33" t="s">
        <v>117</v>
      </c>
      <c r="AR90" s="33" t="s">
        <v>117</v>
      </c>
      <c r="AS90" s="33" t="s">
        <v>117</v>
      </c>
      <c r="AT90" s="33" t="s">
        <v>117</v>
      </c>
      <c r="AU90" s="33" t="s">
        <v>117</v>
      </c>
      <c r="AV90" s="33" t="s">
        <v>117</v>
      </c>
      <c r="AW90" s="33" t="s">
        <v>117</v>
      </c>
      <c r="AX90" s="33" t="s">
        <v>117</v>
      </c>
      <c r="AY90" s="33" t="s">
        <v>117</v>
      </c>
      <c r="AZ90" s="33" t="s">
        <v>117</v>
      </c>
      <c r="BA90" s="42">
        <v>3</v>
      </c>
      <c r="BB90" s="42">
        <v>0.97760000000000002</v>
      </c>
      <c r="BC90" s="42">
        <v>3</v>
      </c>
      <c r="BD90" s="42">
        <v>1</v>
      </c>
      <c r="BE90" s="42">
        <v>0.97760000000000002</v>
      </c>
      <c r="BF90" s="42">
        <v>1</v>
      </c>
      <c r="BG90" s="42">
        <v>3</v>
      </c>
      <c r="BH90" s="42">
        <v>2194837504</v>
      </c>
      <c r="BI90" s="42">
        <v>125650</v>
      </c>
      <c r="BJ90" s="42">
        <v>5</v>
      </c>
      <c r="BK90" s="42">
        <v>1</v>
      </c>
      <c r="BL90" s="42">
        <v>0</v>
      </c>
      <c r="BM90" s="46" t="s">
        <v>117</v>
      </c>
      <c r="BN90" s="33"/>
      <c r="BO90" s="34"/>
    </row>
    <row r="91" spans="1:67" x14ac:dyDescent="0.25">
      <c r="A91" s="32">
        <v>88</v>
      </c>
      <c r="B91" s="42" t="s">
        <v>222</v>
      </c>
      <c r="C91" s="42">
        <v>0</v>
      </c>
      <c r="D91" s="42">
        <v>2462.8128999999999</v>
      </c>
      <c r="E91" s="42">
        <v>22.696999999999999</v>
      </c>
      <c r="F91" s="42">
        <v>-1.4041999999999999</v>
      </c>
      <c r="G91" s="42">
        <v>0</v>
      </c>
      <c r="H91" s="42">
        <v>19.212599999999998</v>
      </c>
      <c r="I91" s="42">
        <v>1</v>
      </c>
      <c r="J91" s="42">
        <v>1</v>
      </c>
      <c r="K91" s="42">
        <v>2</v>
      </c>
      <c r="L91" s="42">
        <v>0.91920000000000002</v>
      </c>
      <c r="M91" s="42">
        <v>457.15719999999999</v>
      </c>
      <c r="N91" s="42">
        <v>1</v>
      </c>
      <c r="O91" s="42">
        <v>894.03989999999999</v>
      </c>
      <c r="P91" s="42">
        <v>197.78030000000001</v>
      </c>
      <c r="Q91" s="42">
        <v>0.45440000000000003</v>
      </c>
      <c r="R91" s="42">
        <v>566.60500000000002</v>
      </c>
      <c r="S91" s="42">
        <v>149.05459999999999</v>
      </c>
      <c r="T91" s="42">
        <v>44.207900000000002</v>
      </c>
      <c r="U91" s="42">
        <v>2.9028</v>
      </c>
      <c r="V91" s="42">
        <v>1</v>
      </c>
      <c r="W91" s="42">
        <v>109.6748</v>
      </c>
      <c r="X91" s="42">
        <v>1</v>
      </c>
      <c r="Y91" s="42">
        <v>82.413600000000002</v>
      </c>
      <c r="Z91" s="42">
        <v>13.6091</v>
      </c>
      <c r="AA91" s="42">
        <v>247.44829999999999</v>
      </c>
      <c r="AB91" s="42">
        <v>4.6317000000000004</v>
      </c>
      <c r="AC91" s="42">
        <v>1</v>
      </c>
      <c r="AD91" s="42">
        <v>1</v>
      </c>
      <c r="AE91" s="42">
        <v>236.44739999999999</v>
      </c>
      <c r="AF91" s="42">
        <v>409.14550000000003</v>
      </c>
      <c r="AG91" s="42">
        <v>389.49709999999999</v>
      </c>
      <c r="AH91" s="65">
        <v>67.269300000000001</v>
      </c>
      <c r="AI91" s="65">
        <v>0.1</v>
      </c>
      <c r="AJ91" s="42">
        <v>283.34320000000002</v>
      </c>
      <c r="AK91" s="42">
        <v>2036798208</v>
      </c>
      <c r="AL91" s="42">
        <v>271919360</v>
      </c>
      <c r="AM91" s="42">
        <v>127000</v>
      </c>
      <c r="AN91" s="57">
        <v>0</v>
      </c>
      <c r="AO91" s="33" t="s">
        <v>117</v>
      </c>
      <c r="AP91" s="33" t="s">
        <v>117</v>
      </c>
      <c r="AQ91" s="33" t="s">
        <v>117</v>
      </c>
      <c r="AR91" s="33" t="s">
        <v>117</v>
      </c>
      <c r="AS91" s="33" t="s">
        <v>117</v>
      </c>
      <c r="AT91" s="33" t="s">
        <v>117</v>
      </c>
      <c r="AU91" s="33" t="s">
        <v>117</v>
      </c>
      <c r="AV91" s="33" t="s">
        <v>117</v>
      </c>
      <c r="AW91" s="33" t="s">
        <v>117</v>
      </c>
      <c r="AX91" s="33" t="s">
        <v>117</v>
      </c>
      <c r="AY91" s="33" t="s">
        <v>117</v>
      </c>
      <c r="AZ91" s="33" t="s">
        <v>117</v>
      </c>
      <c r="BA91" s="42">
        <v>0</v>
      </c>
      <c r="BB91" s="42">
        <v>1</v>
      </c>
      <c r="BC91" s="42">
        <v>0</v>
      </c>
      <c r="BD91" s="42">
        <v>409.14550000000003</v>
      </c>
      <c r="BE91" s="42">
        <v>1</v>
      </c>
      <c r="BF91" s="42">
        <v>409.14550000000003</v>
      </c>
      <c r="BG91" s="42">
        <v>0</v>
      </c>
      <c r="BH91" s="42">
        <v>2036798208</v>
      </c>
      <c r="BI91" s="42">
        <v>271919360</v>
      </c>
      <c r="BJ91" s="42">
        <v>1</v>
      </c>
      <c r="BK91" s="42">
        <v>0</v>
      </c>
      <c r="BL91" s="42">
        <v>1</v>
      </c>
      <c r="BM91" s="46" t="s">
        <v>117</v>
      </c>
      <c r="BN91" s="33"/>
      <c r="BO91" s="34"/>
    </row>
    <row r="92" spans="1:67" x14ac:dyDescent="0.25">
      <c r="A92" s="32">
        <v>89</v>
      </c>
      <c r="B92" s="42" t="s">
        <v>223</v>
      </c>
      <c r="C92" s="42">
        <v>0</v>
      </c>
      <c r="D92" s="42">
        <v>8680.9871999999996</v>
      </c>
      <c r="E92" s="42">
        <v>-24.739100000000001</v>
      </c>
      <c r="F92" s="42">
        <v>6.9108000000000001</v>
      </c>
      <c r="G92" s="42">
        <v>0</v>
      </c>
      <c r="H92" s="42">
        <v>123.6926</v>
      </c>
      <c r="I92" s="42">
        <v>3</v>
      </c>
      <c r="J92" s="42">
        <v>2</v>
      </c>
      <c r="K92" s="42">
        <v>3</v>
      </c>
      <c r="L92" s="42">
        <v>0.92090000000000005</v>
      </c>
      <c r="M92" s="42">
        <v>26.785799999999998</v>
      </c>
      <c r="N92" s="42">
        <v>1</v>
      </c>
      <c r="O92" s="42">
        <v>7965.058</v>
      </c>
      <c r="P92" s="42">
        <v>68.308999999999997</v>
      </c>
      <c r="Q92" s="42">
        <v>0.97809999999999997</v>
      </c>
      <c r="R92" s="42">
        <v>11493.4792</v>
      </c>
      <c r="S92" s="42">
        <v>12.332800000000001</v>
      </c>
      <c r="T92" s="42">
        <v>58.1492</v>
      </c>
      <c r="U92" s="42">
        <v>1.6113999999999999</v>
      </c>
      <c r="V92" s="42">
        <v>1</v>
      </c>
      <c r="W92" s="42">
        <v>85.620199999999997</v>
      </c>
      <c r="X92" s="42">
        <v>0.63490000000000002</v>
      </c>
      <c r="Y92" s="42">
        <v>73.921300000000002</v>
      </c>
      <c r="Z92" s="42">
        <v>89.418899999999994</v>
      </c>
      <c r="AA92" s="42">
        <v>131.23269999999999</v>
      </c>
      <c r="AB92" s="42">
        <v>5.2830000000000004</v>
      </c>
      <c r="AC92" s="42">
        <v>0</v>
      </c>
      <c r="AD92" s="42">
        <v>4</v>
      </c>
      <c r="AE92" s="42">
        <v>312.1395</v>
      </c>
      <c r="AF92" s="42">
        <v>405.18970000000002</v>
      </c>
      <c r="AG92" s="42">
        <v>128.7544</v>
      </c>
      <c r="AH92" s="65">
        <v>75.722499999999997</v>
      </c>
      <c r="AI92" s="65">
        <v>500</v>
      </c>
      <c r="AJ92" s="42">
        <v>46.655099999999997</v>
      </c>
      <c r="AK92" s="42">
        <v>2138409472</v>
      </c>
      <c r="AL92" s="42">
        <v>920864768</v>
      </c>
      <c r="AM92" s="42">
        <v>128350</v>
      </c>
      <c r="AN92" s="57">
        <v>4294967295</v>
      </c>
      <c r="AO92" s="33" t="s">
        <v>117</v>
      </c>
      <c r="AP92" s="33" t="s">
        <v>117</v>
      </c>
      <c r="AQ92" s="33" t="s">
        <v>117</v>
      </c>
      <c r="AR92" s="33" t="s">
        <v>117</v>
      </c>
      <c r="AS92" s="33" t="s">
        <v>117</v>
      </c>
      <c r="AT92" s="33" t="s">
        <v>117</v>
      </c>
      <c r="AU92" s="33" t="s">
        <v>117</v>
      </c>
      <c r="AV92" s="33" t="s">
        <v>117</v>
      </c>
      <c r="AW92" s="33" t="s">
        <v>117</v>
      </c>
      <c r="AX92" s="33" t="s">
        <v>117</v>
      </c>
      <c r="AY92" s="33" t="s">
        <v>117</v>
      </c>
      <c r="AZ92" s="33" t="s">
        <v>117</v>
      </c>
      <c r="BA92" s="42">
        <v>0</v>
      </c>
      <c r="BB92" s="42">
        <v>1</v>
      </c>
      <c r="BC92" s="42">
        <v>0</v>
      </c>
      <c r="BD92" s="42">
        <v>405.18970000000002</v>
      </c>
      <c r="BE92" s="42">
        <v>1</v>
      </c>
      <c r="BF92" s="42">
        <v>405.18970000000002</v>
      </c>
      <c r="BG92" s="42">
        <v>0</v>
      </c>
      <c r="BH92" s="42">
        <v>2138409472</v>
      </c>
      <c r="BI92" s="42">
        <v>920864768</v>
      </c>
      <c r="BJ92" s="42">
        <v>2</v>
      </c>
      <c r="BK92" s="42">
        <v>0</v>
      </c>
      <c r="BL92" s="42">
        <v>1</v>
      </c>
      <c r="BM92" s="46" t="s">
        <v>117</v>
      </c>
      <c r="BN92" s="33"/>
      <c r="BO92" s="34"/>
    </row>
    <row r="93" spans="1:67" ht="15.75" thickBot="1" x14ac:dyDescent="0.3">
      <c r="A93" s="35">
        <v>90</v>
      </c>
      <c r="B93" s="43" t="s">
        <v>224</v>
      </c>
      <c r="C93" s="43">
        <v>0</v>
      </c>
      <c r="D93" s="43">
        <v>3658.0882999999999</v>
      </c>
      <c r="E93" s="43">
        <v>-21.710100000000001</v>
      </c>
      <c r="F93" s="43">
        <v>10</v>
      </c>
      <c r="G93" s="43">
        <v>0</v>
      </c>
      <c r="H93" s="43">
        <v>141.18369999999999</v>
      </c>
      <c r="I93" s="43">
        <v>1</v>
      </c>
      <c r="J93" s="43">
        <v>5</v>
      </c>
      <c r="K93" s="43">
        <v>3</v>
      </c>
      <c r="L93" s="43">
        <v>1</v>
      </c>
      <c r="M93" s="43">
        <v>299.68259999999998</v>
      </c>
      <c r="N93" s="43">
        <v>1</v>
      </c>
      <c r="O93" s="43">
        <v>7735.9645</v>
      </c>
      <c r="P93" s="43">
        <v>72.376499999999993</v>
      </c>
      <c r="Q93" s="43">
        <v>1</v>
      </c>
      <c r="R93" s="43">
        <v>7945.1947</v>
      </c>
      <c r="S93" s="43">
        <v>67.889700000000005</v>
      </c>
      <c r="T93" s="43">
        <v>195.73589999999999</v>
      </c>
      <c r="U93" s="43">
        <v>9.6367999999999991</v>
      </c>
      <c r="V93" s="43">
        <v>0.37040000000000001</v>
      </c>
      <c r="W93" s="43">
        <v>83.083600000000004</v>
      </c>
      <c r="X93" s="43">
        <v>0.14510000000000001</v>
      </c>
      <c r="Y93" s="43">
        <v>147.3785</v>
      </c>
      <c r="Z93" s="43">
        <v>146.0077</v>
      </c>
      <c r="AA93" s="43">
        <v>92.946700000000007</v>
      </c>
      <c r="AB93" s="43">
        <v>0.92210000000000003</v>
      </c>
      <c r="AC93" s="43">
        <v>5</v>
      </c>
      <c r="AD93" s="43">
        <v>4</v>
      </c>
      <c r="AE93" s="43">
        <v>448.72340000000003</v>
      </c>
      <c r="AF93" s="43">
        <v>26.6768</v>
      </c>
      <c r="AG93" s="43">
        <v>46.361400000000003</v>
      </c>
      <c r="AH93" s="66">
        <v>447.041</v>
      </c>
      <c r="AI93" s="66">
        <v>166.38839999999999</v>
      </c>
      <c r="AJ93" s="43">
        <v>54.254899999999999</v>
      </c>
      <c r="AK93" s="43">
        <v>3756401920</v>
      </c>
      <c r="AL93" s="43">
        <v>2786388736</v>
      </c>
      <c r="AM93" s="43">
        <v>129700</v>
      </c>
      <c r="AN93" s="58">
        <v>496750</v>
      </c>
      <c r="AO93" s="36" t="s">
        <v>117</v>
      </c>
      <c r="AP93" s="36" t="s">
        <v>117</v>
      </c>
      <c r="AQ93" s="36" t="s">
        <v>117</v>
      </c>
      <c r="AR93" s="36" t="s">
        <v>117</v>
      </c>
      <c r="AS93" s="36" t="s">
        <v>117</v>
      </c>
      <c r="AT93" s="36" t="s">
        <v>117</v>
      </c>
      <c r="AU93" s="36" t="s">
        <v>117</v>
      </c>
      <c r="AV93" s="36" t="s">
        <v>117</v>
      </c>
      <c r="AW93" s="36" t="s">
        <v>117</v>
      </c>
      <c r="AX93" s="36" t="s">
        <v>117</v>
      </c>
      <c r="AY93" s="36" t="s">
        <v>117</v>
      </c>
      <c r="AZ93" s="36" t="s">
        <v>117</v>
      </c>
      <c r="BA93" s="43">
        <v>1</v>
      </c>
      <c r="BB93" s="43">
        <v>1</v>
      </c>
      <c r="BC93" s="43">
        <v>1</v>
      </c>
      <c r="BD93" s="43">
        <v>1</v>
      </c>
      <c r="BE93" s="43">
        <v>1</v>
      </c>
      <c r="BF93" s="43">
        <v>1</v>
      </c>
      <c r="BG93" s="43">
        <v>1</v>
      </c>
      <c r="BH93" s="43">
        <v>3756401920</v>
      </c>
      <c r="BI93" s="43">
        <v>2786388736</v>
      </c>
      <c r="BJ93" s="43">
        <v>5</v>
      </c>
      <c r="BK93" s="43">
        <v>0</v>
      </c>
      <c r="BL93" s="43">
        <v>1</v>
      </c>
      <c r="BM93" s="47" t="s">
        <v>117</v>
      </c>
      <c r="BN93" s="36"/>
      <c r="BO93" s="37"/>
    </row>
    <row r="94" spans="1:67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</row>
    <row r="95" spans="1:67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</row>
    <row r="96" spans="1:67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</row>
    <row r="97" spans="1:67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</row>
    <row r="98" spans="1:67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</row>
    <row r="99" spans="1:67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</row>
    <row r="100" spans="1:67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</row>
    <row r="101" spans="1:67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</row>
    <row r="102" spans="1:67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</row>
    <row r="103" spans="1:67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</row>
  </sheetData>
  <sheetProtection sheet="1" objects="1" scenarios="1"/>
  <mergeCells count="2">
    <mergeCell ref="A1:B1"/>
    <mergeCell ref="A2:B2"/>
  </mergeCells>
  <hyperlinks>
    <hyperlink ref="A1" location="'StrtStop_Per1'!A1" display="'StrtStop_Per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11" bestFit="1" customWidth="1"/>
    <col min="5" max="5" width="8.7109375" bestFit="1" customWidth="1"/>
    <col min="6" max="6" width="7.7109375" bestFit="1" customWidth="1"/>
    <col min="7" max="7" width="3.28515625" bestFit="1" customWidth="1"/>
    <col min="8" max="8" width="9" bestFit="1" customWidth="1"/>
    <col min="9" max="11" width="3.28515625" bestFit="1" customWidth="1"/>
    <col min="12" max="12" width="7" bestFit="1" customWidth="1"/>
    <col min="13" max="13" width="9" bestFit="1" customWidth="1"/>
    <col min="14" max="14" width="3.28515625" bestFit="1" customWidth="1"/>
    <col min="15" max="15" width="11" bestFit="1" customWidth="1"/>
    <col min="16" max="16" width="9" bestFit="1" customWidth="1"/>
    <col min="17" max="17" width="7" bestFit="1" customWidth="1"/>
    <col min="18" max="18" width="11" bestFit="1" customWidth="1"/>
    <col min="19" max="20" width="9" bestFit="1" customWidth="1"/>
    <col min="21" max="22" width="7" bestFit="1" customWidth="1"/>
    <col min="23" max="23" width="9" bestFit="1" customWidth="1"/>
    <col min="24" max="24" width="6" bestFit="1" customWidth="1"/>
    <col min="25" max="26" width="8" bestFit="1" customWidth="1"/>
    <col min="27" max="27" width="9" bestFit="1" customWidth="1"/>
    <col min="28" max="28" width="7" bestFit="1" customWidth="1"/>
    <col min="29" max="30" width="3.28515625" bestFit="1" customWidth="1"/>
    <col min="31" max="36" width="9" bestFit="1" customWidth="1"/>
    <col min="37" max="37" width="11" bestFit="1" customWidth="1"/>
    <col min="38" max="38" width="10" bestFit="1" customWidth="1"/>
    <col min="39" max="39" width="6" bestFit="1" customWidth="1"/>
    <col min="40" max="40" width="7" bestFit="1" customWidth="1"/>
    <col min="41" max="50" width="3.28515625" bestFit="1" customWidth="1"/>
    <col min="51" max="53" width="5.7109375" bestFit="1" customWidth="1"/>
    <col min="54" max="54" width="7" bestFit="1" customWidth="1"/>
    <col min="55" max="55" width="5.7109375" bestFit="1" customWidth="1"/>
    <col min="56" max="56" width="9" bestFit="1" customWidth="1"/>
    <col min="57" max="57" width="7" bestFit="1" customWidth="1"/>
    <col min="58" max="58" width="9" bestFit="1" customWidth="1"/>
    <col min="59" max="59" width="5.7109375" bestFit="1" customWidth="1"/>
    <col min="60" max="60" width="11" bestFit="1" customWidth="1"/>
    <col min="61" max="61" width="10" bestFit="1" customWidth="1"/>
    <col min="62" max="64" width="5.7109375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59" t="s">
        <v>53</v>
      </c>
      <c r="B1" s="160"/>
      <c r="C1" s="41" t="s">
        <v>118</v>
      </c>
      <c r="D1" s="59" t="s">
        <v>117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39"/>
      <c r="BN1" s="39"/>
      <c r="BO1" s="40"/>
    </row>
    <row r="2" spans="1:67" ht="60" customHeight="1" x14ac:dyDescent="0.25">
      <c r="A2" s="161" t="s">
        <v>103</v>
      </c>
      <c r="B2" s="162"/>
      <c r="C2" s="44" t="s">
        <v>110</v>
      </c>
      <c r="D2" s="44" t="s">
        <v>110</v>
      </c>
      <c r="E2" s="44" t="s">
        <v>110</v>
      </c>
      <c r="F2" s="44" t="s">
        <v>110</v>
      </c>
      <c r="G2" s="44" t="s">
        <v>110</v>
      </c>
      <c r="H2" s="44" t="s">
        <v>110</v>
      </c>
      <c r="I2" s="44" t="s">
        <v>110</v>
      </c>
      <c r="J2" s="44" t="s">
        <v>110</v>
      </c>
      <c r="K2" s="44" t="s">
        <v>110</v>
      </c>
      <c r="L2" s="44" t="s">
        <v>110</v>
      </c>
      <c r="M2" s="44" t="s">
        <v>110</v>
      </c>
      <c r="N2" s="44" t="s">
        <v>110</v>
      </c>
      <c r="O2" s="44" t="s">
        <v>110</v>
      </c>
      <c r="P2" s="44" t="s">
        <v>110</v>
      </c>
      <c r="Q2" s="44" t="s">
        <v>110</v>
      </c>
      <c r="R2" s="44" t="s">
        <v>110</v>
      </c>
      <c r="S2" s="44" t="s">
        <v>110</v>
      </c>
      <c r="T2" s="44" t="s">
        <v>110</v>
      </c>
      <c r="U2" s="44" t="s">
        <v>110</v>
      </c>
      <c r="V2" s="44" t="s">
        <v>110</v>
      </c>
      <c r="W2" s="44" t="s">
        <v>110</v>
      </c>
      <c r="X2" s="44" t="s">
        <v>110</v>
      </c>
      <c r="Y2" s="44" t="s">
        <v>110</v>
      </c>
      <c r="Z2" s="44" t="s">
        <v>110</v>
      </c>
      <c r="AA2" s="44" t="s">
        <v>110</v>
      </c>
      <c r="AB2" s="44" t="s">
        <v>110</v>
      </c>
      <c r="AC2" s="44" t="s">
        <v>110</v>
      </c>
      <c r="AD2" s="44" t="s">
        <v>110</v>
      </c>
      <c r="AE2" s="44" t="s">
        <v>110</v>
      </c>
      <c r="AF2" s="44" t="s">
        <v>110</v>
      </c>
      <c r="AG2" s="44" t="s">
        <v>110</v>
      </c>
      <c r="AH2" s="44" t="s">
        <v>110</v>
      </c>
      <c r="AI2" s="44" t="s">
        <v>110</v>
      </c>
      <c r="AJ2" s="44" t="s">
        <v>110</v>
      </c>
      <c r="AK2" s="44" t="s">
        <v>110</v>
      </c>
      <c r="AL2" s="44" t="s">
        <v>110</v>
      </c>
      <c r="AM2" s="64" t="s">
        <v>162</v>
      </c>
      <c r="AN2" s="64" t="s">
        <v>162</v>
      </c>
      <c r="AO2" s="45" t="s">
        <v>147</v>
      </c>
      <c r="AP2" s="63" t="s">
        <v>147</v>
      </c>
      <c r="AQ2" s="63" t="s">
        <v>147</v>
      </c>
      <c r="AR2" s="63" t="s">
        <v>147</v>
      </c>
      <c r="AS2" s="63" t="s">
        <v>147</v>
      </c>
      <c r="AT2" s="63" t="s">
        <v>147</v>
      </c>
      <c r="AU2" s="63" t="s">
        <v>147</v>
      </c>
      <c r="AV2" s="63" t="s">
        <v>147</v>
      </c>
      <c r="AW2" s="63" t="s">
        <v>147</v>
      </c>
      <c r="AX2" s="63" t="s">
        <v>147</v>
      </c>
      <c r="AY2" s="63" t="s">
        <v>163</v>
      </c>
      <c r="AZ2" s="63" t="s">
        <v>163</v>
      </c>
      <c r="BA2" s="24" t="s">
        <v>148</v>
      </c>
      <c r="BB2" s="24" t="s">
        <v>148</v>
      </c>
      <c r="BC2" s="24" t="s">
        <v>148</v>
      </c>
      <c r="BD2" s="24" t="s">
        <v>148</v>
      </c>
      <c r="BE2" s="24" t="s">
        <v>148</v>
      </c>
      <c r="BF2" s="24" t="s">
        <v>148</v>
      </c>
      <c r="BG2" s="24" t="s">
        <v>148</v>
      </c>
      <c r="BH2" s="24" t="s">
        <v>148</v>
      </c>
      <c r="BI2" s="24" t="s">
        <v>148</v>
      </c>
      <c r="BJ2" s="24" t="s">
        <v>148</v>
      </c>
      <c r="BK2" s="24" t="s">
        <v>164</v>
      </c>
      <c r="BL2" s="24" t="s">
        <v>164</v>
      </c>
      <c r="BM2" s="25" t="s">
        <v>24</v>
      </c>
      <c r="BN2" s="25" t="s">
        <v>114</v>
      </c>
      <c r="BO2" s="26" t="s">
        <v>116</v>
      </c>
    </row>
    <row r="3" spans="1:67" ht="234.75" x14ac:dyDescent="0.25">
      <c r="A3" s="27" t="s">
        <v>108</v>
      </c>
      <c r="B3" s="28" t="s">
        <v>109</v>
      </c>
      <c r="C3" s="29" t="s">
        <v>68</v>
      </c>
      <c r="D3" s="29" t="s">
        <v>70</v>
      </c>
      <c r="E3" s="29" t="s">
        <v>71</v>
      </c>
      <c r="F3" s="29" t="s">
        <v>72</v>
      </c>
      <c r="G3" s="29" t="s">
        <v>73</v>
      </c>
      <c r="H3" s="29" t="s">
        <v>74</v>
      </c>
      <c r="I3" s="29" t="s">
        <v>58</v>
      </c>
      <c r="J3" s="29" t="s">
        <v>60</v>
      </c>
      <c r="K3" s="29" t="s">
        <v>61</v>
      </c>
      <c r="L3" s="29" t="s">
        <v>66</v>
      </c>
      <c r="M3" s="29" t="s">
        <v>65</v>
      </c>
      <c r="N3" s="29" t="s">
        <v>79</v>
      </c>
      <c r="O3" s="29" t="s">
        <v>80</v>
      </c>
      <c r="P3" s="29" t="s">
        <v>81</v>
      </c>
      <c r="Q3" s="29" t="s">
        <v>82</v>
      </c>
      <c r="R3" s="29" t="s">
        <v>83</v>
      </c>
      <c r="S3" s="29" t="s">
        <v>86</v>
      </c>
      <c r="T3" s="29" t="s">
        <v>87</v>
      </c>
      <c r="U3" s="29" t="s">
        <v>88</v>
      </c>
      <c r="V3" s="29" t="s">
        <v>89</v>
      </c>
      <c r="W3" s="29" t="s">
        <v>90</v>
      </c>
      <c r="X3" s="29" t="s">
        <v>91</v>
      </c>
      <c r="Y3" s="29" t="s">
        <v>92</v>
      </c>
      <c r="Z3" s="29" t="s">
        <v>93</v>
      </c>
      <c r="AA3" s="29" t="s">
        <v>94</v>
      </c>
      <c r="AB3" s="29" t="s">
        <v>95</v>
      </c>
      <c r="AC3" s="29" t="s">
        <v>96</v>
      </c>
      <c r="AD3" s="29" t="s">
        <v>106</v>
      </c>
      <c r="AE3" s="29" t="s">
        <v>98</v>
      </c>
      <c r="AF3" s="29" t="s">
        <v>99</v>
      </c>
      <c r="AG3" s="29" t="s">
        <v>100</v>
      </c>
      <c r="AH3" s="29" t="s">
        <v>101</v>
      </c>
      <c r="AI3" s="29" t="s">
        <v>102</v>
      </c>
      <c r="AJ3" s="29" t="s">
        <v>97</v>
      </c>
      <c r="AK3" s="29" t="s">
        <v>62</v>
      </c>
      <c r="AL3" s="29" t="s">
        <v>64</v>
      </c>
      <c r="AM3" s="29" t="s">
        <v>85</v>
      </c>
      <c r="AN3" s="29" t="s">
        <v>84</v>
      </c>
      <c r="AO3" s="30" t="s">
        <v>58</v>
      </c>
      <c r="AP3" s="30" t="s">
        <v>66</v>
      </c>
      <c r="AQ3" s="30" t="s">
        <v>60</v>
      </c>
      <c r="AR3" s="30" t="s">
        <v>65</v>
      </c>
      <c r="AS3" s="30" t="s">
        <v>76</v>
      </c>
      <c r="AT3" s="30" t="s">
        <v>77</v>
      </c>
      <c r="AU3" s="30" t="s">
        <v>78</v>
      </c>
      <c r="AV3" s="30" t="s">
        <v>62</v>
      </c>
      <c r="AW3" s="30" t="s">
        <v>64</v>
      </c>
      <c r="AX3" s="30" t="s">
        <v>61</v>
      </c>
      <c r="AY3" s="30" t="s">
        <v>85</v>
      </c>
      <c r="AZ3" s="30" t="s">
        <v>84</v>
      </c>
      <c r="BA3" s="31" t="s">
        <v>58</v>
      </c>
      <c r="BB3" s="31" t="s">
        <v>66</v>
      </c>
      <c r="BC3" s="31" t="s">
        <v>60</v>
      </c>
      <c r="BD3" s="31" t="s">
        <v>65</v>
      </c>
      <c r="BE3" s="31" t="s">
        <v>76</v>
      </c>
      <c r="BF3" s="31" t="s">
        <v>77</v>
      </c>
      <c r="BG3" s="31" t="s">
        <v>78</v>
      </c>
      <c r="BH3" s="31" t="s">
        <v>62</v>
      </c>
      <c r="BI3" s="31" t="s">
        <v>64</v>
      </c>
      <c r="BJ3" s="31" t="s">
        <v>61</v>
      </c>
      <c r="BK3" s="31" t="s">
        <v>85</v>
      </c>
      <c r="BL3" s="31" t="s">
        <v>84</v>
      </c>
      <c r="BM3" s="25" t="s">
        <v>113</v>
      </c>
      <c r="BN3" s="25" t="s">
        <v>115</v>
      </c>
      <c r="BO3" s="26"/>
    </row>
    <row r="4" spans="1:67" s="74" customFormat="1" ht="15" customHeight="1" x14ac:dyDescent="0.25">
      <c r="A4" s="69">
        <v>1</v>
      </c>
      <c r="B4" s="70" t="s">
        <v>275</v>
      </c>
      <c r="C4" s="65">
        <v>2</v>
      </c>
      <c r="D4" s="65">
        <v>12299.830599999999</v>
      </c>
      <c r="E4" s="65">
        <v>-30.085599999999999</v>
      </c>
      <c r="F4" s="65">
        <v>-7.6599000000000004</v>
      </c>
      <c r="G4" s="65">
        <v>1</v>
      </c>
      <c r="H4" s="65">
        <v>130.20689999999999</v>
      </c>
      <c r="I4" s="65">
        <v>5</v>
      </c>
      <c r="J4" s="65">
        <v>0</v>
      </c>
      <c r="K4" s="65">
        <v>5</v>
      </c>
      <c r="L4" s="65">
        <v>1</v>
      </c>
      <c r="M4" s="65">
        <v>500</v>
      </c>
      <c r="N4" s="65">
        <v>0</v>
      </c>
      <c r="O4" s="65">
        <v>14888.3495</v>
      </c>
      <c r="P4" s="65">
        <v>114.8984</v>
      </c>
      <c r="Q4" s="65">
        <v>1</v>
      </c>
      <c r="R4" s="65">
        <v>2025.0672999999999</v>
      </c>
      <c r="S4" s="65">
        <v>174.48949999999999</v>
      </c>
      <c r="T4" s="65">
        <v>192.1046</v>
      </c>
      <c r="U4" s="65">
        <v>4.3932000000000002</v>
      </c>
      <c r="V4" s="65">
        <v>1</v>
      </c>
      <c r="W4" s="65">
        <v>144.09719999999999</v>
      </c>
      <c r="X4" s="65">
        <v>1</v>
      </c>
      <c r="Y4" s="65">
        <v>8.2533999999999992</v>
      </c>
      <c r="Z4" s="65">
        <v>7.4269999999999996</v>
      </c>
      <c r="AA4" s="65">
        <v>144.00040000000001</v>
      </c>
      <c r="AB4" s="65">
        <v>6.8181000000000003</v>
      </c>
      <c r="AC4" s="65">
        <v>4</v>
      </c>
      <c r="AD4" s="65">
        <v>0</v>
      </c>
      <c r="AE4" s="65">
        <v>130.4845</v>
      </c>
      <c r="AF4" s="65">
        <v>208.63489999999999</v>
      </c>
      <c r="AG4" s="65">
        <v>261.5883</v>
      </c>
      <c r="AH4" s="65">
        <v>264.45490000000001</v>
      </c>
      <c r="AI4" s="65">
        <v>401.61369999999999</v>
      </c>
      <c r="AJ4" s="65">
        <v>340.55410000000001</v>
      </c>
      <c r="AK4" s="65">
        <v>3376435200</v>
      </c>
      <c r="AL4" s="65">
        <v>390962688</v>
      </c>
      <c r="AM4" s="65">
        <v>40600</v>
      </c>
      <c r="AN4" s="65">
        <v>156850</v>
      </c>
      <c r="AO4" s="71" t="s">
        <v>117</v>
      </c>
      <c r="AP4" s="71" t="s">
        <v>117</v>
      </c>
      <c r="AQ4" s="71" t="s">
        <v>117</v>
      </c>
      <c r="AR4" s="71" t="s">
        <v>117</v>
      </c>
      <c r="AS4" s="71" t="s">
        <v>117</v>
      </c>
      <c r="AT4" s="71" t="s">
        <v>117</v>
      </c>
      <c r="AU4" s="71" t="s">
        <v>117</v>
      </c>
      <c r="AV4" s="71" t="s">
        <v>117</v>
      </c>
      <c r="AW4" s="71" t="s">
        <v>117</v>
      </c>
      <c r="AX4" s="71" t="s">
        <v>117</v>
      </c>
      <c r="AY4" s="71" t="s">
        <v>117</v>
      </c>
      <c r="AZ4" s="71" t="s">
        <v>117</v>
      </c>
      <c r="BA4" s="65">
        <v>5</v>
      </c>
      <c r="BB4" s="65">
        <v>1</v>
      </c>
      <c r="BC4" s="65">
        <v>5</v>
      </c>
      <c r="BD4" s="65">
        <v>500</v>
      </c>
      <c r="BE4" s="65">
        <v>1</v>
      </c>
      <c r="BF4" s="65">
        <v>500</v>
      </c>
      <c r="BG4" s="65">
        <v>5</v>
      </c>
      <c r="BH4" s="65">
        <v>3376435200</v>
      </c>
      <c r="BI4" s="65">
        <v>390962688</v>
      </c>
      <c r="BJ4" s="65">
        <v>0</v>
      </c>
      <c r="BK4" s="65">
        <v>0</v>
      </c>
      <c r="BL4" s="65">
        <v>0</v>
      </c>
      <c r="BM4" s="72" t="s">
        <v>117</v>
      </c>
      <c r="BN4" s="71">
        <v>303</v>
      </c>
      <c r="BO4" s="73"/>
    </row>
    <row r="5" spans="1:67" s="74" customFormat="1" ht="15" customHeight="1" thickBot="1" x14ac:dyDescent="0.3">
      <c r="A5" s="75">
        <v>2</v>
      </c>
      <c r="B5" s="79" t="s">
        <v>351</v>
      </c>
      <c r="C5" s="66">
        <v>0</v>
      </c>
      <c r="D5" s="66">
        <v>12368.9841</v>
      </c>
      <c r="E5" s="66">
        <v>82.75</v>
      </c>
      <c r="F5" s="66">
        <v>4.5429000000000004</v>
      </c>
      <c r="G5" s="66">
        <v>0</v>
      </c>
      <c r="H5" s="66">
        <v>61.6325</v>
      </c>
      <c r="I5" s="66">
        <v>1</v>
      </c>
      <c r="J5" s="66">
        <v>4</v>
      </c>
      <c r="K5" s="66">
        <v>0</v>
      </c>
      <c r="L5" s="66">
        <v>0.58919999999999995</v>
      </c>
      <c r="M5" s="66">
        <v>427.79629999999997</v>
      </c>
      <c r="N5" s="66">
        <v>1</v>
      </c>
      <c r="O5" s="66">
        <v>4540.3543</v>
      </c>
      <c r="P5" s="66">
        <v>67.822299999999998</v>
      </c>
      <c r="Q5" s="66">
        <v>0.91439999999999999</v>
      </c>
      <c r="R5" s="66">
        <v>15574.744199999999</v>
      </c>
      <c r="S5" s="66">
        <v>200</v>
      </c>
      <c r="T5" s="66">
        <v>189.989</v>
      </c>
      <c r="U5" s="66">
        <v>8.4001999999999999</v>
      </c>
      <c r="V5" s="66">
        <v>0.4929</v>
      </c>
      <c r="W5" s="66">
        <v>83.098600000000005</v>
      </c>
      <c r="X5" s="66">
        <v>0.157</v>
      </c>
      <c r="Y5" s="66">
        <v>142.53899999999999</v>
      </c>
      <c r="Z5" s="66">
        <v>50.505499999999998</v>
      </c>
      <c r="AA5" s="66">
        <v>171.2474</v>
      </c>
      <c r="AB5" s="66">
        <v>5.8152999999999997</v>
      </c>
      <c r="AC5" s="66">
        <v>4</v>
      </c>
      <c r="AD5" s="66">
        <v>0</v>
      </c>
      <c r="AE5" s="66">
        <v>398.39839999999998</v>
      </c>
      <c r="AF5" s="66">
        <v>270.61950000000002</v>
      </c>
      <c r="AG5" s="66">
        <v>324.30239999999998</v>
      </c>
      <c r="AH5" s="66">
        <v>455.52719999999999</v>
      </c>
      <c r="AI5" s="66">
        <v>473.45650000000001</v>
      </c>
      <c r="AJ5" s="66">
        <v>123.5703</v>
      </c>
      <c r="AK5" s="66">
        <v>1720474112</v>
      </c>
      <c r="AL5" s="66">
        <v>884316160</v>
      </c>
      <c r="AM5" s="66">
        <v>200</v>
      </c>
      <c r="AN5" s="66">
        <v>0</v>
      </c>
      <c r="AO5" s="76" t="s">
        <v>117</v>
      </c>
      <c r="AP5" s="76" t="s">
        <v>117</v>
      </c>
      <c r="AQ5" s="76" t="s">
        <v>117</v>
      </c>
      <c r="AR5" s="76" t="s">
        <v>117</v>
      </c>
      <c r="AS5" s="76" t="s">
        <v>117</v>
      </c>
      <c r="AT5" s="76" t="s">
        <v>117</v>
      </c>
      <c r="AU5" s="76" t="s">
        <v>117</v>
      </c>
      <c r="AV5" s="76" t="s">
        <v>117</v>
      </c>
      <c r="AW5" s="76" t="s">
        <v>117</v>
      </c>
      <c r="AX5" s="76" t="s">
        <v>117</v>
      </c>
      <c r="AY5" s="76" t="s">
        <v>117</v>
      </c>
      <c r="AZ5" s="76" t="s">
        <v>117</v>
      </c>
      <c r="BA5" s="66">
        <v>1</v>
      </c>
      <c r="BB5" s="66">
        <v>0.58919999999999995</v>
      </c>
      <c r="BC5" s="66">
        <v>1</v>
      </c>
      <c r="BD5" s="66">
        <v>398.39839999999998</v>
      </c>
      <c r="BE5" s="66">
        <v>0.58919999999999995</v>
      </c>
      <c r="BF5" s="66">
        <v>398.39839999999998</v>
      </c>
      <c r="BG5" s="66">
        <v>1</v>
      </c>
      <c r="BH5" s="66">
        <v>1720474112</v>
      </c>
      <c r="BI5" s="66">
        <v>884316160</v>
      </c>
      <c r="BJ5" s="66">
        <v>4</v>
      </c>
      <c r="BK5" s="66">
        <v>0</v>
      </c>
      <c r="BL5" s="66">
        <v>1</v>
      </c>
      <c r="BM5" s="77" t="s">
        <v>117</v>
      </c>
      <c r="BN5" s="76">
        <v>968</v>
      </c>
      <c r="BO5" s="78"/>
    </row>
    <row r="6" spans="1:67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</row>
    <row r="7" spans="1:67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</row>
    <row r="8" spans="1:67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</row>
    <row r="9" spans="1:67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</row>
    <row r="10" spans="1:67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</row>
    <row r="11" spans="1:6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</row>
    <row r="12" spans="1:6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</row>
    <row r="13" spans="1:6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</row>
    <row r="14" spans="1:6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</row>
    <row r="15" spans="1:6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</row>
  </sheetData>
  <sheetProtection sheet="1" objects="1" scenarios="1"/>
  <mergeCells count="2">
    <mergeCell ref="A1:B1"/>
    <mergeCell ref="A2:B2"/>
  </mergeCells>
  <hyperlinks>
    <hyperlink ref="A1" location="'StrtStop_Per1'!A1" display="'StrtStop_Per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2" t="s">
        <v>36</v>
      </c>
      <c r="B10" s="157">
        <v>0</v>
      </c>
      <c r="C10" s="158"/>
      <c r="D10" s="1"/>
      <c r="E10" s="1"/>
      <c r="F10" s="1"/>
    </row>
    <row r="11" spans="1:6" ht="15.75" thickBot="1" x14ac:dyDescent="0.3">
      <c r="A11" s="12" t="s">
        <v>37</v>
      </c>
      <c r="B11" s="157">
        <v>0</v>
      </c>
      <c r="C11" s="158"/>
      <c r="D11" s="1"/>
      <c r="E11" s="1"/>
      <c r="F11" s="1"/>
    </row>
    <row r="12" spans="1:6" ht="15.75" thickBot="1" x14ac:dyDescent="0.3">
      <c r="A12" s="12" t="s">
        <v>38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1"/>
      <c r="D15" s="152" t="s">
        <v>41</v>
      </c>
      <c r="E15" s="153"/>
      <c r="F15" s="67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 x14ac:dyDescent="0.25">
      <c r="A17" s="48" t="s">
        <v>52</v>
      </c>
      <c r="B17" s="14" t="s">
        <v>253</v>
      </c>
      <c r="C17" s="15">
        <v>1</v>
      </c>
      <c r="D17" s="16"/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StrtStop_Init1() R'!A1" display="'StrtStop_Init1() R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10.5703125" bestFit="1" customWidth="1"/>
    <col min="4" max="4" width="12.42578125" bestFit="1" customWidth="1"/>
    <col min="5" max="5" width="10.5703125" bestFit="1" customWidth="1"/>
  </cols>
  <sheetData>
    <row r="1" spans="1:5" x14ac:dyDescent="0.25">
      <c r="A1" s="159" t="s">
        <v>52</v>
      </c>
      <c r="B1" s="160"/>
      <c r="C1" s="41" t="s">
        <v>118</v>
      </c>
      <c r="D1" s="59" t="s">
        <v>117</v>
      </c>
      <c r="E1" s="40"/>
    </row>
    <row r="2" spans="1:5" ht="60" customHeight="1" x14ac:dyDescent="0.25">
      <c r="A2" s="161" t="s">
        <v>253</v>
      </c>
      <c r="B2" s="162"/>
      <c r="C2" s="89" t="s">
        <v>24</v>
      </c>
      <c r="D2" s="25" t="s">
        <v>114</v>
      </c>
      <c r="E2" s="26" t="s">
        <v>116</v>
      </c>
    </row>
    <row r="3" spans="1:5" ht="26.25" x14ac:dyDescent="0.25">
      <c r="A3" s="27" t="s">
        <v>108</v>
      </c>
      <c r="B3" s="28" t="s">
        <v>109</v>
      </c>
      <c r="C3" s="25" t="s">
        <v>113</v>
      </c>
      <c r="D3" s="25" t="s">
        <v>115</v>
      </c>
      <c r="E3" s="26"/>
    </row>
    <row r="4" spans="1:5" ht="15.75" thickBot="1" x14ac:dyDescent="0.3">
      <c r="A4" s="35">
        <v>1</v>
      </c>
      <c r="B4" s="43" t="s">
        <v>353</v>
      </c>
      <c r="C4" s="90" t="s">
        <v>117</v>
      </c>
      <c r="D4" s="36"/>
      <c r="E4" s="37"/>
    </row>
    <row r="5" spans="1:5" x14ac:dyDescent="0.25">
      <c r="A5" s="38"/>
      <c r="B5" s="38"/>
      <c r="C5" s="38"/>
      <c r="D5" s="38"/>
      <c r="E5" s="38"/>
    </row>
    <row r="6" spans="1:5" x14ac:dyDescent="0.25">
      <c r="A6" s="38"/>
      <c r="B6" s="38"/>
      <c r="C6" s="38"/>
      <c r="D6" s="38"/>
      <c r="E6" s="38"/>
    </row>
    <row r="7" spans="1:5" x14ac:dyDescent="0.25">
      <c r="A7" s="38"/>
      <c r="B7" s="38"/>
      <c r="C7" s="38"/>
      <c r="D7" s="38"/>
      <c r="E7" s="38"/>
    </row>
    <row r="8" spans="1:5" x14ac:dyDescent="0.25">
      <c r="A8" s="38"/>
      <c r="B8" s="38"/>
      <c r="C8" s="38"/>
      <c r="D8" s="38"/>
      <c r="E8" s="38"/>
    </row>
    <row r="9" spans="1:5" x14ac:dyDescent="0.25">
      <c r="A9" s="38"/>
      <c r="B9" s="38"/>
      <c r="C9" s="38"/>
      <c r="D9" s="38"/>
      <c r="E9" s="38"/>
    </row>
    <row r="10" spans="1:5" x14ac:dyDescent="0.25">
      <c r="A10" s="38"/>
      <c r="B10" s="38"/>
      <c r="C10" s="38"/>
      <c r="D10" s="38"/>
      <c r="E10" s="38"/>
    </row>
    <row r="11" spans="1:5" x14ac:dyDescent="0.25">
      <c r="A11" s="38"/>
      <c r="B11" s="38"/>
      <c r="C11" s="38"/>
      <c r="D11" s="38"/>
      <c r="E11" s="38"/>
    </row>
    <row r="12" spans="1:5" x14ac:dyDescent="0.25">
      <c r="A12" s="38"/>
      <c r="B12" s="38"/>
      <c r="C12" s="38"/>
      <c r="D12" s="38"/>
      <c r="E12" s="38"/>
    </row>
    <row r="13" spans="1:5" x14ac:dyDescent="0.25">
      <c r="A13" s="38"/>
      <c r="B13" s="38"/>
      <c r="C13" s="38"/>
      <c r="D13" s="38"/>
      <c r="E13" s="38"/>
    </row>
    <row r="14" spans="1:5" x14ac:dyDescent="0.25">
      <c r="A14" s="38"/>
      <c r="B14" s="38"/>
      <c r="C14" s="38"/>
      <c r="D14" s="38"/>
      <c r="E14" s="38"/>
    </row>
  </sheetData>
  <sheetProtection sheet="1" objects="1" scenarios="1"/>
  <mergeCells count="2">
    <mergeCell ref="A1:B1"/>
    <mergeCell ref="A2:B2"/>
  </mergeCells>
  <hyperlinks>
    <hyperlink ref="A1" location="'StrtStop_Init1'!A1" display="'StrtStop_Init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G2"/>
  <sheetViews>
    <sheetView workbookViewId="0"/>
  </sheetViews>
  <sheetFormatPr defaultRowHeight="15" x14ac:dyDescent="0.25"/>
  <cols>
    <col min="1" max="1" width="7.42578125" bestFit="1" customWidth="1"/>
    <col min="3" max="3" width="17.140625" bestFit="1" customWidth="1"/>
    <col min="4" max="4" width="80.28515625" customWidth="1"/>
    <col min="5" max="5" width="35.85546875" customWidth="1"/>
    <col min="6" max="6" width="66.140625" customWidth="1"/>
    <col min="7" max="7" width="59.5703125" customWidth="1"/>
    <col min="8" max="8" width="63.42578125" customWidth="1"/>
    <col min="9" max="9" width="46.28515625" customWidth="1"/>
    <col min="10" max="10" width="85" customWidth="1"/>
    <col min="11" max="11" width="39.7109375" customWidth="1"/>
    <col min="12" max="12" width="56.42578125" customWidth="1"/>
    <col min="13" max="13" width="61.5703125" customWidth="1"/>
  </cols>
  <sheetData>
    <row r="1" spans="1:7" x14ac:dyDescent="0.25">
      <c r="A1" s="91" t="s">
        <v>281</v>
      </c>
      <c r="B1" s="91" t="s">
        <v>282</v>
      </c>
      <c r="C1" s="92" t="s">
        <v>283</v>
      </c>
      <c r="D1" s="93" t="s">
        <v>284</v>
      </c>
      <c r="E1" s="93" t="s">
        <v>285</v>
      </c>
      <c r="F1" s="93" t="s">
        <v>327</v>
      </c>
      <c r="G1" s="93" t="s">
        <v>328</v>
      </c>
    </row>
    <row r="2" spans="1:7" ht="39.950000000000003" customHeight="1" x14ac:dyDescent="0.25">
      <c r="A2" s="94">
        <v>1</v>
      </c>
      <c r="B2" s="94" t="s">
        <v>286</v>
      </c>
      <c r="C2" s="94" t="s">
        <v>321</v>
      </c>
      <c r="D2" s="95" t="s">
        <v>325</v>
      </c>
      <c r="E2" s="96" t="s">
        <v>326</v>
      </c>
      <c r="F2" s="95" t="s">
        <v>329</v>
      </c>
      <c r="G2" s="96" t="s">
        <v>330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10"/>
  <sheetViews>
    <sheetView workbookViewId="0"/>
  </sheetViews>
  <sheetFormatPr defaultRowHeight="15" x14ac:dyDescent="0.25"/>
  <cols>
    <col min="1" max="1" width="28" bestFit="1" customWidth="1"/>
    <col min="2" max="2" width="46.42578125" customWidth="1"/>
    <col min="3" max="3" width="45.85546875" customWidth="1"/>
    <col min="4" max="4" width="43.5703125" customWidth="1"/>
    <col min="5" max="5" width="38" customWidth="1"/>
    <col min="6" max="6" width="44.5703125" customWidth="1"/>
    <col min="7" max="7" width="13.7109375" bestFit="1" customWidth="1"/>
    <col min="8" max="8" width="9.5703125" bestFit="1" customWidth="1"/>
  </cols>
  <sheetData>
    <row r="1" spans="1:9" x14ac:dyDescent="0.25">
      <c r="A1" s="97" t="s">
        <v>288</v>
      </c>
      <c r="B1" s="98">
        <f>DATE(2016,7,15)</f>
        <v>42566</v>
      </c>
      <c r="C1" s="99"/>
      <c r="D1" s="99"/>
      <c r="E1" s="99"/>
      <c r="F1" s="99"/>
      <c r="G1" s="99"/>
      <c r="H1" s="99"/>
      <c r="I1" s="99"/>
    </row>
    <row r="2" spans="1:9" x14ac:dyDescent="0.25">
      <c r="A2" s="100" t="s">
        <v>289</v>
      </c>
      <c r="B2" s="101" t="s">
        <v>318</v>
      </c>
      <c r="C2" s="100" t="s">
        <v>290</v>
      </c>
      <c r="D2" s="166" t="s">
        <v>319</v>
      </c>
      <c r="E2" s="167"/>
      <c r="F2" s="167"/>
      <c r="G2" s="167"/>
      <c r="H2" s="167"/>
      <c r="I2" s="168"/>
    </row>
    <row r="3" spans="1:9" x14ac:dyDescent="0.25">
      <c r="A3" s="100" t="s">
        <v>291</v>
      </c>
      <c r="B3" s="101" t="s">
        <v>321</v>
      </c>
      <c r="C3" s="100" t="s">
        <v>292</v>
      </c>
      <c r="D3" s="166" t="s">
        <v>50</v>
      </c>
      <c r="E3" s="167"/>
      <c r="F3" s="167"/>
      <c r="G3" s="167"/>
      <c r="H3" s="167"/>
      <c r="I3" s="168"/>
    </row>
    <row r="4" spans="1:9" x14ac:dyDescent="0.25">
      <c r="A4" s="169" t="s">
        <v>293</v>
      </c>
      <c r="B4" s="102" t="s">
        <v>294</v>
      </c>
      <c r="C4" s="102" t="s">
        <v>295</v>
      </c>
      <c r="D4" s="102" t="s">
        <v>296</v>
      </c>
      <c r="E4" s="102" t="s">
        <v>297</v>
      </c>
      <c r="F4" s="103" t="s">
        <v>331</v>
      </c>
      <c r="G4" s="103" t="s">
        <v>298</v>
      </c>
      <c r="H4" s="103" t="s">
        <v>299</v>
      </c>
      <c r="I4" s="103" t="s">
        <v>300</v>
      </c>
    </row>
    <row r="5" spans="1:9" x14ac:dyDescent="0.25">
      <c r="A5" s="170"/>
      <c r="B5" s="104">
        <v>1</v>
      </c>
      <c r="C5" s="104">
        <v>1</v>
      </c>
      <c r="D5" s="104">
        <v>1</v>
      </c>
      <c r="E5" s="104">
        <v>1</v>
      </c>
      <c r="F5" s="104">
        <v>1</v>
      </c>
      <c r="G5" s="103">
        <v>190</v>
      </c>
      <c r="H5" s="103">
        <v>190</v>
      </c>
      <c r="I5" s="103">
        <v>0</v>
      </c>
    </row>
    <row r="6" spans="1:9" x14ac:dyDescent="0.25">
      <c r="A6" s="105" t="s">
        <v>301</v>
      </c>
      <c r="B6" s="163" t="s">
        <v>287</v>
      </c>
      <c r="C6" s="164"/>
      <c r="D6" s="164"/>
      <c r="E6" s="164"/>
      <c r="F6" s="164"/>
      <c r="G6" s="164"/>
      <c r="H6" s="164"/>
      <c r="I6" s="165"/>
    </row>
    <row r="7" spans="1:9" x14ac:dyDescent="0.25">
      <c r="A7" s="105" t="s">
        <v>302</v>
      </c>
      <c r="B7" s="163" t="s">
        <v>287</v>
      </c>
      <c r="C7" s="164"/>
      <c r="D7" s="164"/>
      <c r="E7" s="164"/>
      <c r="F7" s="164"/>
      <c r="G7" s="164"/>
      <c r="H7" s="164"/>
      <c r="I7" s="165"/>
    </row>
    <row r="8" spans="1:9" x14ac:dyDescent="0.25">
      <c r="A8" s="105" t="s">
        <v>303</v>
      </c>
      <c r="B8" s="163" t="s">
        <v>287</v>
      </c>
      <c r="C8" s="164"/>
      <c r="D8" s="164"/>
      <c r="E8" s="164"/>
      <c r="F8" s="164"/>
      <c r="G8" s="164"/>
      <c r="H8" s="164"/>
      <c r="I8" s="165"/>
    </row>
    <row r="9" spans="1:9" x14ac:dyDescent="0.25">
      <c r="A9" s="105" t="s">
        <v>304</v>
      </c>
      <c r="B9" s="163" t="s">
        <v>287</v>
      </c>
      <c r="C9" s="164"/>
      <c r="D9" s="164"/>
      <c r="E9" s="164"/>
      <c r="F9" s="164" t="s">
        <v>287</v>
      </c>
      <c r="G9" s="164"/>
      <c r="H9" s="164"/>
      <c r="I9" s="165"/>
    </row>
    <row r="10" spans="1:9" x14ac:dyDescent="0.25">
      <c r="A10" s="105" t="s">
        <v>305</v>
      </c>
      <c r="B10" s="163" t="s">
        <v>287</v>
      </c>
      <c r="C10" s="164"/>
      <c r="D10" s="164"/>
      <c r="E10" s="164"/>
      <c r="F10" s="164"/>
      <c r="G10" s="164"/>
      <c r="H10" s="164"/>
      <c r="I10" s="165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B2:G27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28.140625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26.140625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06" t="s">
        <v>306</v>
      </c>
      <c r="C3" s="107" t="s">
        <v>318</v>
      </c>
      <c r="F3" s="106" t="s">
        <v>307</v>
      </c>
      <c r="G3" s="108" t="s">
        <v>319</v>
      </c>
    </row>
    <row r="4" spans="2:7" x14ac:dyDescent="0.25">
      <c r="B4" s="171" t="s">
        <v>308</v>
      </c>
      <c r="C4" s="109" t="s">
        <v>309</v>
      </c>
      <c r="D4" s="110">
        <v>3</v>
      </c>
    </row>
    <row r="5" spans="2:7" ht="15.75" thickBot="1" x14ac:dyDescent="0.3">
      <c r="B5" s="172"/>
      <c r="C5" s="111" t="s">
        <v>310</v>
      </c>
      <c r="D5" s="112">
        <v>968</v>
      </c>
    </row>
    <row r="6" spans="2:7" ht="15.75" thickBot="1" x14ac:dyDescent="0.3">
      <c r="B6" s="113"/>
      <c r="C6" s="113"/>
      <c r="D6" s="113"/>
    </row>
    <row r="7" spans="2:7" ht="15.75" thickBot="1" x14ac:dyDescent="0.3">
      <c r="B7" s="114" t="s">
        <v>311</v>
      </c>
      <c r="C7" s="115">
        <v>4</v>
      </c>
    </row>
    <row r="8" spans="2:7" x14ac:dyDescent="0.25">
      <c r="B8" s="116" t="s">
        <v>312</v>
      </c>
      <c r="C8" s="117">
        <v>1</v>
      </c>
      <c r="D8" s="118" t="s">
        <v>53</v>
      </c>
    </row>
    <row r="9" spans="2:7" ht="15.75" thickBot="1" x14ac:dyDescent="0.3">
      <c r="B9" s="119" t="s">
        <v>313</v>
      </c>
      <c r="C9" s="120" t="s">
        <v>352</v>
      </c>
      <c r="D9" s="121" t="s">
        <v>320</v>
      </c>
    </row>
    <row r="11" spans="2:7" ht="15.75" thickBot="1" x14ac:dyDescent="0.3"/>
    <row r="12" spans="2:7" x14ac:dyDescent="0.25">
      <c r="B12" s="122"/>
      <c r="C12" s="123" t="s">
        <v>314</v>
      </c>
      <c r="D12" s="124" t="s">
        <v>53</v>
      </c>
    </row>
    <row r="13" spans="2:7" x14ac:dyDescent="0.25">
      <c r="B13" s="125" t="s">
        <v>315</v>
      </c>
      <c r="C13" s="88">
        <v>1046</v>
      </c>
      <c r="D13" s="88">
        <v>1044</v>
      </c>
    </row>
    <row r="14" spans="2:7" x14ac:dyDescent="0.25">
      <c r="B14" s="125" t="s">
        <v>316</v>
      </c>
      <c r="C14" s="88">
        <v>85</v>
      </c>
      <c r="D14" s="88">
        <v>85</v>
      </c>
    </row>
    <row r="15" spans="2:7" ht="15.75" thickBot="1" x14ac:dyDescent="0.3">
      <c r="B15" s="126" t="s">
        <v>317</v>
      </c>
      <c r="C15" s="127">
        <v>20</v>
      </c>
      <c r="D15" s="127">
        <v>20</v>
      </c>
    </row>
    <row r="16" spans="2:7" ht="15.75" thickBot="1" x14ac:dyDescent="0.3">
      <c r="D16" s="87"/>
    </row>
    <row r="17" spans="2:6" x14ac:dyDescent="0.25">
      <c r="B17" s="171" t="s">
        <v>308</v>
      </c>
      <c r="C17" s="128" t="s">
        <v>309</v>
      </c>
      <c r="D17" s="115">
        <v>303</v>
      </c>
    </row>
    <row r="18" spans="2:6" ht="15.75" thickBot="1" x14ac:dyDescent="0.3">
      <c r="B18" s="172"/>
      <c r="C18" s="129" t="s">
        <v>310</v>
      </c>
      <c r="D18" s="130">
        <v>968</v>
      </c>
    </row>
    <row r="19" spans="2:6" s="132" customFormat="1" x14ac:dyDescent="0.25">
      <c r="B19" s="131"/>
      <c r="D19" s="133"/>
      <c r="E19" s="131"/>
      <c r="F19" s="131"/>
    </row>
    <row r="27" spans="2:6" x14ac:dyDescent="0.25">
      <c r="D27" s="134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Unit Test Information</vt:lpstr>
      <vt:lpstr>Embedded Files</vt:lpstr>
      <vt:lpstr>Module Definitions</vt:lpstr>
      <vt:lpstr>SlewRateCalc</vt:lpstr>
      <vt:lpstr>SlewRateCalc() P</vt:lpstr>
      <vt:lpstr>SlewRateCalc() M</vt:lpstr>
      <vt:lpstr>SlewRateCalc() R</vt:lpstr>
      <vt:lpstr>PreviousStCalc</vt:lpstr>
      <vt:lpstr>PreviousStCalc() P</vt:lpstr>
      <vt:lpstr>PreviousStCalc() B</vt:lpstr>
      <vt:lpstr>PreviousStCalc() M</vt:lpstr>
      <vt:lpstr>StrtStop_Per1</vt:lpstr>
      <vt:lpstr>StrtStop_Per1() P</vt:lpstr>
      <vt:lpstr>StrtStop_Per1() R</vt:lpstr>
      <vt:lpstr>StrtStop_Per1() M</vt:lpstr>
      <vt:lpstr>StrtStop_Init1</vt:lpstr>
      <vt:lpstr>StrtStop_Init1() R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2016-07-18T12:13:52Z</dcterms:modified>
</cp:coreProperties>
</file>